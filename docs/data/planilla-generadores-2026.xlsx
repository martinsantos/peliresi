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13815" windowHeight="6855"/>
  </bookViews>
  <sheets>
    <sheet name="REGISTRO" sheetId="1" r:id="rId1"/>
    <sheet name="RUBROS" sheetId="2" r:id="rId2"/>
  </sheets>
  <definedNames>
    <definedName name="_xlnm._FilterDatabase" localSheetId="0" hidden="1">REGISTRO!$A$1:$AC$1759</definedName>
  </definedNames>
  <calcPr calcId="124519"/>
  <extLst>
    <ext uri="GoogleSheetsCustomDataVersion2">
      <go:sheetsCustomData xmlns:go="http://customooxmlschemas.google.com/" r:id="rId6" roundtripDataChecksum="oyso9646l5GdzGugzHeCqvtM/ijf7cv9rf2W91QX1yM="/>
    </ext>
  </extLst>
</workbook>
</file>

<file path=xl/calcChain.xml><?xml version="1.0" encoding="utf-8"?>
<calcChain xmlns="http://schemas.openxmlformats.org/spreadsheetml/2006/main">
  <c r="S1759" i="1"/>
  <c r="S1758"/>
  <c r="S1757"/>
  <c r="S1756"/>
  <c r="S1755"/>
  <c r="S1754"/>
  <c r="S1753"/>
  <c r="S1752"/>
  <c r="S1751"/>
  <c r="S1750"/>
  <c r="S1749"/>
  <c r="S1748"/>
  <c r="S1747"/>
  <c r="S1746"/>
  <c r="S1745"/>
  <c r="S1744"/>
  <c r="S1743"/>
  <c r="S1742"/>
  <c r="S1741"/>
  <c r="S1740"/>
  <c r="S1739"/>
  <c r="S1738"/>
  <c r="S1737"/>
  <c r="S1736"/>
  <c r="S1735"/>
  <c r="S1734"/>
  <c r="S1733"/>
  <c r="S1732"/>
  <c r="S1731"/>
  <c r="S1730"/>
  <c r="S1729"/>
  <c r="S1728"/>
  <c r="S1727"/>
  <c r="S1726"/>
  <c r="S1725"/>
  <c r="S1724"/>
  <c r="S1723"/>
  <c r="S1722"/>
  <c r="S1721"/>
  <c r="S1720"/>
  <c r="S1719"/>
  <c r="S1718"/>
  <c r="S1717"/>
  <c r="S1716"/>
  <c r="S1715"/>
  <c r="S1714"/>
  <c r="S1713"/>
  <c r="S1712"/>
  <c r="S1711"/>
  <c r="S1710"/>
  <c r="S1709"/>
  <c r="S1708"/>
  <c r="S1707"/>
  <c r="S1706"/>
  <c r="S1705"/>
  <c r="S1704"/>
  <c r="S1703"/>
  <c r="S1702"/>
  <c r="S1701"/>
  <c r="S1700"/>
  <c r="S1699"/>
  <c r="S1698"/>
  <c r="S1697"/>
  <c r="S1696"/>
  <c r="S1695"/>
  <c r="S1694"/>
  <c r="S1693"/>
  <c r="S1692"/>
  <c r="S1691"/>
  <c r="S1690"/>
  <c r="S1689"/>
  <c r="S1688"/>
  <c r="S1687"/>
  <c r="S1686"/>
  <c r="S1685"/>
  <c r="S1684"/>
  <c r="S1683"/>
  <c r="S1682"/>
  <c r="S1681"/>
  <c r="S1680"/>
  <c r="S1679"/>
  <c r="S1678"/>
  <c r="S1677"/>
  <c r="S1676"/>
  <c r="S1675"/>
  <c r="S1674"/>
  <c r="S1673"/>
  <c r="S1672"/>
  <c r="S1671"/>
  <c r="S1670"/>
  <c r="S1669"/>
  <c r="S1668"/>
  <c r="S1667"/>
  <c r="S1666"/>
  <c r="S1665"/>
  <c r="S1664"/>
  <c r="S1663"/>
  <c r="S1662"/>
  <c r="S1661"/>
  <c r="S1660"/>
  <c r="S1659"/>
  <c r="S1658"/>
  <c r="S1657"/>
  <c r="S1656"/>
  <c r="S1655"/>
  <c r="S1654"/>
  <c r="S1653"/>
  <c r="S1652"/>
  <c r="S1651"/>
  <c r="S1650"/>
  <c r="S1649"/>
  <c r="S1648"/>
  <c r="S1647"/>
  <c r="S1646"/>
  <c r="S1645"/>
  <c r="S1644"/>
  <c r="S1643"/>
  <c r="S1642"/>
  <c r="S1641"/>
  <c r="S1640"/>
  <c r="S1639"/>
  <c r="S1638"/>
  <c r="S1637"/>
  <c r="S1636"/>
  <c r="S1635"/>
  <c r="S1634"/>
  <c r="S1633"/>
  <c r="S1632"/>
  <c r="S1631"/>
  <c r="S1630"/>
  <c r="S1629"/>
  <c r="S1628"/>
  <c r="S1627"/>
  <c r="S1626"/>
  <c r="S1625"/>
  <c r="S1624"/>
  <c r="S1623"/>
  <c r="S1622"/>
  <c r="S1621"/>
  <c r="S1620"/>
  <c r="S1619"/>
  <c r="S1618"/>
  <c r="S1617"/>
  <c r="S1616"/>
  <c r="S1615"/>
  <c r="S1614"/>
  <c r="S1613"/>
  <c r="S1612"/>
  <c r="S1611"/>
  <c r="S1610"/>
  <c r="S1609"/>
  <c r="S1608"/>
  <c r="S1607"/>
  <c r="S1606"/>
  <c r="S1605"/>
  <c r="S1604"/>
  <c r="S1603"/>
  <c r="S1602"/>
  <c r="S1601"/>
  <c r="S1600"/>
  <c r="S1599"/>
  <c r="S1598"/>
  <c r="S1597"/>
  <c r="S1596"/>
  <c r="S1595"/>
  <c r="S1594"/>
  <c r="S1593"/>
  <c r="S1592"/>
  <c r="S1591"/>
  <c r="S1590"/>
  <c r="S1589"/>
  <c r="S1588"/>
  <c r="S1587"/>
  <c r="S1586"/>
  <c r="S1585"/>
  <c r="S1584"/>
  <c r="S1583"/>
  <c r="S1582"/>
  <c r="S1581"/>
  <c r="S1580"/>
  <c r="S1579"/>
  <c r="S1578"/>
  <c r="S1577"/>
  <c r="S1576"/>
  <c r="S1575"/>
  <c r="S1574"/>
  <c r="S1573"/>
  <c r="S1572"/>
  <c r="S1571"/>
  <c r="S1570"/>
  <c r="S1569"/>
  <c r="S1568"/>
  <c r="S1567"/>
  <c r="S1566"/>
  <c r="S1565"/>
  <c r="S1564"/>
  <c r="S1563"/>
  <c r="S1562"/>
  <c r="S1561"/>
  <c r="S1560"/>
  <c r="S1559"/>
  <c r="S1558"/>
  <c r="S1557"/>
  <c r="S1556"/>
  <c r="S1555"/>
  <c r="S1554"/>
  <c r="S1553"/>
  <c r="S1552"/>
  <c r="S1551"/>
  <c r="S1550"/>
  <c r="S1549"/>
  <c r="S1548"/>
  <c r="S1547"/>
  <c r="S1546"/>
  <c r="S1545"/>
  <c r="S1544"/>
  <c r="S1543"/>
  <c r="S1542"/>
  <c r="S1541"/>
  <c r="S1540"/>
  <c r="S1539"/>
  <c r="S1538"/>
  <c r="S1537"/>
  <c r="S1536"/>
  <c r="S1535"/>
  <c r="S1534"/>
  <c r="S1533"/>
  <c r="S1532"/>
  <c r="S1531"/>
  <c r="S1530"/>
  <c r="S1529"/>
  <c r="S1528"/>
  <c r="S1527"/>
  <c r="S1526"/>
  <c r="S1525"/>
  <c r="S1524"/>
  <c r="S1523"/>
  <c r="S1522"/>
  <c r="S1521"/>
  <c r="S1520"/>
  <c r="S1519"/>
  <c r="S1518"/>
  <c r="S1517"/>
  <c r="S1516"/>
  <c r="S1515"/>
  <c r="S1514"/>
  <c r="S1513"/>
  <c r="S1512"/>
  <c r="S1511"/>
  <c r="S1510"/>
  <c r="S1509"/>
  <c r="S1508"/>
  <c r="S1507"/>
  <c r="S1506"/>
  <c r="S1505"/>
  <c r="S1504"/>
  <c r="S1503"/>
  <c r="S1502"/>
  <c r="S1501"/>
  <c r="S1500"/>
  <c r="S1499"/>
  <c r="S1498"/>
  <c r="S1497"/>
  <c r="S1496"/>
  <c r="S1495"/>
  <c r="S1494"/>
  <c r="S1493"/>
  <c r="S1492"/>
  <c r="S1491"/>
  <c r="S1490"/>
  <c r="S1489"/>
  <c r="S1488"/>
  <c r="S1487"/>
  <c r="S1486"/>
  <c r="S1485"/>
  <c r="S1484"/>
  <c r="S1483"/>
  <c r="S1482"/>
  <c r="S1481"/>
  <c r="S1480"/>
  <c r="S1479"/>
  <c r="S1478"/>
  <c r="S1477"/>
  <c r="S1476"/>
  <c r="S1475"/>
  <c r="S1474"/>
  <c r="S1473"/>
  <c r="S1472"/>
  <c r="S1471"/>
  <c r="S1470"/>
  <c r="S1469"/>
  <c r="S1468"/>
  <c r="S1467"/>
  <c r="S1466"/>
  <c r="S1465"/>
  <c r="S1464"/>
  <c r="S1463"/>
  <c r="S1462"/>
  <c r="S1461"/>
  <c r="S1460"/>
  <c r="S1459"/>
  <c r="S1458"/>
  <c r="S1457"/>
  <c r="S1456"/>
  <c r="S1455"/>
  <c r="S1454"/>
  <c r="S1453"/>
  <c r="S1452"/>
  <c r="S1451"/>
  <c r="S1450"/>
  <c r="S1449"/>
  <c r="S1448"/>
  <c r="S1447"/>
  <c r="S1446"/>
  <c r="S1445"/>
  <c r="S1444"/>
  <c r="S1443"/>
  <c r="S1442"/>
  <c r="S1441"/>
  <c r="S1440"/>
  <c r="S1439"/>
  <c r="S1438"/>
  <c r="S1437"/>
  <c r="S1436"/>
  <c r="S1435"/>
  <c r="S1434"/>
  <c r="S1433"/>
  <c r="S1432"/>
  <c r="S1431"/>
  <c r="S1430"/>
  <c r="S1429"/>
  <c r="S1428"/>
  <c r="S1427"/>
  <c r="S1426"/>
  <c r="S1425"/>
  <c r="S1424"/>
  <c r="S1423"/>
  <c r="S1422"/>
  <c r="S1421"/>
  <c r="S1420"/>
  <c r="S1419"/>
  <c r="S1418"/>
  <c r="S1417"/>
  <c r="S1416"/>
  <c r="S1415"/>
  <c r="S1414"/>
  <c r="S1413"/>
  <c r="S1412"/>
  <c r="S1411"/>
  <c r="S1410"/>
  <c r="S1409"/>
  <c r="S1408"/>
  <c r="S1407"/>
  <c r="S1406"/>
  <c r="S1405"/>
  <c r="S1404"/>
  <c r="S1403"/>
  <c r="S1402"/>
  <c r="S1401"/>
  <c r="S1400"/>
  <c r="S1399"/>
  <c r="S1398"/>
  <c r="S1397"/>
  <c r="S1396"/>
  <c r="S1395"/>
  <c r="S1394"/>
  <c r="S1393"/>
  <c r="S1392"/>
  <c r="S1391"/>
  <c r="S1390"/>
  <c r="S1389"/>
  <c r="S1388"/>
  <c r="S1387"/>
  <c r="S1386"/>
  <c r="S1385"/>
  <c r="S1384"/>
  <c r="S1383"/>
  <c r="S1382"/>
  <c r="S1381"/>
  <c r="S1380"/>
  <c r="S1379"/>
  <c r="S1378"/>
  <c r="S1377"/>
  <c r="S1376"/>
  <c r="S1375"/>
  <c r="S1374"/>
  <c r="S1373"/>
  <c r="S1372"/>
  <c r="S1371"/>
  <c r="S1370"/>
  <c r="S1369"/>
  <c r="S1368"/>
  <c r="S1367"/>
  <c r="S1366"/>
  <c r="S1365"/>
  <c r="S1364"/>
  <c r="S1363"/>
  <c r="S1362"/>
  <c r="S1361"/>
  <c r="S1360"/>
  <c r="S1359"/>
  <c r="S1358"/>
  <c r="S1357"/>
  <c r="S1356"/>
  <c r="V1356" s="1"/>
  <c r="S1355"/>
  <c r="S1354"/>
  <c r="S1353"/>
  <c r="S1352"/>
  <c r="S1351"/>
  <c r="S1350"/>
  <c r="S1349"/>
  <c r="S1348"/>
  <c r="S1347"/>
  <c r="S1346"/>
  <c r="S1345"/>
  <c r="S1344"/>
  <c r="S1343"/>
  <c r="S1342"/>
  <c r="S1341"/>
  <c r="S1340"/>
  <c r="S1339"/>
  <c r="S1338"/>
  <c r="S1337"/>
  <c r="S1336"/>
  <c r="S1335"/>
  <c r="S1334"/>
  <c r="S1333"/>
  <c r="S1332"/>
  <c r="S1331"/>
  <c r="S1330"/>
  <c r="S1329"/>
  <c r="S1328"/>
  <c r="S1327"/>
  <c r="S1326"/>
  <c r="S1325"/>
  <c r="S1324"/>
  <c r="S1323"/>
  <c r="S1322"/>
  <c r="S1321"/>
  <c r="S1320"/>
  <c r="S1319"/>
  <c r="S1318"/>
  <c r="S1317"/>
  <c r="S1316"/>
  <c r="S1315"/>
  <c r="S1314"/>
  <c r="S1313"/>
  <c r="S1312"/>
  <c r="S1311"/>
  <c r="S1310"/>
  <c r="S1309"/>
  <c r="S1308"/>
  <c r="S1307"/>
  <c r="S1306"/>
  <c r="S1305"/>
  <c r="V1305" s="1"/>
  <c r="S1304"/>
  <c r="S1303"/>
  <c r="S1302"/>
  <c r="S1301"/>
  <c r="S1300"/>
  <c r="S1299"/>
  <c r="S1298"/>
  <c r="S1297"/>
  <c r="S1296"/>
  <c r="S1295"/>
  <c r="S1294"/>
  <c r="S1293"/>
  <c r="S1292"/>
  <c r="S1291"/>
  <c r="S1290"/>
  <c r="S1289"/>
  <c r="S1288"/>
  <c r="S1287"/>
  <c r="S1286"/>
  <c r="S1285"/>
  <c r="S1284"/>
  <c r="S1283"/>
  <c r="S1282"/>
  <c r="V1282" s="1"/>
  <c r="S1281"/>
  <c r="S1280"/>
  <c r="S1279"/>
  <c r="V1278"/>
  <c r="S1278"/>
  <c r="S1277"/>
  <c r="S1276"/>
  <c r="S1275"/>
  <c r="S1274"/>
  <c r="S1273"/>
  <c r="S1272"/>
  <c r="S1271"/>
  <c r="S1270"/>
  <c r="S1269"/>
  <c r="S1268"/>
  <c r="S1267"/>
  <c r="S1266"/>
  <c r="S1265"/>
  <c r="S1264"/>
  <c r="S1263"/>
  <c r="S1262"/>
  <c r="S1261"/>
  <c r="S1260"/>
  <c r="S1259"/>
  <c r="S1258"/>
  <c r="S1257"/>
  <c r="S1256"/>
  <c r="S1255"/>
  <c r="V1255" s="1"/>
  <c r="S1254"/>
  <c r="S1253"/>
  <c r="S1252"/>
  <c r="S1251"/>
  <c r="S1250"/>
  <c r="S1249"/>
  <c r="S1248"/>
  <c r="S1247"/>
  <c r="S1246"/>
  <c r="S1245"/>
  <c r="S1244"/>
  <c r="S1243"/>
  <c r="S1242"/>
  <c r="S1241"/>
  <c r="S1240"/>
  <c r="S1239"/>
  <c r="S1238"/>
  <c r="S1237"/>
  <c r="S1236"/>
  <c r="S1235"/>
  <c r="S1234"/>
  <c r="S1233"/>
  <c r="S1232"/>
  <c r="S1231"/>
  <c r="S1230"/>
  <c r="S1229"/>
  <c r="S1228"/>
  <c r="S1227"/>
  <c r="S1226"/>
  <c r="S1225"/>
  <c r="S1224"/>
  <c r="S1223"/>
  <c r="S1222"/>
  <c r="S1221"/>
  <c r="S1220"/>
  <c r="S1219"/>
  <c r="S1218"/>
  <c r="S1217"/>
  <c r="S1216"/>
  <c r="S1215"/>
  <c r="S1214"/>
  <c r="S1213"/>
  <c r="S1212"/>
  <c r="S1211"/>
  <c r="S1210"/>
  <c r="S1209"/>
  <c r="S1208"/>
  <c r="S1207"/>
  <c r="S1206"/>
  <c r="S1205"/>
  <c r="V1205" s="1"/>
  <c r="S1204"/>
  <c r="S1203"/>
  <c r="S1202"/>
  <c r="S1201"/>
  <c r="S1200"/>
  <c r="S1199"/>
  <c r="S1198"/>
  <c r="S1197"/>
  <c r="S1196"/>
  <c r="S1195"/>
  <c r="S1194"/>
  <c r="S1193"/>
  <c r="S1192"/>
  <c r="S1191"/>
  <c r="S1190"/>
  <c r="S1189"/>
  <c r="V1188"/>
  <c r="S1188"/>
  <c r="S1187"/>
  <c r="S1186"/>
  <c r="S1185"/>
  <c r="S1184"/>
  <c r="S1183"/>
  <c r="S1182"/>
  <c r="S1181"/>
  <c r="S1180"/>
  <c r="S1179"/>
  <c r="S1178"/>
  <c r="S1177"/>
  <c r="S1176"/>
  <c r="S1175"/>
  <c r="S1174"/>
  <c r="S1173"/>
  <c r="S1172"/>
  <c r="S1171"/>
  <c r="S1170"/>
  <c r="S1169"/>
  <c r="S1168"/>
  <c r="S1167"/>
  <c r="S1166"/>
  <c r="S1165"/>
  <c r="S1164"/>
  <c r="S1163"/>
  <c r="S1162"/>
  <c r="S1161"/>
  <c r="S1160"/>
  <c r="S1159"/>
  <c r="S1158"/>
  <c r="S1157"/>
  <c r="S1156"/>
  <c r="S1155"/>
  <c r="S1154"/>
  <c r="S1153"/>
  <c r="S1152"/>
  <c r="S1151"/>
  <c r="S1150"/>
  <c r="S1149"/>
  <c r="S1148"/>
  <c r="S1147"/>
  <c r="S1146"/>
  <c r="S1145"/>
  <c r="S1144"/>
  <c r="S1143"/>
  <c r="S1142"/>
  <c r="S1141"/>
  <c r="S1140"/>
  <c r="S1139"/>
  <c r="S1138"/>
  <c r="S1137"/>
  <c r="S1136"/>
  <c r="S1135"/>
  <c r="S1134"/>
  <c r="S1133"/>
  <c r="S1132"/>
  <c r="S1131"/>
  <c r="S1130"/>
  <c r="S1129"/>
  <c r="S1128"/>
  <c r="S1127"/>
  <c r="S1126"/>
  <c r="S1125"/>
  <c r="S1124"/>
  <c r="S1123"/>
  <c r="S1122"/>
  <c r="S1121"/>
  <c r="S1120"/>
  <c r="S1119"/>
  <c r="S1118"/>
  <c r="S1117"/>
  <c r="S1116"/>
  <c r="S1115"/>
  <c r="S1114"/>
  <c r="S1113"/>
  <c r="S1112"/>
  <c r="S1111"/>
  <c r="S1110"/>
  <c r="S1109"/>
  <c r="S1108"/>
  <c r="S1107"/>
  <c r="S1106"/>
  <c r="S1105"/>
  <c r="S1104"/>
  <c r="S1103"/>
  <c r="S1102"/>
  <c r="S1101"/>
  <c r="S1100"/>
  <c r="S1099"/>
  <c r="S1098"/>
  <c r="S1097"/>
  <c r="S1096"/>
  <c r="S1095"/>
  <c r="S1094"/>
  <c r="S1093"/>
  <c r="S1092"/>
  <c r="S1091"/>
  <c r="S1090"/>
  <c r="S1089"/>
  <c r="S1088"/>
  <c r="S1087"/>
  <c r="S1086"/>
  <c r="S1085"/>
  <c r="S1084"/>
  <c r="S1083"/>
  <c r="S1082"/>
  <c r="S1081"/>
  <c r="S1080"/>
  <c r="S1079"/>
  <c r="S1078"/>
  <c r="S1077"/>
  <c r="S1076"/>
  <c r="S1075"/>
  <c r="S1074"/>
  <c r="S1073"/>
  <c r="S1072"/>
  <c r="S1071"/>
  <c r="S1070"/>
  <c r="S1069"/>
  <c r="S1068"/>
  <c r="S1067"/>
  <c r="S1066"/>
  <c r="S1065"/>
  <c r="S1064"/>
  <c r="S1063"/>
  <c r="S1062"/>
  <c r="S1061"/>
  <c r="S1060"/>
  <c r="S1059"/>
  <c r="S1058"/>
  <c r="S1057"/>
  <c r="S1056"/>
  <c r="S1055"/>
  <c r="S1054"/>
  <c r="S1053"/>
  <c r="S1052"/>
  <c r="S1051"/>
  <c r="S1050"/>
  <c r="S1049"/>
  <c r="S1048"/>
  <c r="S1047"/>
  <c r="S1046"/>
  <c r="S1045"/>
  <c r="S1044"/>
  <c r="S1043"/>
  <c r="S1042"/>
  <c r="S1041"/>
  <c r="S1040"/>
  <c r="S1039"/>
  <c r="S1038"/>
  <c r="S1037"/>
  <c r="S1036"/>
  <c r="S1035"/>
  <c r="S1034"/>
  <c r="S1033"/>
  <c r="S1032"/>
  <c r="S1031"/>
  <c r="S1030"/>
  <c r="S1029"/>
  <c r="S1028"/>
  <c r="S1027"/>
  <c r="S1026"/>
  <c r="S1025"/>
  <c r="S1024"/>
  <c r="S1023"/>
  <c r="S1022"/>
  <c r="S1021"/>
  <c r="S1020"/>
  <c r="S1019"/>
  <c r="V1018"/>
  <c r="S1018"/>
  <c r="S1017"/>
  <c r="S1016"/>
  <c r="S1015"/>
  <c r="S1014"/>
  <c r="S1013"/>
  <c r="S1012"/>
  <c r="S1011"/>
  <c r="S1010"/>
  <c r="S1009"/>
  <c r="S1008"/>
  <c r="S1007"/>
  <c r="S1006"/>
  <c r="S1005"/>
  <c r="S1004"/>
  <c r="S1003"/>
  <c r="S1002"/>
  <c r="S1001"/>
  <c r="S1000"/>
  <c r="S999"/>
  <c r="S998"/>
  <c r="S997"/>
  <c r="S996"/>
  <c r="S995"/>
  <c r="S994"/>
  <c r="S993"/>
  <c r="S992"/>
  <c r="S991"/>
  <c r="S990"/>
  <c r="S989"/>
  <c r="S988"/>
  <c r="S987"/>
  <c r="S986"/>
  <c r="S985"/>
  <c r="S984"/>
  <c r="S983"/>
  <c r="S982"/>
  <c r="S981"/>
  <c r="S980"/>
  <c r="S979"/>
  <c r="S978"/>
  <c r="S977"/>
  <c r="S976"/>
  <c r="S975"/>
  <c r="S974"/>
  <c r="S973"/>
  <c r="S972"/>
  <c r="S971"/>
  <c r="S970"/>
  <c r="S969"/>
  <c r="S968"/>
  <c r="S967"/>
  <c r="S966"/>
  <c r="S965"/>
  <c r="S964"/>
  <c r="S963"/>
  <c r="S962"/>
  <c r="S961"/>
  <c r="S960"/>
  <c r="S959"/>
  <c r="S958"/>
  <c r="S957"/>
  <c r="S956"/>
  <c r="S955"/>
  <c r="S954"/>
  <c r="S953"/>
  <c r="S952"/>
  <c r="S951"/>
  <c r="S950"/>
  <c r="V949"/>
  <c r="S949"/>
  <c r="S948"/>
  <c r="S947"/>
  <c r="S946"/>
  <c r="S945"/>
  <c r="S944"/>
  <c r="S943"/>
  <c r="S942"/>
  <c r="S941"/>
  <c r="V940"/>
  <c r="S940"/>
  <c r="S939"/>
  <c r="S938"/>
  <c r="S937"/>
  <c r="S936"/>
  <c r="S935"/>
  <c r="S934"/>
  <c r="S933"/>
  <c r="S932"/>
  <c r="S931"/>
  <c r="V930"/>
  <c r="S930"/>
  <c r="S929"/>
  <c r="S928"/>
  <c r="S927"/>
  <c r="S926"/>
  <c r="S925"/>
  <c r="S924"/>
  <c r="S923"/>
  <c r="S922"/>
  <c r="S921"/>
  <c r="S920"/>
  <c r="S919"/>
  <c r="S918"/>
  <c r="S917"/>
  <c r="S916"/>
  <c r="S915"/>
  <c r="S914"/>
  <c r="S913"/>
  <c r="S912"/>
  <c r="S911"/>
  <c r="S910"/>
  <c r="S909"/>
  <c r="S908"/>
  <c r="S907"/>
  <c r="S906"/>
  <c r="S905"/>
  <c r="S904"/>
  <c r="V903"/>
  <c r="S903"/>
  <c r="S902"/>
  <c r="S901"/>
  <c r="S900"/>
  <c r="S899"/>
  <c r="S898"/>
  <c r="S897"/>
  <c r="S896"/>
  <c r="S895"/>
  <c r="S894"/>
  <c r="S893"/>
  <c r="S892"/>
  <c r="S891"/>
  <c r="S890"/>
  <c r="S889"/>
  <c r="S888"/>
  <c r="S887"/>
  <c r="S886"/>
  <c r="S885"/>
  <c r="S884"/>
  <c r="S883"/>
  <c r="S882"/>
  <c r="S881"/>
  <c r="S880"/>
  <c r="S879"/>
  <c r="S878"/>
  <c r="S877"/>
  <c r="S876"/>
  <c r="S875"/>
  <c r="S874"/>
  <c r="S873"/>
  <c r="S872"/>
  <c r="S871"/>
  <c r="S870"/>
  <c r="S869"/>
  <c r="S868"/>
  <c r="S867"/>
  <c r="S866"/>
  <c r="S865"/>
  <c r="S864"/>
  <c r="S863"/>
  <c r="S862"/>
  <c r="S861"/>
  <c r="S860"/>
  <c r="S859"/>
  <c r="S858"/>
  <c r="S857"/>
  <c r="S856"/>
  <c r="S855"/>
  <c r="S854"/>
  <c r="S853"/>
  <c r="S852"/>
  <c r="S851"/>
  <c r="S850"/>
  <c r="S849"/>
  <c r="S848"/>
  <c r="S847"/>
  <c r="S846"/>
  <c r="S845"/>
  <c r="S844"/>
  <c r="S843"/>
  <c r="S842"/>
  <c r="S841"/>
  <c r="S840"/>
  <c r="S839"/>
  <c r="S838"/>
  <c r="S837"/>
  <c r="S836"/>
  <c r="S835"/>
  <c r="S834"/>
  <c r="S833"/>
  <c r="S832"/>
  <c r="S831"/>
  <c r="V830"/>
  <c r="S830"/>
  <c r="S829"/>
  <c r="S828"/>
  <c r="S827"/>
  <c r="S826"/>
  <c r="S825"/>
  <c r="S824"/>
  <c r="S823"/>
  <c r="S822"/>
  <c r="S821"/>
  <c r="S820"/>
  <c r="S819"/>
  <c r="S818"/>
  <c r="S817"/>
  <c r="S816"/>
  <c r="S815"/>
  <c r="S814"/>
  <c r="S813"/>
  <c r="S812"/>
  <c r="V811"/>
  <c r="S811"/>
  <c r="S810"/>
  <c r="S809"/>
  <c r="S808"/>
  <c r="S807"/>
  <c r="S806"/>
  <c r="S805"/>
  <c r="S804"/>
  <c r="S803"/>
  <c r="S802"/>
  <c r="S801"/>
  <c r="S800"/>
  <c r="S799"/>
  <c r="S798"/>
  <c r="S797"/>
  <c r="S796"/>
  <c r="S795"/>
  <c r="S794"/>
  <c r="S793"/>
  <c r="S792"/>
  <c r="S791"/>
  <c r="S790"/>
  <c r="S789"/>
  <c r="S788"/>
  <c r="S787"/>
  <c r="S786"/>
  <c r="S785"/>
  <c r="S784"/>
  <c r="S783"/>
  <c r="S782"/>
  <c r="S781"/>
  <c r="S780"/>
  <c r="S779"/>
  <c r="S778"/>
  <c r="S777"/>
  <c r="S776"/>
  <c r="S775"/>
  <c r="S774"/>
  <c r="S773"/>
  <c r="S772"/>
  <c r="S771"/>
  <c r="S770"/>
  <c r="S769"/>
  <c r="S768"/>
  <c r="S767"/>
  <c r="S766"/>
  <c r="S765"/>
  <c r="S764"/>
  <c r="S763"/>
  <c r="S762"/>
  <c r="S761"/>
  <c r="S760"/>
  <c r="S759"/>
  <c r="S758"/>
  <c r="S757"/>
  <c r="S756"/>
  <c r="S755"/>
  <c r="S754"/>
  <c r="S753"/>
  <c r="S752"/>
  <c r="S751"/>
  <c r="S750"/>
  <c r="S749"/>
  <c r="S748"/>
  <c r="S747"/>
  <c r="S746"/>
  <c r="S745"/>
  <c r="S744"/>
  <c r="S743"/>
  <c r="S742"/>
  <c r="S741"/>
  <c r="S740"/>
  <c r="S739"/>
  <c r="S738"/>
  <c r="S737"/>
  <c r="S736"/>
  <c r="S735"/>
  <c r="S734"/>
  <c r="S733"/>
  <c r="S732"/>
  <c r="S731"/>
  <c r="S730"/>
  <c r="S729"/>
  <c r="S728"/>
  <c r="S727"/>
  <c r="S726"/>
  <c r="S725"/>
  <c r="S724"/>
  <c r="S723"/>
  <c r="S722"/>
  <c r="S721"/>
  <c r="S720"/>
  <c r="S719"/>
  <c r="S718"/>
  <c r="V717"/>
  <c r="S717"/>
  <c r="S716"/>
  <c r="S715"/>
  <c r="S714"/>
  <c r="S713"/>
  <c r="S712"/>
  <c r="S711"/>
  <c r="S710"/>
  <c r="S709"/>
  <c r="S708"/>
  <c r="S707"/>
  <c r="S706"/>
  <c r="S705"/>
  <c r="S704"/>
  <c r="S703"/>
  <c r="S702"/>
  <c r="S701"/>
  <c r="S700"/>
  <c r="S699"/>
  <c r="S698"/>
  <c r="S697"/>
  <c r="S696"/>
  <c r="S695"/>
  <c r="S694"/>
  <c r="S693"/>
  <c r="S692"/>
  <c r="S691"/>
  <c r="S690"/>
  <c r="S689"/>
  <c r="S688"/>
  <c r="S687"/>
  <c r="S686"/>
  <c r="S685"/>
  <c r="S684"/>
  <c r="S683"/>
  <c r="S682"/>
  <c r="S681"/>
  <c r="S680"/>
  <c r="S679"/>
  <c r="S678"/>
  <c r="S677"/>
  <c r="S676"/>
  <c r="S675"/>
  <c r="S674"/>
  <c r="S673"/>
  <c r="S672"/>
  <c r="S671"/>
  <c r="S670"/>
  <c r="S669"/>
  <c r="S668"/>
  <c r="S667"/>
  <c r="S666"/>
  <c r="S665"/>
  <c r="S664"/>
  <c r="S663"/>
  <c r="S662"/>
  <c r="S661"/>
  <c r="S660"/>
  <c r="S659"/>
  <c r="S658"/>
  <c r="S657"/>
  <c r="S656"/>
  <c r="S655"/>
  <c r="S654"/>
  <c r="S653"/>
  <c r="S652"/>
  <c r="S651"/>
  <c r="S650"/>
  <c r="S649"/>
  <c r="S648"/>
  <c r="S647"/>
  <c r="S646"/>
  <c r="S645"/>
  <c r="S644"/>
  <c r="S643"/>
  <c r="S642"/>
  <c r="S641"/>
  <c r="S640"/>
  <c r="S639"/>
  <c r="S638"/>
  <c r="S637"/>
  <c r="S636"/>
  <c r="S635"/>
  <c r="S634"/>
  <c r="S633"/>
  <c r="S632"/>
  <c r="S631"/>
  <c r="V631" s="1"/>
  <c r="S630"/>
  <c r="S629"/>
  <c r="S628"/>
  <c r="S627"/>
  <c r="S626"/>
  <c r="S625"/>
  <c r="S624"/>
  <c r="S623"/>
  <c r="S622"/>
  <c r="S621"/>
  <c r="S620"/>
  <c r="S619"/>
  <c r="S618"/>
  <c r="S617"/>
  <c r="S616"/>
  <c r="S615"/>
  <c r="S614"/>
  <c r="S613"/>
  <c r="S612"/>
  <c r="S611"/>
  <c r="S610"/>
  <c r="S609"/>
  <c r="S608"/>
  <c r="S607"/>
  <c r="S606"/>
  <c r="S605"/>
  <c r="S604"/>
  <c r="S603"/>
  <c r="S602"/>
  <c r="S601"/>
  <c r="S600"/>
  <c r="S599"/>
  <c r="S598"/>
  <c r="S597"/>
  <c r="S596"/>
  <c r="S595"/>
  <c r="S594"/>
  <c r="S593"/>
  <c r="S592"/>
  <c r="S591"/>
  <c r="S590"/>
  <c r="S589"/>
  <c r="S588"/>
  <c r="S587"/>
  <c r="S586"/>
  <c r="S585"/>
  <c r="S584"/>
  <c r="S583"/>
  <c r="S582"/>
  <c r="S581"/>
  <c r="S580"/>
  <c r="S579"/>
  <c r="S578"/>
  <c r="S577"/>
  <c r="S576"/>
  <c r="S575"/>
  <c r="S574"/>
  <c r="S573"/>
  <c r="S572"/>
  <c r="S571"/>
  <c r="V570"/>
  <c r="S570"/>
  <c r="S569"/>
  <c r="S568"/>
  <c r="S567"/>
  <c r="S566"/>
  <c r="S565"/>
  <c r="S564"/>
  <c r="S563"/>
  <c r="S562"/>
  <c r="S561"/>
  <c r="S560"/>
  <c r="S559"/>
  <c r="S558"/>
  <c r="S557"/>
  <c r="S556"/>
  <c r="S555"/>
  <c r="S554"/>
  <c r="S553"/>
  <c r="S552"/>
  <c r="S551"/>
  <c r="S550"/>
  <c r="S549"/>
  <c r="S548"/>
  <c r="S547"/>
  <c r="S546"/>
  <c r="S545"/>
  <c r="S544"/>
  <c r="S543"/>
  <c r="S542"/>
  <c r="V541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V500"/>
  <c r="S500"/>
  <c r="S499"/>
  <c r="S498"/>
  <c r="S497"/>
  <c r="S496"/>
  <c r="S495"/>
  <c r="S494"/>
  <c r="S493"/>
  <c r="S492"/>
  <c r="S491"/>
  <c r="S490"/>
  <c r="S489"/>
  <c r="S488"/>
  <c r="V487"/>
  <c r="S487"/>
  <c r="S486"/>
  <c r="S485"/>
  <c r="S484"/>
  <c r="S483"/>
  <c r="S482"/>
  <c r="S481"/>
  <c r="S480"/>
  <c r="S479"/>
  <c r="V478"/>
  <c r="S478"/>
  <c r="V477"/>
  <c r="S477"/>
  <c r="V476"/>
  <c r="S476"/>
  <c r="S475"/>
  <c r="S474"/>
  <c r="S473"/>
  <c r="S472"/>
  <c r="S471"/>
  <c r="S470"/>
  <c r="S469"/>
  <c r="S468"/>
  <c r="S467"/>
  <c r="S466"/>
  <c r="S465"/>
  <c r="S464"/>
  <c r="S463"/>
  <c r="V462"/>
  <c r="S462"/>
  <c r="S461"/>
  <c r="S460"/>
  <c r="S459"/>
  <c r="S458"/>
  <c r="S457"/>
  <c r="S456"/>
  <c r="S455"/>
  <c r="S454"/>
  <c r="V453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V418" s="1"/>
  <c r="S417"/>
  <c r="S416"/>
  <c r="S415"/>
  <c r="S414"/>
  <c r="S413"/>
  <c r="S412"/>
  <c r="S411"/>
  <c r="S410"/>
  <c r="S409"/>
  <c r="S408"/>
  <c r="S407"/>
  <c r="S406"/>
  <c r="S405"/>
  <c r="S404"/>
  <c r="S403"/>
  <c r="S402"/>
  <c r="V401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V325"/>
  <c r="S325"/>
  <c r="S324"/>
  <c r="S323"/>
  <c r="V322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V289"/>
  <c r="S289"/>
  <c r="S288"/>
  <c r="S287"/>
  <c r="S286"/>
  <c r="S285"/>
  <c r="S284"/>
  <c r="S283"/>
  <c r="S282"/>
  <c r="S281"/>
  <c r="S280"/>
  <c r="S279"/>
  <c r="S278"/>
  <c r="V277"/>
  <c r="S277"/>
  <c r="S276"/>
  <c r="S275"/>
  <c r="S274"/>
  <c r="S273"/>
  <c r="S272"/>
  <c r="S271"/>
  <c r="S270"/>
  <c r="V270" s="1"/>
  <c r="S269"/>
  <c r="S268"/>
  <c r="S267"/>
  <c r="S266"/>
  <c r="S265"/>
  <c r="S264"/>
  <c r="S263"/>
  <c r="S262"/>
  <c r="S261"/>
  <c r="S260"/>
  <c r="S259"/>
  <c r="S258"/>
  <c r="S257"/>
  <c r="S256"/>
  <c r="S255"/>
  <c r="V254"/>
  <c r="S254"/>
  <c r="S253"/>
  <c r="S252"/>
  <c r="V251"/>
  <c r="S251"/>
  <c r="S250"/>
  <c r="S249"/>
  <c r="V248"/>
  <c r="S248"/>
  <c r="V247"/>
  <c r="S247"/>
  <c r="S246"/>
  <c r="S245"/>
  <c r="S244"/>
  <c r="S243"/>
  <c r="S242"/>
  <c r="V242" s="1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V198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V179"/>
  <c r="S179"/>
  <c r="S178"/>
  <c r="V178" s="1"/>
  <c r="S177"/>
  <c r="S176"/>
  <c r="S175"/>
  <c r="S174"/>
  <c r="S173"/>
  <c r="V173" s="1"/>
  <c r="S172"/>
  <c r="S171"/>
  <c r="S170"/>
  <c r="S169"/>
  <c r="S168"/>
  <c r="S167"/>
  <c r="S166"/>
  <c r="S165"/>
  <c r="S164"/>
  <c r="V163"/>
  <c r="S163"/>
  <c r="S162"/>
  <c r="S161"/>
  <c r="S160"/>
  <c r="S159"/>
  <c r="V159" s="1"/>
  <c r="S158"/>
  <c r="V157"/>
  <c r="S157"/>
  <c r="S156"/>
  <c r="S155"/>
  <c r="V154"/>
  <c r="S154"/>
  <c r="S153"/>
  <c r="S152"/>
  <c r="S151"/>
  <c r="S150"/>
  <c r="S149"/>
  <c r="S148"/>
  <c r="S147"/>
  <c r="S146"/>
  <c r="S145"/>
  <c r="S144"/>
  <c r="S143"/>
  <c r="V142"/>
  <c r="S142"/>
  <c r="S141"/>
  <c r="S140"/>
  <c r="S139"/>
  <c r="S138"/>
  <c r="S137"/>
  <c r="S136"/>
  <c r="S135"/>
  <c r="S134"/>
  <c r="S133"/>
  <c r="S132"/>
  <c r="S131"/>
  <c r="S130"/>
  <c r="S129"/>
  <c r="S128"/>
  <c r="V127"/>
  <c r="S127"/>
  <c r="S126"/>
  <c r="S125"/>
  <c r="V125" s="1"/>
  <c r="S124"/>
  <c r="S123"/>
  <c r="S122"/>
  <c r="S121"/>
  <c r="S120"/>
  <c r="S119"/>
  <c r="S118"/>
  <c r="S117"/>
  <c r="S116"/>
  <c r="S115"/>
  <c r="S114"/>
  <c r="S113"/>
  <c r="S112"/>
  <c r="S111"/>
  <c r="V110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V74"/>
  <c r="S74"/>
  <c r="S73"/>
  <c r="S72"/>
  <c r="S71"/>
  <c r="S70"/>
  <c r="S69"/>
  <c r="S68"/>
  <c r="S67"/>
  <c r="S66"/>
  <c r="S65"/>
  <c r="S64"/>
  <c r="S63"/>
  <c r="V63" s="1"/>
  <c r="V62"/>
  <c r="S62"/>
  <c r="S61"/>
  <c r="S60"/>
  <c r="S59"/>
  <c r="S58"/>
  <c r="V57"/>
  <c r="S57"/>
  <c r="S56"/>
  <c r="S55"/>
  <c r="V54"/>
  <c r="S54"/>
  <c r="S53"/>
  <c r="S52"/>
  <c r="S51"/>
  <c r="S50"/>
  <c r="S49"/>
  <c r="S48"/>
  <c r="S47"/>
  <c r="S46"/>
  <c r="S45"/>
  <c r="S44"/>
  <c r="S43"/>
  <c r="V42"/>
  <c r="S42"/>
  <c r="S41"/>
  <c r="S40"/>
  <c r="S39"/>
  <c r="S38"/>
  <c r="S37"/>
  <c r="S36"/>
  <c r="S35"/>
  <c r="S34"/>
  <c r="S33"/>
  <c r="S32"/>
  <c r="S31"/>
  <c r="S30"/>
  <c r="S29"/>
  <c r="S28"/>
  <c r="V27"/>
  <c r="S27"/>
  <c r="S26"/>
  <c r="S25"/>
  <c r="S24"/>
  <c r="S23"/>
  <c r="S22"/>
  <c r="V22" s="1"/>
  <c r="S21"/>
  <c r="S20"/>
  <c r="V19"/>
  <c r="S19"/>
  <c r="S18"/>
  <c r="S17"/>
  <c r="S16"/>
  <c r="S15"/>
  <c r="S14"/>
  <c r="V13"/>
  <c r="S13"/>
  <c r="S12"/>
  <c r="V12" s="1"/>
  <c r="S11"/>
  <c r="V10"/>
  <c r="S10"/>
  <c r="S9"/>
  <c r="S8"/>
  <c r="S7"/>
  <c r="S6"/>
  <c r="S5"/>
  <c r="V4"/>
  <c r="S4"/>
  <c r="S3"/>
  <c r="S2"/>
</calcChain>
</file>

<file path=xl/sharedStrings.xml><?xml version="1.0" encoding="utf-8"?>
<sst xmlns="http://schemas.openxmlformats.org/spreadsheetml/2006/main" count="24433" uniqueCount="13092">
  <si>
    <t>CERTIFICADO</t>
  </si>
  <si>
    <t>EXPEDIENTE INSCRIPCION    EE</t>
  </si>
  <si>
    <t>RAZON SOCIAL</t>
  </si>
  <si>
    <t>CUIT</t>
  </si>
  <si>
    <t>ACTIVIDAD</t>
  </si>
  <si>
    <t>RUBRO</t>
  </si>
  <si>
    <t>DOMICILIO LEGAL                              calle y Nº</t>
  </si>
  <si>
    <t>DOMICILIO LEGAL Localidad</t>
  </si>
  <si>
    <t>DOMICILIO LEGAL  Depto.</t>
  </si>
  <si>
    <t>DOMICILIO REAL                     calle y N°</t>
  </si>
  <si>
    <t>DOMICILIO REAL localidad</t>
  </si>
  <si>
    <t>DOMICILIO REAL Depto.</t>
  </si>
  <si>
    <t>CORREO ELECTRONICO P/NOTIFICAR</t>
  </si>
  <si>
    <t>TELEFONOS DE CONTACTO</t>
  </si>
  <si>
    <t>CERTIFICACION ISO</t>
  </si>
  <si>
    <t>CATEGORIAS DE CONTROL AUTORIZADAS</t>
  </si>
  <si>
    <t>Nº Resol. de Inscripción</t>
  </si>
  <si>
    <t>R</t>
  </si>
  <si>
    <t>M x R</t>
  </si>
  <si>
    <t>INDIV</t>
  </si>
  <si>
    <t>INFORME TÉCNICO</t>
  </si>
  <si>
    <t>TEF 2025</t>
  </si>
  <si>
    <t>LIBRO DE OPERATORIA</t>
  </si>
  <si>
    <t xml:space="preserve"> DDJJ 2021</t>
  </si>
  <si>
    <t>DDJJ 2022</t>
  </si>
  <si>
    <t>DDJJ 2023</t>
  </si>
  <si>
    <t>DDJJ 2024</t>
  </si>
  <si>
    <t>DDJJ de ABRIL 2024</t>
  </si>
  <si>
    <t>DDJJ 2025</t>
  </si>
  <si>
    <t>DDJJ 2026</t>
  </si>
  <si>
    <t>G - 000001</t>
  </si>
  <si>
    <t>EX-2018-01621874-GDEMZA-DPA#SAYOT</t>
  </si>
  <si>
    <t>GEMSA - GENERADORA ELECTRICA MENDOZA S.A. - San Rafael</t>
  </si>
  <si>
    <t>30-70700521-8</t>
  </si>
  <si>
    <t>generación de energia eléctrica</t>
  </si>
  <si>
    <t>ENERGIA  ELECTRICA-GENER Y DISTRIB</t>
  </si>
  <si>
    <t>Cipolleti 911</t>
  </si>
  <si>
    <t>LAS COMPUERTAS</t>
  </si>
  <si>
    <t>LUJAN DE CUYO</t>
  </si>
  <si>
    <t>Ruta 173 km 7</t>
  </si>
  <si>
    <t>Cuadro Benegas</t>
  </si>
  <si>
    <t>SAN RAFAEL</t>
  </si>
  <si>
    <t>mpoidomani@gemsa.com.ar</t>
  </si>
  <si>
    <t>261-6122222</t>
  </si>
  <si>
    <t>Y8-Y48</t>
  </si>
  <si>
    <t>262/2008</t>
  </si>
  <si>
    <t>MINIMA</t>
  </si>
  <si>
    <t>NO</t>
  </si>
  <si>
    <t>G - 000004</t>
  </si>
  <si>
    <t>EX-2018-01355103-GDEMZA-DPA#SAYOT</t>
  </si>
  <si>
    <t>GEMSA - GENERADORA ELECTRICA MENDOZA S.A. - Luján de Cuyo</t>
  </si>
  <si>
    <t xml:space="preserve">Capitán de Fragata Moyano 171- Dpto.2 </t>
  </si>
  <si>
    <t>CAPITAL</t>
  </si>
  <si>
    <t>MENDOZA</t>
  </si>
  <si>
    <t>Cipoletti 911</t>
  </si>
  <si>
    <t>Las Compuertas</t>
  </si>
  <si>
    <t>369/2002</t>
  </si>
  <si>
    <t>G - 000005</t>
  </si>
  <si>
    <t>EX-2018-00690775-GDEMZA-DPA#SAYOT</t>
  </si>
  <si>
    <t>HOLCIM (ARGENTINA) S.A.</t>
  </si>
  <si>
    <t>30-50111112-7</t>
  </si>
  <si>
    <t>Fab. De cemento</t>
  </si>
  <si>
    <t>INDUSTRIA QUIMICA</t>
  </si>
  <si>
    <t>Ruta Prov. 52 Km 17,5</t>
  </si>
  <si>
    <t>Capdevila</t>
  </si>
  <si>
    <t>LAS HERAS</t>
  </si>
  <si>
    <t>ignacio.rosa@holcim.com, maria.santosfassi@holcim.com, arg-ambiental-capdeville@holcim.com</t>
  </si>
  <si>
    <t>2612052350 / 45216400</t>
  </si>
  <si>
    <t>Y8-Y9-Y10-Y12-Y18-Y48</t>
  </si>
  <si>
    <t>361/2002</t>
  </si>
  <si>
    <t>INDIVIDUAL</t>
  </si>
  <si>
    <t>SI</t>
  </si>
  <si>
    <t>G - 000008</t>
  </si>
  <si>
    <t>EX-2018-01411825-GDEMZA-DPA#SAYOT</t>
  </si>
  <si>
    <t>SWACO DE ARGENTINA S.A. - Russell - MAIPU</t>
  </si>
  <si>
    <t>30-68990279-7</t>
  </si>
  <si>
    <t>Serv. de inyección petrolera</t>
  </si>
  <si>
    <t xml:space="preserve">INDUSTRIA  DEL PETROLEO (Y SERVICIOS) </t>
  </si>
  <si>
    <t>Espejo 246</t>
  </si>
  <si>
    <t xml:space="preserve">Russell </t>
  </si>
  <si>
    <t>MAIPU</t>
  </si>
  <si>
    <t>rodolfo.storelli@speedy.com.ar</t>
  </si>
  <si>
    <t>0261-4976890</t>
  </si>
  <si>
    <t>Y8-Y9-Y18-Y34-Y35-Y48</t>
  </si>
  <si>
    <t>1194/2007</t>
  </si>
  <si>
    <t>G - 000009</t>
  </si>
  <si>
    <t>EX-2018-00434344-GDEMZA-DPA#SAYOT</t>
  </si>
  <si>
    <t>HIDROELECTRICA LOS NIHUILES S.A.</t>
  </si>
  <si>
    <t>30-67642119-6</t>
  </si>
  <si>
    <t>Montevideo 230 - 3º piso, Of 1.</t>
  </si>
  <si>
    <t>Ruta Prov. Nº 173 - km 22</t>
  </si>
  <si>
    <t>El Nihuil</t>
  </si>
  <si>
    <t>dfunes@pampa.com, lguidobono@pampa.com</t>
  </si>
  <si>
    <t>261-4494900</t>
  </si>
  <si>
    <t>Y8-Y9-Y48</t>
  </si>
  <si>
    <t>1695/2003</t>
  </si>
  <si>
    <t>2000-3000</t>
  </si>
  <si>
    <t>G - 000010</t>
  </si>
  <si>
    <t>EX-2018-00434362-GDEMZA-DPA#SAYOT</t>
  </si>
  <si>
    <t>HIDROELECTRICA DIAMANTE S.A.</t>
  </si>
  <si>
    <t>30-67820825-2</t>
  </si>
  <si>
    <t xml:space="preserve">Montevideo 230 - 3º piso, Of 1 </t>
  </si>
  <si>
    <t>Camino Interno Km. 7, Paraje Los Reyunos</t>
  </si>
  <si>
    <t>Villa 25 de Mayo</t>
  </si>
  <si>
    <t>319/2013</t>
  </si>
  <si>
    <t>4000-6000</t>
  </si>
  <si>
    <t>G - 000014</t>
  </si>
  <si>
    <t>EX-2018-01324906-GDEMZA-DPA#SAYOT</t>
  </si>
  <si>
    <t>GOLDSTEIN S.A. - AUDI</t>
  </si>
  <si>
    <t>30-69470912-1</t>
  </si>
  <si>
    <t>Mantenimiento y reparación del motor NCP mecánica integral</t>
  </si>
  <si>
    <t>AUTOMOTORES: CONCESIONARIAS, TALLERES  Y AFINES</t>
  </si>
  <si>
    <t>Catamarca 586</t>
  </si>
  <si>
    <t>Pascual Toso 93</t>
  </si>
  <si>
    <t>San José</t>
  </si>
  <si>
    <t>GUAYMALLEN</t>
  </si>
  <si>
    <t>jpotenzone@mariogoldsteinsa.com, mrmg1473@hotmail.com</t>
  </si>
  <si>
    <t>Y8-Y9-Y12-Y48</t>
  </si>
  <si>
    <t>390/2002</t>
  </si>
  <si>
    <t>G - 000015</t>
  </si>
  <si>
    <t xml:space="preserve">EX-2023-05640504-   -GDEMZA-DPA#SAYOT - TC - EX-2018-03419778-GDEMZA-DPA#SAYO </t>
  </si>
  <si>
    <t>NIHUIL MOTOR SACAFI</t>
  </si>
  <si>
    <t>30-54319222-4</t>
  </si>
  <si>
    <t>Venta de repuestos y accesorios legítimos</t>
  </si>
  <si>
    <t>Bandera de Los Andes 5368</t>
  </si>
  <si>
    <t>Villa Nueva</t>
  </si>
  <si>
    <t>eromero@mariogoldsteinsa.com.ar, slavarias@mariogoldsteinsa.com.ar</t>
  </si>
  <si>
    <t>261-4263608</t>
  </si>
  <si>
    <t>422/2002</t>
  </si>
  <si>
    <t>3000-4000</t>
  </si>
  <si>
    <t>presento descargo</t>
  </si>
  <si>
    <t>G - 000016</t>
  </si>
  <si>
    <t>EX-2018-01432055-GDEMZA-DPA#SAYOT</t>
  </si>
  <si>
    <t>PETROQUIMICA CUYO S.A.I.C.</t>
  </si>
  <si>
    <t>30-58342640-6</t>
  </si>
  <si>
    <t>Producción de polipropileno</t>
  </si>
  <si>
    <t>Av. Acceso Parque Ind. s/n</t>
  </si>
  <si>
    <t>Distrito Industrial</t>
  </si>
  <si>
    <t>alejandro.porta.ext@petrocuyo.com, marcos.bajuk@petrocuyo.com</t>
  </si>
  <si>
    <t>0261-4983860 261-4196193</t>
  </si>
  <si>
    <t>Y8-Y9-Y12-Y22-Y23-Y29- Y31-Y34-Y35-Y42-Y48</t>
  </si>
  <si>
    <t>802/2012</t>
  </si>
  <si>
    <t>G - 000020</t>
  </si>
  <si>
    <t>EX-2018-02396008-GDEMZA-DPA#SAYOT</t>
  </si>
  <si>
    <t>VENETA SYSTEM SUDAMERICANA S.A.</t>
  </si>
  <si>
    <t>33-69958551-9</t>
  </si>
  <si>
    <t>Proceso ind. de reciclado de cartuchos</t>
  </si>
  <si>
    <t>SERVICIOS GRAFICOS Y AFINES</t>
  </si>
  <si>
    <t>San Martín 1730</t>
  </si>
  <si>
    <t>GODOY CRUZ</t>
  </si>
  <si>
    <t>info@venetasudamericana.com.ar</t>
  </si>
  <si>
    <t>Y12-Y48</t>
  </si>
  <si>
    <t>927/2003</t>
  </si>
  <si>
    <t>G - 000024</t>
  </si>
  <si>
    <t>EX-2018-02563601-GDEMZA-DPA#SAYOT</t>
  </si>
  <si>
    <t>CERVECERIA Y MALTERIA QUILMES SAICA y G</t>
  </si>
  <si>
    <t>33-50835825-9</t>
  </si>
  <si>
    <t>ELABORACION DE CERVEZA</t>
  </si>
  <si>
    <t>ALIMENTOS Y BEBIDAS (exc. Bodegas)</t>
  </si>
  <si>
    <t>Cervantes 2289</t>
  </si>
  <si>
    <t xml:space="preserve">Gobernador Benegas </t>
  </si>
  <si>
    <t>Gobernador Benegas</t>
  </si>
  <si>
    <t>mjargana@quilmes.com.ar</t>
  </si>
  <si>
    <t>261-5115619 / 4136600 INT 13425</t>
  </si>
  <si>
    <t>Y8-Y9-Y12-Y29-Y35-Y48</t>
  </si>
  <si>
    <t>735/2002</t>
  </si>
  <si>
    <t>G - 000029</t>
  </si>
  <si>
    <t>EX-2018-00690917-GDEMZA-DPA#SAYOT</t>
  </si>
  <si>
    <t>YPF S.A. - REFINERIA LUJAN DE CUYO</t>
  </si>
  <si>
    <t>30-54668997-9</t>
  </si>
  <si>
    <t>refinación de petróleo: elaboración de combustible</t>
  </si>
  <si>
    <t>Ruta 87 Km 11</t>
  </si>
  <si>
    <t>gilda.mezzatesta@ypf.com, manuel.jordan@ypf.com</t>
  </si>
  <si>
    <t>261-3653160 / 2612452368</t>
  </si>
  <si>
    <t>Y8-Y9-Y11-Y12-Y18-Y23-Y26-Y29-Y31-Y34-Y35-Y36-Y48</t>
  </si>
  <si>
    <t>804/2002</t>
  </si>
  <si>
    <t>G - 000036</t>
  </si>
  <si>
    <t>EX-2022-01395236- -GDEMZA-DPA#SAYOT - TC - EX-2018-02396156-GDEMZA-DPA#SAYOT</t>
  </si>
  <si>
    <t>AMARILLO BERMELLON SA</t>
  </si>
  <si>
    <t>30-71656538-2</t>
  </si>
  <si>
    <t>Estación de servicio y lavadero</t>
  </si>
  <si>
    <t>EST. DE SERVICIO, LUBRIC, LAV.</t>
  </si>
  <si>
    <t>Acc. Este Lat. Sur  y  Rondeau</t>
  </si>
  <si>
    <t>Acc. Este Lat. Sur  4300 Y  Rondeau</t>
  </si>
  <si>
    <t>anticipar3@gmail.com; carlos.astie@abingenieria.com.ar</t>
  </si>
  <si>
    <t>2614979775 - 2613058503</t>
  </si>
  <si>
    <t>1154/2002</t>
  </si>
  <si>
    <t>G - 000039</t>
  </si>
  <si>
    <t>EX-2018-01374947-GDEMZA-DPA#SAYOT</t>
  </si>
  <si>
    <t>DISTROCUYO S.A. - GUAYMALLEN -</t>
  </si>
  <si>
    <t>30-68243458-5</t>
  </si>
  <si>
    <t>Transporte de Energía Eléctrica en Alta Tensión</t>
  </si>
  <si>
    <t xml:space="preserve">Acceso Este esq. Bonfanti s/n  </t>
  </si>
  <si>
    <t xml:space="preserve">Rodeo de la Cruz </t>
  </si>
  <si>
    <t>lbrothier@distrocuyo.com, pberchessi@distrocuyo.com, gdondero@distrocuyo.com</t>
  </si>
  <si>
    <t>261-4910700 - 2616376092</t>
  </si>
  <si>
    <t>Y8-Y9-Y12-Y31-Y48</t>
  </si>
  <si>
    <t>301/2003</t>
  </si>
  <si>
    <t>1000-2000</t>
  </si>
  <si>
    <t>G - 000047</t>
  </si>
  <si>
    <t>EX-2018-02396026-GDEMZA-DPA#SAYOT</t>
  </si>
  <si>
    <t>LIBOR S.A.</t>
  </si>
  <si>
    <t>30-70771941-5</t>
  </si>
  <si>
    <t>Reparación de impresoras</t>
  </si>
  <si>
    <t>OTRAS INDUSTRIAS Y/O SERVICIOS</t>
  </si>
  <si>
    <t xml:space="preserve">Alberdi 424 </t>
  </si>
  <si>
    <t>CAPITAL - MZA</t>
  </si>
  <si>
    <t>administracion@lacasadelaimpresora.com.ar</t>
  </si>
  <si>
    <t>311/2003</t>
  </si>
  <si>
    <t>G - 000049</t>
  </si>
  <si>
    <t>EX-2018-02462042-GDEMZA-DPA#SAYOT</t>
  </si>
  <si>
    <t>DROGUERIA POLO S.R.L.</t>
  </si>
  <si>
    <t>30-62282110-5</t>
  </si>
  <si>
    <t>Drogueria Industrial</t>
  </si>
  <si>
    <t xml:space="preserve">Rioja 992 </t>
  </si>
  <si>
    <t>Diamante 148</t>
  </si>
  <si>
    <t>San Francisco del Monte</t>
  </si>
  <si>
    <t>proveedores@drogueriapolo.com.ar, jorgerufini@gmail.com</t>
  </si>
  <si>
    <t>4204122 - 2615151824</t>
  </si>
  <si>
    <t>Y12-Y13-Y34-Y35-Y48</t>
  </si>
  <si>
    <t>944/2006</t>
  </si>
  <si>
    <t>G - 000050</t>
  </si>
  <si>
    <t>EX-2021-764347-GDEMZA-DPA#SAYOT - TC - EX-2018-01481883-GDEMZA-DPA#SAYOT</t>
  </si>
  <si>
    <t>ITALO ARGENTINO S.A.</t>
  </si>
  <si>
    <t>30-71611995-1</t>
  </si>
  <si>
    <t>refinación de petróleos</t>
  </si>
  <si>
    <t>Cº Santa Elena s/n</t>
  </si>
  <si>
    <t>Parque Industrial</t>
  </si>
  <si>
    <t>jiboccio@wico.com.ar, romina.ramos@wico.com.ar</t>
  </si>
  <si>
    <t>261-5898699 / 2614984775</t>
  </si>
  <si>
    <t>Y8-Y9-Y11-Y48</t>
  </si>
  <si>
    <t>300/2003</t>
  </si>
  <si>
    <t>G - 000055</t>
  </si>
  <si>
    <t>EX-2018-00882209-GDEMZA-DPA#SAYOT</t>
  </si>
  <si>
    <t>CENTRAL PUERTO S.A. (Planta Mendoza)</t>
  </si>
  <si>
    <t>33-65030549-9</t>
  </si>
  <si>
    <t>Generación térmica de energia eléctrica</t>
  </si>
  <si>
    <t>Ruta Prov. Nº 84 s/n</t>
  </si>
  <si>
    <t>P.I.P.</t>
  </si>
  <si>
    <t>osvaldoreca@fibertel.com.ar, pamela.ulloa@centralpuerto.com</t>
  </si>
  <si>
    <t>2615076923 - 261-521600</t>
  </si>
  <si>
    <t>Y8-Y9-Y12-Y29-Y36-Y48</t>
  </si>
  <si>
    <t>304/2003</t>
  </si>
  <si>
    <t>G - 000056</t>
  </si>
  <si>
    <t>EX-2018-0164551-GDEMZA-DPA#SAYOT</t>
  </si>
  <si>
    <t>DALLWYN S.A.</t>
  </si>
  <si>
    <t>30-70478574-3</t>
  </si>
  <si>
    <t>Estación de Servicio</t>
  </si>
  <si>
    <t>Morón 498</t>
  </si>
  <si>
    <t>matiascoletto@yahoo.com.ar, administracion@dallwyn.com.ar</t>
  </si>
  <si>
    <t>4237146 -  2613832253</t>
  </si>
  <si>
    <t>949/2003</t>
  </si>
  <si>
    <t>600-1000</t>
  </si>
  <si>
    <t>G - 000058</t>
  </si>
  <si>
    <t>EX-2018-01782218-GDEMZA-DPA#SAYOT</t>
  </si>
  <si>
    <t>SERVICENTRO VICINO S.R.L.</t>
  </si>
  <si>
    <t>30-70884558-7</t>
  </si>
  <si>
    <t>Gomería, Lubricentro, lavadero</t>
  </si>
  <si>
    <t xml:space="preserve">Elena de Raffo 2420 </t>
  </si>
  <si>
    <t>Elena de Raffo 2420</t>
  </si>
  <si>
    <t>tramiteslucero2016@gmail.com, servicentrovicino@gmail.com</t>
  </si>
  <si>
    <t xml:space="preserve">4283142 - 2615587862
</t>
  </si>
  <si>
    <t>950/2006</t>
  </si>
  <si>
    <t>G - 000059</t>
  </si>
  <si>
    <t>EX-2018-02184520-GDEMZA-DPA#SAYOT</t>
  </si>
  <si>
    <t>EDEMSA - EMPRESA DISTRIBUIDORA DE ELECTRICIDAD MENDOZA S.A. -</t>
  </si>
  <si>
    <t>30-69954245-4</t>
  </si>
  <si>
    <t>Distribución de energía Eléctrica</t>
  </si>
  <si>
    <t>Belgrano 815</t>
  </si>
  <si>
    <t>Primitivo de la Reta 471/515</t>
  </si>
  <si>
    <t>rcuello@edemsa.com, lnobile@edemsa.com</t>
  </si>
  <si>
    <t>2616627944 - 2614412200</t>
  </si>
  <si>
    <t>Y8-Y9-Y12-Y18-Y31-Y48</t>
  </si>
  <si>
    <t>659/2003</t>
  </si>
  <si>
    <t>G - 000061</t>
  </si>
  <si>
    <t>EX-2018-03082402-GDEMZA-DPA#SAYOT</t>
  </si>
  <si>
    <t>ESTACION DE SERVICIO JOCOLI S.R.L.</t>
  </si>
  <si>
    <t>30-68420406-4</t>
  </si>
  <si>
    <t>Venta de comb. Liq. , gas nat, repuestos y accesorio de vehiculos</t>
  </si>
  <si>
    <t>Pedro Pascual Segura  1600</t>
  </si>
  <si>
    <t>anticipar3@gmail.com, administracion@esjocoli.com.ar</t>
  </si>
  <si>
    <t>87/2006</t>
  </si>
  <si>
    <t>G - 000067</t>
  </si>
  <si>
    <t>EX-2018-01452476-GDEMZA-DPA#SAYOT</t>
  </si>
  <si>
    <t>TELLO BERTA LILIANA</t>
  </si>
  <si>
    <t>27-11809308-4</t>
  </si>
  <si>
    <t>Tintorería / lavandería</t>
  </si>
  <si>
    <t>TINTORERIAS</t>
  </si>
  <si>
    <t>Bogota 7622</t>
  </si>
  <si>
    <t>La Puntilla</t>
  </si>
  <si>
    <t>Moldes 1023  (WALMART) Local 12</t>
  </si>
  <si>
    <t>Dorrego</t>
  </si>
  <si>
    <t>lilyschiavone@yahoo.com.ar</t>
  </si>
  <si>
    <t>261-4317600 7 261-5256800</t>
  </si>
  <si>
    <t>Y18-Y41</t>
  </si>
  <si>
    <t>515/2003</t>
  </si>
  <si>
    <t>G - 000068</t>
  </si>
  <si>
    <t>EX-2018-01608012-GDEMZA-DPA#SAYOT</t>
  </si>
  <si>
    <t>ESPOSITO EDGARDO MARCELO</t>
  </si>
  <si>
    <t>20-14532095-0</t>
  </si>
  <si>
    <t xml:space="preserve">Tintorería </t>
  </si>
  <si>
    <t>Balcarce 897 - Jumbo, Local Nº 1030</t>
  </si>
  <si>
    <t>Balcarce 897 - Jumbo, Local Nº  1030</t>
  </si>
  <si>
    <t>marceloesposito@yahoo.com.ar, alfredososa@yahoo.com.ar</t>
  </si>
  <si>
    <t>261-556802</t>
  </si>
  <si>
    <t>Y18</t>
  </si>
  <si>
    <t>512/2003</t>
  </si>
  <si>
    <t>G - 000069</t>
  </si>
  <si>
    <t>EX-2018-02471988-GDEMZA-DPA#SAYOT</t>
  </si>
  <si>
    <t>LA COOPERATIVA, Empresa Eléctrica de Godoy Cruz Ltda.</t>
  </si>
  <si>
    <t>30-54571754-5</t>
  </si>
  <si>
    <t xml:space="preserve">Florencio Sanchez 420 </t>
  </si>
  <si>
    <t>Sarmiento 389</t>
  </si>
  <si>
    <t>ggrabiec@cegc.com.ar, elmagnaghi@yahoo.com.ar, mvicencio@cegc.com.ar</t>
  </si>
  <si>
    <t>261-4494600 - 2616363553</t>
  </si>
  <si>
    <t>670/2003</t>
  </si>
  <si>
    <t>G - 000070</t>
  </si>
  <si>
    <t>EX-2018-01481866-GDEMZA-DPA#SAYOT</t>
  </si>
  <si>
    <t>EDESTE S.A. - EMPRESA DISTRIBUIDORA DE ELECTRICIDAD DEL ESTE S.A.</t>
  </si>
  <si>
    <t>30-70517626-0</t>
  </si>
  <si>
    <t xml:space="preserve">Boulogne Sur Mer 490 </t>
  </si>
  <si>
    <t>SAN MARTÍN</t>
  </si>
  <si>
    <t>mcerda@edeste.com.ar, fformento@edeste.com.ar, rstasi@edeste.com.ar</t>
  </si>
  <si>
    <t>263-4412130</t>
  </si>
  <si>
    <t>Y8-Y9-Y29-Y48</t>
  </si>
  <si>
    <t>901/2003</t>
  </si>
  <si>
    <t>G - 000071</t>
  </si>
  <si>
    <t>EX-2018-01501740-GDEMZA-DPA#SAYOT</t>
  </si>
  <si>
    <t>COOPERATIVA ELÉCTRICA Y ANEXOS POPULAR DE RIVADAVIA LTDA</t>
  </si>
  <si>
    <t>30-54571723-5</t>
  </si>
  <si>
    <t>Sarmiento Nº 528</t>
  </si>
  <si>
    <t>Ciudad</t>
  </si>
  <si>
    <t>RIVADAVIA</t>
  </si>
  <si>
    <t>Sarmiento 528</t>
  </si>
  <si>
    <t>jrodriguez@cooperativapopular.com.ar, jfornasari@cooperativapopular.com.ar, aconcatti@cooperativapopular.com.ar</t>
  </si>
  <si>
    <t xml:space="preserve">2634443670 / 2634755302
</t>
  </si>
  <si>
    <t>489/2006 AOP</t>
  </si>
  <si>
    <t>G - 000072</t>
  </si>
  <si>
    <t>EX-2018-02396173-GDEMZA-DPA#SAYOT</t>
  </si>
  <si>
    <t>COOP. ELECTRICA MONTE COMAN LTDA</t>
  </si>
  <si>
    <t>30-54575862-4</t>
  </si>
  <si>
    <t xml:space="preserve">Italia 52 </t>
  </si>
  <si>
    <t xml:space="preserve"> Monte Comán</t>
  </si>
  <si>
    <t>cooperativaelectricamontecoman@gmail.com</t>
  </si>
  <si>
    <t>02627-490087</t>
  </si>
  <si>
    <t>674/2003  AOP</t>
  </si>
  <si>
    <t>G - 000073</t>
  </si>
  <si>
    <t>EX-2018-02696675-GDEMZA-DPA#SAYOT</t>
  </si>
  <si>
    <t>CECSAGAL - COOP. DE ELECTRICIDAD, CONSUMO, COMERCIALIZACIÓN, VIVIENDA Y SERVICIOS ASISTENCIALES “GENERAL ALVEAR LIMITADA"</t>
  </si>
  <si>
    <t>30-52260126-4</t>
  </si>
  <si>
    <t>ROCA 930</t>
  </si>
  <si>
    <t>COLONIA ALVEAR</t>
  </si>
  <si>
    <t>GENERAL ALVEAR</t>
  </si>
  <si>
    <t xml:space="preserve">Zamenhoff 27 </t>
  </si>
  <si>
    <t>seguridad.lucero@gmail.com, info@cecsagl.com.ar, miboldi@cecsagal.com.ar</t>
  </si>
  <si>
    <t xml:space="preserve">2625422055 / 2625-436443 </t>
  </si>
  <si>
    <t>669/2003</t>
  </si>
  <si>
    <t>G - 000074</t>
  </si>
  <si>
    <t>EX-2018-01514866-GDEMZA-DPA#SAYOT</t>
  </si>
  <si>
    <t>COOP. ELECT. RURAL SUD RIO TUNUYAN RIVADAVIA LTDA.</t>
  </si>
  <si>
    <t>30-54575404-1</t>
  </si>
  <si>
    <t>Rioja 641</t>
  </si>
  <si>
    <t xml:space="preserve">Lavalle 641 </t>
  </si>
  <si>
    <t>tecnica@sudrio.com, fgerlo@sudrio.com</t>
  </si>
  <si>
    <t xml:space="preserve"> 263-4660085 / 263-4544229</t>
  </si>
  <si>
    <t>762/2003</t>
  </si>
  <si>
    <t>G - 000075</t>
  </si>
  <si>
    <t>EX-2018-00136285-GDEMZA-DPA#SAYOT</t>
  </si>
  <si>
    <t>COOP. DE OBRAS y SERVICIOS PÚBLICOS, ASISTENCIAL y CONSUMO DE BOWEN LTDA. (C.O.SP.AC)</t>
  </si>
  <si>
    <t>30-54574685-5</t>
  </si>
  <si>
    <t>Manuel Ignacio Molina 916</t>
  </si>
  <si>
    <t xml:space="preserve">Centenario s/n </t>
  </si>
  <si>
    <t>Bowen</t>
  </si>
  <si>
    <t>ingpoli@hotmail.com.ar, gestoriaambiental.mza@gmail.com</t>
  </si>
  <si>
    <t>2625400351
261-6631257</t>
  </si>
  <si>
    <t>707/2003</t>
  </si>
  <si>
    <t>G - 000076</t>
  </si>
  <si>
    <t>EX-2018-01793182-GDEMZA-DPA#SAYOT</t>
  </si>
  <si>
    <t>COOPERATIVA DE ELECTRICIDAD, EDIFICACIÓN Y SERVICIOS PÚBLICOS SANTA ROSA LTDA</t>
  </si>
  <si>
    <t>30-58702675-5</t>
  </si>
  <si>
    <t xml:space="preserve">Rioja 351 </t>
  </si>
  <si>
    <t>Calle 1 y Calle 5</t>
  </si>
  <si>
    <t xml:space="preserve">El Marcado </t>
  </si>
  <si>
    <t>SANTA ROSA</t>
  </si>
  <si>
    <t>paulaebarros@hotmail.com, federico_vanin@yahoo.com.ar</t>
  </si>
  <si>
    <t>2614534622 - 2614242890</t>
  </si>
  <si>
    <t>693/2003</t>
  </si>
  <si>
    <t>G - 000077</t>
  </si>
  <si>
    <t>EX-2018-01786549-GDEMZA-DPA#SAYOT</t>
  </si>
  <si>
    <t>COOP. ELECT. Y DE SERV. PUB. MEDRANO LTDA.</t>
  </si>
  <si>
    <t>30-54579109-5</t>
  </si>
  <si>
    <t>Calle Rioja 351</t>
  </si>
  <si>
    <t>Luis Correas 216</t>
  </si>
  <si>
    <t>Medrano</t>
  </si>
  <si>
    <t>ajorge@celecmedrano.com.ar, coop@celecmedrano.com.ar</t>
  </si>
  <si>
    <t>263-4561653</t>
  </si>
  <si>
    <t>668/2003</t>
  </si>
  <si>
    <t>G - 000078</t>
  </si>
  <si>
    <t>EX-2018-01236270-GDEMZA-DPA#SAYOT</t>
  </si>
  <si>
    <t>TRANSPORTE MESSINA S. A.</t>
  </si>
  <si>
    <t>33-68319023-9</t>
  </si>
  <si>
    <t>Transporte nac. e internacional de carga en gral</t>
  </si>
  <si>
    <t>EMPRESAS DE TRANSPORTE (PERSONAS Y/O CARGAS)</t>
  </si>
  <si>
    <t>Colón 460 , 4º piso, Dpto "B"</t>
  </si>
  <si>
    <t>Acceso Este,  lat Sur,   Km 7,5</t>
  </si>
  <si>
    <t>Rodeo de la Cruz</t>
  </si>
  <si>
    <t>messina@transportesmessina.com.ar, afrotellini@gmail.com</t>
  </si>
  <si>
    <t xml:space="preserve"> 261-4215859</t>
  </si>
  <si>
    <t>Y8-Y9-Y12-Y29-Y48</t>
  </si>
  <si>
    <t>549/2003</t>
  </si>
  <si>
    <t>G - 000079</t>
  </si>
  <si>
    <t>EX-2018-02696646-GDEMZA-DPA#SAYOT</t>
  </si>
  <si>
    <t>COOP. DE ELECTRIFICACIÓN RURAL ALTO VERDE Y ALGARROBO GRANDE LTDA.</t>
  </si>
  <si>
    <t>30-54576414-4</t>
  </si>
  <si>
    <t>Distribucion de energia eléctrica</t>
  </si>
  <si>
    <t>25 de Mayo 43</t>
  </si>
  <si>
    <t>Godoy Cruz 197</t>
  </si>
  <si>
    <t>rrhhcoope@sanmartinmza.com.ar, ivanavalli@hotmail.com</t>
  </si>
  <si>
    <t>2634577606 - 2634439900</t>
  </si>
  <si>
    <t>Y8-Y9-Y11-Y12-Y48</t>
  </si>
  <si>
    <t>950/2003</t>
  </si>
  <si>
    <t>G - 000082</t>
  </si>
  <si>
    <t>EX-2018-02396055-GDEMZA-DPA#SAYOT</t>
  </si>
  <si>
    <t>JUSTH ETHEL EUGENIA</t>
  </si>
  <si>
    <t>27-24891356-3</t>
  </si>
  <si>
    <t>venta de insumos y remanufactura de cartuchos de impresoras</t>
  </si>
  <si>
    <t xml:space="preserve">Catamarca 123 </t>
  </si>
  <si>
    <t>impremax@arlinkbbt.com.ar</t>
  </si>
  <si>
    <t>0261-4258700/4238896</t>
  </si>
  <si>
    <t>Y12 - Y48</t>
  </si>
  <si>
    <t>1679/2005</t>
  </si>
  <si>
    <t>G - 000083</t>
  </si>
  <si>
    <t>EX-2018-02376574-GDEMZA-DPA#SAYOT</t>
  </si>
  <si>
    <t>CARMONA ALEJANDRA BEATRIZ</t>
  </si>
  <si>
    <t>27-22939537-3</t>
  </si>
  <si>
    <t>venta de combustibles y minimercado</t>
  </si>
  <si>
    <t xml:space="preserve">Perito Moreno 1350 </t>
  </si>
  <si>
    <t>Barrio Parque</t>
  </si>
  <si>
    <t>hugo.baldin@gmail.com</t>
  </si>
  <si>
    <t>261-509112</t>
  </si>
  <si>
    <t>947/2006</t>
  </si>
  <si>
    <t>G - 000084</t>
  </si>
  <si>
    <t>EX-2018-01544059-GDEMZA-DPA#SAYOT</t>
  </si>
  <si>
    <t>TECNO-ELECTRO de Sandra Liliana Silva</t>
  </si>
  <si>
    <t>27-20722120-7</t>
  </si>
  <si>
    <t>Fab. De Transformadores</t>
  </si>
  <si>
    <t>Acceso Sur 6881- Lat  E</t>
  </si>
  <si>
    <t>Carrodilla</t>
  </si>
  <si>
    <t>administracion@tecno-electro.com, tecnoelectro2222@yahoo.com.ar</t>
  </si>
  <si>
    <t>261-5377676</t>
  </si>
  <si>
    <t>682/2003</t>
  </si>
  <si>
    <t>G - 000086</t>
  </si>
  <si>
    <t>EX-2018-01375095-GDEMZA-DPA#SAYOT</t>
  </si>
  <si>
    <t>BARESI S.R.L</t>
  </si>
  <si>
    <t>30-62451781-0</t>
  </si>
  <si>
    <t>Reciclado y comercialización de materia prima plástica</t>
  </si>
  <si>
    <t>Rodriguez Peña 3468</t>
  </si>
  <si>
    <t xml:space="preserve">Coquimbito </t>
  </si>
  <si>
    <t>administracion@baresi.com.ar, zammitto15@gmail.com, freddybrodsky@baresi.com.ar</t>
  </si>
  <si>
    <t>261-3473915 2614978027</t>
  </si>
  <si>
    <t>925/2003</t>
  </si>
  <si>
    <t>3095579-3095528</t>
  </si>
  <si>
    <t>G - 000087</t>
  </si>
  <si>
    <t>EX-2018-01464674-GDEMZA-DPA#SAYOT</t>
  </si>
  <si>
    <t>GANP S.A.</t>
  </si>
  <si>
    <t>33-69026382-9</t>
  </si>
  <si>
    <t>Venta de Ccomb. Liquidos y lubricantes</t>
  </si>
  <si>
    <t>Godoy Cruz 6477 esq. Tirasso</t>
  </si>
  <si>
    <t>Capilla del Rosario</t>
  </si>
  <si>
    <t>shellganp@gmail.com, nelsongenna68@gmail.com</t>
  </si>
  <si>
    <t>261-4215059/ 261-3058504</t>
  </si>
  <si>
    <t>935/2003</t>
  </si>
  <si>
    <t>G - 000088</t>
  </si>
  <si>
    <t>EX-2022-00626737- -GDEMZA-DPA#SAYOT - TC - EX-2018-02455425-GDEMZA-DPA#SAYOT</t>
  </si>
  <si>
    <t>DORINKA S.R.L. - GUAYMALLÉN</t>
  </si>
  <si>
    <t>30-67813830-0</t>
  </si>
  <si>
    <t>HIPERMERCADO</t>
  </si>
  <si>
    <t>SUPERMERCADOS Y MAYORISTAS</t>
  </si>
  <si>
    <t>Moldes 1023</t>
  </si>
  <si>
    <t xml:space="preserve">Moldes 1023 </t>
  </si>
  <si>
    <t xml:space="preserve">jorge.cuadra@gdnargentina.com, gaston.nusdeo@gdnargentina.com, </t>
  </si>
  <si>
    <t>2614323260 / 2616864700</t>
  </si>
  <si>
    <t>Y8-Y9-Y12-Y29-Y41-Y45-Y48</t>
  </si>
  <si>
    <t>2219/2004</t>
  </si>
  <si>
    <t>G - 000105</t>
  </si>
  <si>
    <t>EX-2018-00422622-GDEMZA-DPA#SAYOT</t>
  </si>
  <si>
    <t>OPESSA - SHOPPING MENDOZA -</t>
  </si>
  <si>
    <t>30-67877449-5</t>
  </si>
  <si>
    <t xml:space="preserve">Venta de combustibles </t>
  </si>
  <si>
    <t>Acceso Este Lateral Este y Avellaneda 3280</t>
  </si>
  <si>
    <t xml:space="preserve">SAN JOSE </t>
  </si>
  <si>
    <t>masretail@ypf.com, carolinaozollo@gmail.com</t>
  </si>
  <si>
    <t>2614217608 / 2613654775</t>
  </si>
  <si>
    <t>1353/2003</t>
  </si>
  <si>
    <t>G - 000106</t>
  </si>
  <si>
    <t>EX-2018-00415328-GDEMZA-DPA#SAYOT</t>
  </si>
  <si>
    <t>OPESSA - ACA - MENDOZA, CAPITAL</t>
  </si>
  <si>
    <t>AMIGORENA ESQ. SAN MARTÍN 25</t>
  </si>
  <si>
    <t xml:space="preserve">261-153654795 / 02614290633
</t>
  </si>
  <si>
    <t>1235/2003</t>
  </si>
  <si>
    <t>G - 000108</t>
  </si>
  <si>
    <t>EX-2024-01471133-   -GDEMZA-DPA#SAYOT - TC - EX-2018-00422628-GDEMZA-DPA#SAYOT</t>
  </si>
  <si>
    <t>KM 1107 SA - USPALLATA</t>
  </si>
  <si>
    <t>30-71642202-6</t>
  </si>
  <si>
    <t>Ruta Nac. Nº 7 Km 1146.400 (Ascendente)</t>
  </si>
  <si>
    <t>Uspallata</t>
  </si>
  <si>
    <t>j.l.venier@hotmail.com</t>
  </si>
  <si>
    <t>1503/2003</t>
  </si>
  <si>
    <t>G - 000109</t>
  </si>
  <si>
    <t>EX-2018-00413027-GDEMZA-DPA#SAYOT</t>
  </si>
  <si>
    <t>OPESSA - A.C.A SAN RAFAEL -</t>
  </si>
  <si>
    <t>Hipólito Irigoyen 515</t>
  </si>
  <si>
    <t>2604304026 / 02604436807</t>
  </si>
  <si>
    <t>1334/2003</t>
  </si>
  <si>
    <t>G - 000110</t>
  </si>
  <si>
    <t>EX-2018-00413037-GDEMZA-DPA#SAYOT</t>
  </si>
  <si>
    <t>OPESSA - SAN RAFAEL Calle Sarmiento -</t>
  </si>
  <si>
    <t>Av. El LIbertador  y Sarmiento 890</t>
  </si>
  <si>
    <t>2613654139 / 2604687557</t>
  </si>
  <si>
    <t>1491/2003</t>
  </si>
  <si>
    <t>G - 000111</t>
  </si>
  <si>
    <t>EX-2018-01515695-GDEMZA-DPA#SAYOT</t>
  </si>
  <si>
    <t>CASTRONOVO, EMILIO ANTONIO</t>
  </si>
  <si>
    <t>20-17650504-5</t>
  </si>
  <si>
    <t>LUBRICENTRO</t>
  </si>
  <si>
    <t xml:space="preserve">Carril Ponce 880 </t>
  </si>
  <si>
    <t>consulgreenmendoza@gmail.com, lubri@yahoo.com.ar</t>
  </si>
  <si>
    <t>261-2097076</t>
  </si>
  <si>
    <t>1052/2003</t>
  </si>
  <si>
    <t>G - 000114</t>
  </si>
  <si>
    <t>EX-2018-02396235-GDEMZA-DPA#SAYOT</t>
  </si>
  <si>
    <t>ARENYS S.R.L. - Shoping -</t>
  </si>
  <si>
    <t>30-70948584-5</t>
  </si>
  <si>
    <t>Tintoreria</t>
  </si>
  <si>
    <t>Agustín Álvarez 26, PB Of. 3</t>
  </si>
  <si>
    <t>Acceso Este, Lat. N. 3280  (Shhoping)</t>
  </si>
  <si>
    <t>1197/2003</t>
  </si>
  <si>
    <t>G - 000117</t>
  </si>
  <si>
    <t>EX-2018-01236279-GDEMZA-DPA#SAYOT</t>
  </si>
  <si>
    <t>EMPRESA DE SERVICIOS INDUSTRIALES MECANICOS S.R.L. (ESIM)</t>
  </si>
  <si>
    <t>30-67635797-8</t>
  </si>
  <si>
    <t>Mantenimiento industrial</t>
  </si>
  <si>
    <t>INDUSTRIAS METALURGICA / METALMECANICA</t>
  </si>
  <si>
    <t>Parque Industrial Provincial entre calle 1 y 2.</t>
  </si>
  <si>
    <t>Perdriel</t>
  </si>
  <si>
    <t>seguridad@esimsrl.com.ar, administracion@esimsrl.com.ar silvaluis58@yahoo.com.ar</t>
  </si>
  <si>
    <t>4985247 /2613698102</t>
  </si>
  <si>
    <t>1041/2003</t>
  </si>
  <si>
    <t>G - 000137</t>
  </si>
  <si>
    <t>EX-2018-02140423-GDEMZA-DPA#SAYOT</t>
  </si>
  <si>
    <t>YACOPINI INVERSORA S.A. - RODRIGUEZ PEÑA -</t>
  </si>
  <si>
    <t>30-70758986-4</t>
  </si>
  <si>
    <t>Service vehiculos nuevos</t>
  </si>
  <si>
    <t>Rodriguez Peña 1600</t>
  </si>
  <si>
    <t>fricca@toyotayacopini.com, vtrentacoste@toyotayacopini.com</t>
  </si>
  <si>
    <t>2614052800 - 2615751114</t>
  </si>
  <si>
    <t>348/2011</t>
  </si>
  <si>
    <t>G - 000143</t>
  </si>
  <si>
    <t>EX-2018-02242791-GDEMZA-DPA#SAYOT</t>
  </si>
  <si>
    <t>PETROPLAST PETROFISA PLÁSTICOS S.A.</t>
  </si>
  <si>
    <t>30-57103851-6</t>
  </si>
  <si>
    <t>Fab. de tanques y tubos de PRFV</t>
  </si>
  <si>
    <t>Av. San Martín 988 - 4º piso</t>
  </si>
  <si>
    <t xml:space="preserve">Ruta Provincial 50 - Km 1005 </t>
  </si>
  <si>
    <t>yunesmarta1974@gmail.com, jorge.bergioli@petroplasmza.com.ar</t>
  </si>
  <si>
    <t>01143222927 - 2645278398</t>
  </si>
  <si>
    <t>Y6-Y8-Y12-Y48</t>
  </si>
  <si>
    <t>1231/2003</t>
  </si>
  <si>
    <t>G - 000145</t>
  </si>
  <si>
    <t>EX-2018-02396119-GDEMZA-DPA#SAYOT</t>
  </si>
  <si>
    <t>OCTANO S.A. - 1 - SAN MARTIN SUR 575</t>
  </si>
  <si>
    <t>30-65049301-6</t>
  </si>
  <si>
    <t>Venta de naftas, GNC y lubricantes</t>
  </si>
  <si>
    <t xml:space="preserve">San Martín Sur 575 </t>
  </si>
  <si>
    <t>ecuello@octano.com.ar, hugo.baldin@gmail.com</t>
  </si>
  <si>
    <t xml:space="preserve">4350303 / 261-5268872 </t>
  </si>
  <si>
    <t>1237/2003</t>
  </si>
  <si>
    <t>G - 000151</t>
  </si>
  <si>
    <t>EX-2018-01789453-GDEMZA-DPA#SAYOT</t>
  </si>
  <si>
    <t>GASODUCTO GASANDES ARGENTINA S.A. - SAN CARLOS</t>
  </si>
  <si>
    <t>30-68149824-5</t>
  </si>
  <si>
    <t>Compresión y transporte de Gas Natural</t>
  </si>
  <si>
    <t>Serú 365</t>
  </si>
  <si>
    <t>Ruta Nac. Nº 40 - Km 3137</t>
  </si>
  <si>
    <t>Pareditas</t>
  </si>
  <si>
    <t>San Carlos</t>
  </si>
  <si>
    <t>alejandro.fernandez@gasandes.com, luis_santos@gcg.com</t>
  </si>
  <si>
    <t>1086/2006</t>
  </si>
  <si>
    <t>G - 000152</t>
  </si>
  <si>
    <t>EX-2018-01401744-GDEMZA-DPA#SAYOT</t>
  </si>
  <si>
    <t>CUYO PLACAS S.A. - Planta de Revestimientos -</t>
  </si>
  <si>
    <t>30-59747321-0</t>
  </si>
  <si>
    <t xml:space="preserve">Revestimiento de placas </t>
  </si>
  <si>
    <t>INDUSTRIA  DE LA MADERA</t>
  </si>
  <si>
    <t xml:space="preserve">Acc. Norte Km 5,2, Lateral Este  </t>
  </si>
  <si>
    <t>Plumerillo</t>
  </si>
  <si>
    <t>Laterl Oeste Acceso Norte y Pedro P. Segura</t>
  </si>
  <si>
    <t>El Zapallar</t>
  </si>
  <si>
    <t>sgarcia@cuyoplacas.com.ar, iredigonda@fiplasto.com.ar</t>
  </si>
  <si>
    <t>4306000 / int 150 y 121 / 261-153160628</t>
  </si>
  <si>
    <t>Y8-Y29-Y48</t>
  </si>
  <si>
    <t>339/2013</t>
  </si>
  <si>
    <t>G - 000156</t>
  </si>
  <si>
    <t>EX-2018-02513773-GDEMZA-DPA#SAYOT</t>
  </si>
  <si>
    <t>YPF S.A. - Terminal de Despacho de Combustible - Luján de Cuyo y Planta GLP - Cipolletti.</t>
  </si>
  <si>
    <t>Despacho de combustible y GLP (gas licuado de petróleo)</t>
  </si>
  <si>
    <t>Ruta Prov. Nº 87 Km 10</t>
  </si>
  <si>
    <t>matias.v.acosta@ypf.com, mario.gadea@ypf.com</t>
  </si>
  <si>
    <t>261-3653358 / 2613500000</t>
  </si>
  <si>
    <t>Y8-Y9-Y12-Y18-Y42-Y48</t>
  </si>
  <si>
    <t>1470/2003</t>
  </si>
  <si>
    <t>G - 000164</t>
  </si>
  <si>
    <t>EX-2021-01391257- -GDEMZA-DPA#SAYOT TC EX-2018-01658966-GDEMZA-DPA#SAYOT</t>
  </si>
  <si>
    <t>PECOM SERVICIOS ENERGIA S.A. - Parque Industrial, Luján de Cuyo -</t>
  </si>
  <si>
    <t>30-65442469-8</t>
  </si>
  <si>
    <t>Servicios Petroleros</t>
  </si>
  <si>
    <t xml:space="preserve">San Martín 1832 </t>
  </si>
  <si>
    <t>Mayor Drummond</t>
  </si>
  <si>
    <t>Ruta Prov. Nº 87 N° 8400, KM 10</t>
  </si>
  <si>
    <t>PEDRIEL - Parque Industrial Municipal</t>
  </si>
  <si>
    <t>maria.tarragona@pecomenergia.com.ar, arnaldo.aravena@pecomenergia.com.ar</t>
  </si>
  <si>
    <t>297 448 1017 - 2616614987</t>
  </si>
  <si>
    <t>Y8-Y9-Y12-Y34-Y48</t>
  </si>
  <si>
    <t>1753/2003</t>
  </si>
  <si>
    <t>G - 000165</t>
  </si>
  <si>
    <t>EX-2018-00485807-GDEMZA-DPA#SAYOT</t>
  </si>
  <si>
    <t>CEMPPSA - CONSORCIO DE EMPRESAS MENDOCINAS PARA POTRERILLOS S.A.- Central Hidroeléctrica Cacheuta</t>
  </si>
  <si>
    <t>30-69470158-9</t>
  </si>
  <si>
    <t>Generación de energía eléctrica</t>
  </si>
  <si>
    <t>Rodríguez Peña 4447</t>
  </si>
  <si>
    <t>Coquimbito</t>
  </si>
  <si>
    <t>Ruta Provincial Nº 82 Km 37,5</t>
  </si>
  <si>
    <t xml:space="preserve">Cacheuta </t>
  </si>
  <si>
    <t>jcordone@cemppsa.com.ar, seguridadyambiente-mendoza@outlook.com, cemppsa@cemppsa.com.ar</t>
  </si>
  <si>
    <t>2624490113 - 2616828555</t>
  </si>
  <si>
    <t>1385/2007</t>
  </si>
  <si>
    <t>G - 000166</t>
  </si>
  <si>
    <t>EX-2018-00434329-GDEMZA-DPA#SAYOT</t>
  </si>
  <si>
    <t>CEMPPSA - CONSORCIO DE EMPRESAS MENDOCINAS PARA POTRERILLOS S.A. - Central Hidroeléctrica Álvarez Condarco</t>
  </si>
  <si>
    <t xml:space="preserve">Ruta Provincial Nº 82 Km 27 </t>
  </si>
  <si>
    <t xml:space="preserve">Alvarez Condarco </t>
  </si>
  <si>
    <t>cemppsa@cemppsa.com.ar, seeguridadyambiente-mendoza@outlook.com, seeguridadyambiente-mendoza@outlook.com</t>
  </si>
  <si>
    <t>261-6540867 - 2624490113</t>
  </si>
  <si>
    <t>067/2013</t>
  </si>
  <si>
    <t>G - 000167</t>
  </si>
  <si>
    <t>EX-2018-00434388-GDEMZA-DPA#SAYOT</t>
  </si>
  <si>
    <t>CEMPPSA - CONSORCIO DE EMPRESAS MENDOCINAS PARA POTRERILLOS S.A.- Central Hidroeléctrica El Carrizal</t>
  </si>
  <si>
    <t xml:space="preserve">Ruta Provincial Nº 61 s/n </t>
  </si>
  <si>
    <t>Carrizal de Abajo</t>
  </si>
  <si>
    <t>seguridadyambiente-mendoza@outlook.com, jcordone@cemppsa.com.ar, cemppsa@cemppsa.com.ar</t>
  </si>
  <si>
    <t>261-6540867 -2624490114</t>
  </si>
  <si>
    <t>Y8-Y9-Y12-Y26-Y29-Y35-Y48</t>
  </si>
  <si>
    <t>1387/2007</t>
  </si>
  <si>
    <t>G - 000170</t>
  </si>
  <si>
    <t>EX-2018-02833791-GDEMZA-DPA#SAYOT</t>
  </si>
  <si>
    <t>AGROSPEC ARGENTINA S.A.</t>
  </si>
  <si>
    <t>33-70809768-9</t>
  </si>
  <si>
    <t>Fab. De productos quimicos</t>
  </si>
  <si>
    <t>Acceso Sur, Lat E,  Nº 6627</t>
  </si>
  <si>
    <t>Cerro Santa Elena s/n</t>
  </si>
  <si>
    <t>Pedriel</t>
  </si>
  <si>
    <t>evitale@agrospec.com.ar, eperez@agrospec.com.ar, lujaguillermo1@gmail.com</t>
  </si>
  <si>
    <t>2614695952 - 4981491</t>
  </si>
  <si>
    <t>Y5-Y8-Y12-Y22-Y48</t>
  </si>
  <si>
    <t>58/2004</t>
  </si>
  <si>
    <t>G - 000171</t>
  </si>
  <si>
    <t>EX-2018-01621881-GDEMZA-DPA#SAYOT</t>
  </si>
  <si>
    <t>FLOWSERVE S.R.L.</t>
  </si>
  <si>
    <t>30-50492558-3</t>
  </si>
  <si>
    <t>Fab. de bombas centrifugas</t>
  </si>
  <si>
    <t>Chuquisaca 302</t>
  </si>
  <si>
    <t>Villa Hipódromo</t>
  </si>
  <si>
    <t>crcodina@flowserve.com, rodostorelli@gmail.com, earra@flowserve.com</t>
  </si>
  <si>
    <t>261-3372769</t>
  </si>
  <si>
    <t>599/2004</t>
  </si>
  <si>
    <t>G - 000172</t>
  </si>
  <si>
    <t>EX-2023-01722526- -GDEMZA-DPA#SAYOT - TC - EX-2018-01507789-GDEMZA-DPA#SAYOT</t>
  </si>
  <si>
    <t>IMPSA SA</t>
  </si>
  <si>
    <t>30-50146646-4</t>
  </si>
  <si>
    <t>Metalúrgica</t>
  </si>
  <si>
    <t>INDUSTRIAS METALMECANICA</t>
  </si>
  <si>
    <t>Rodríguez Peña 2451</t>
  </si>
  <si>
    <t xml:space="preserve">San Francisco del Monte </t>
  </si>
  <si>
    <t>jorge.zaina@impsa.com, florencia.troglia@impsa.com, gaston.fernandez@impsa.com</t>
  </si>
  <si>
    <t>261-5110276 / 2614131300</t>
  </si>
  <si>
    <t>Y8-Y9-Y12-Y13-Y48</t>
  </si>
  <si>
    <t>1755/2003</t>
  </si>
  <si>
    <t>G - 000174</t>
  </si>
  <si>
    <t>EX-2018-01633368-GDEMZA-DPA#SAYOT</t>
  </si>
  <si>
    <t>UNILEVER DE ARGENTINA S.A.</t>
  </si>
  <si>
    <t>30-50109269-6</t>
  </si>
  <si>
    <t>Deshidratado de vegetales</t>
  </si>
  <si>
    <t xml:space="preserve">Carril Godoy Cruz  Nº 10.155 </t>
  </si>
  <si>
    <t>Rodeo de la Cruz Km 11</t>
  </si>
  <si>
    <t>Rodeo de la Cruz K m  11</t>
  </si>
  <si>
    <t>adrian.tahan@unilever.com, gperriello@litsaconsultores.com.ar, info@estudiovilaabogados.com.ar</t>
  </si>
  <si>
    <t>2612055051 - 2616126639</t>
  </si>
  <si>
    <t>Y6-Y8-Y9-Y12-Y29-Y31-Y34-Y36-Y48</t>
  </si>
  <si>
    <t>99/2006</t>
  </si>
  <si>
    <t>G - 000202</t>
  </si>
  <si>
    <t>EX-2018-00690821-GDEMZA-DPA#SAYOT</t>
  </si>
  <si>
    <t>RAYEN CURA S.A.I.C.</t>
  </si>
  <si>
    <t>30-50228166-2</t>
  </si>
  <si>
    <t>Fab.envases de vidrios</t>
  </si>
  <si>
    <t>OTRAS INDUSTRIAS</t>
  </si>
  <si>
    <t>Bandera de Los Andes 6070</t>
  </si>
  <si>
    <t>lucia.jaurrieta@verallia.com, luciano.villa@verallia.com</t>
  </si>
  <si>
    <t>2614130200 int 241</t>
  </si>
  <si>
    <t>Y8-Y9-Y12-Y18-Y21-Y25-Y29-Y31-Y34-Y41-Y48</t>
  </si>
  <si>
    <t>1507/2006</t>
  </si>
  <si>
    <t>G - 000210</t>
  </si>
  <si>
    <t>EX-2018-02396085-GDEMZA-DPA#SAYOT</t>
  </si>
  <si>
    <t>INC S.A.  - Av. Las Heras</t>
  </si>
  <si>
    <t>30-68731043-4</t>
  </si>
  <si>
    <t>Av. Las Heras 798</t>
  </si>
  <si>
    <t>Las Heras esq. Belgrano</t>
  </si>
  <si>
    <t>osvaldo_salinas@carrefour.com, gutisjd@gmail.com</t>
  </si>
  <si>
    <t>Y8-Y12-Y29-Y48</t>
  </si>
  <si>
    <t>1250/04</t>
  </si>
  <si>
    <t>G - 000220</t>
  </si>
  <si>
    <t>EX-2018-01481874-GDEMZA-DPA#SAYOT</t>
  </si>
  <si>
    <t>RECICLAR MENDOZA de CONTRERAS, LUISA BEATRIZ</t>
  </si>
  <si>
    <t>27-26246393-7</t>
  </si>
  <si>
    <t>Serv. de recarga de cartuchos p/ impresoras</t>
  </si>
  <si>
    <t xml:space="preserve">San Lorenzo 83 </t>
  </si>
  <si>
    <t>franciscomanzone1@hotmail.com</t>
  </si>
  <si>
    <t>261-4600141</t>
  </si>
  <si>
    <t>1292/2004</t>
  </si>
  <si>
    <t>G - 000246</t>
  </si>
  <si>
    <t>EX-2018-01485712-GDEMZA-DPA#SAYOT</t>
  </si>
  <si>
    <t>TRANSPORTE DE PASAJEROS GENERAL ROCA S.R.L.</t>
  </si>
  <si>
    <t>30-54648445-6</t>
  </si>
  <si>
    <t>TRANSPORTE DE PASAJEROS</t>
  </si>
  <si>
    <t>Av. Libertad 1900</t>
  </si>
  <si>
    <t>alejandromolas@generalrocasrl.com.ar, albertolascano@generalrocasrl.com.ar, proexpan@gmail.com</t>
  </si>
  <si>
    <t>2615469800 - 4260856 - 2615557027</t>
  </si>
  <si>
    <t>Y6-Y8-Y9-Y12-Y48</t>
  </si>
  <si>
    <t>2067/2004</t>
  </si>
  <si>
    <t>G - 000250</t>
  </si>
  <si>
    <t>EX-2018-03426856-GDEMZA-DPA#SAYOT</t>
  </si>
  <si>
    <t>CENCOSUD S.A. - Balcarce 897</t>
  </si>
  <si>
    <t>30-59036076-3</t>
  </si>
  <si>
    <t>HIPERMERCADO DE LA CONSTRUCCION</t>
  </si>
  <si>
    <t>Balcarce 897</t>
  </si>
  <si>
    <t>maria.fontana@cencosud.com.ar; info@sipraservicios.com.ar</t>
  </si>
  <si>
    <t>2615110522 - 261-44998700</t>
  </si>
  <si>
    <t>Y8-Y9-Y12-Y29-Y-31-Y34-Y48</t>
  </si>
  <si>
    <t>2315/2004</t>
  </si>
  <si>
    <t>G - 000252</t>
  </si>
  <si>
    <t>EX-2018-01595580-GDEMZA-DPA#SAYOT</t>
  </si>
  <si>
    <t>MILERPRINT S.R.L.</t>
  </si>
  <si>
    <t>30-71042147-8</t>
  </si>
  <si>
    <t>reciclado de cartuchos</t>
  </si>
  <si>
    <t>Entre Rios 125</t>
  </si>
  <si>
    <t>info@milerprint.com, carmonamonicaliliana@gmail.com</t>
  </si>
  <si>
    <t>Y12- Y48</t>
  </si>
  <si>
    <t>2065/2004</t>
  </si>
  <si>
    <t>G - 000253</t>
  </si>
  <si>
    <t>EX-2018-01483410-GDEMZA-DPA#SAYOT</t>
  </si>
  <si>
    <t>INSTITUTO DE SANIDAD Y CALIDAD AGROPECUARIA MENDOZA (I.S.C.A.MEN)</t>
  </si>
  <si>
    <t>30-68928214-4</t>
  </si>
  <si>
    <t>almacenaje transitorio de agroquimicos y proces. de envases</t>
  </si>
  <si>
    <t>INSTITUCIONES PUBLICAS</t>
  </si>
  <si>
    <t xml:space="preserve">Boulogne Sur Mer 3050 </t>
  </si>
  <si>
    <t xml:space="preserve">Silvano Rodriguez s/n </t>
  </si>
  <si>
    <t>Km 8</t>
  </si>
  <si>
    <t>agroquimicos@iscamen.com.ar</t>
  </si>
  <si>
    <t>261-6924926</t>
  </si>
  <si>
    <t>Y4-Y48</t>
  </si>
  <si>
    <t>2329/2004</t>
  </si>
  <si>
    <t>EXENTO</t>
  </si>
  <si>
    <t>G - 000258</t>
  </si>
  <si>
    <t>EX-2018-00882129-GDEMZA-DPA#SAYOT</t>
  </si>
  <si>
    <t>DERIVADOS VINICOS S.A.</t>
  </si>
  <si>
    <t>30-71036250-1</t>
  </si>
  <si>
    <t>Elaboración de derivados vinicos</t>
  </si>
  <si>
    <t>INDUSTRIA VITIVINICOLA y SERVICIOS P/</t>
  </si>
  <si>
    <t>Variante Ruta Provincial Nº 50 s/n</t>
  </si>
  <si>
    <t>Palmira</t>
  </si>
  <si>
    <t>info@dervinsa.com.ar, roberto.peral@dervinsa.com.ar</t>
  </si>
  <si>
    <t xml:space="preserve">0263-4462668 / 263-4534531 </t>
  </si>
  <si>
    <t>154/2005</t>
  </si>
  <si>
    <t>G - 000266</t>
  </si>
  <si>
    <t>EX-2018-01561538-GDEMZA-DPA#SAYOT</t>
  </si>
  <si>
    <t>TECNIFER S.A.I.C.F.</t>
  </si>
  <si>
    <t>30-55389976-8</t>
  </si>
  <si>
    <t>Tratamientos térmicos</t>
  </si>
  <si>
    <t>Bandera de los Andes 3898</t>
  </si>
  <si>
    <t xml:space="preserve">gestoriaambiental.mza@gmail.com </t>
  </si>
  <si>
    <t>4441408/   2616631257/ 5502453</t>
  </si>
  <si>
    <t>Y7-Y8-Y33-Y48</t>
  </si>
  <si>
    <t>820/2005</t>
  </si>
  <si>
    <t>G - 000267</t>
  </si>
  <si>
    <t>EX-2018-00162287-GDEMZA-DPA#SAYOT</t>
  </si>
  <si>
    <t>PLASTIANDINO S.A.</t>
  </si>
  <si>
    <t>30-56604058-8</t>
  </si>
  <si>
    <t>Produccion de envases flexibles simple y multicapa</t>
  </si>
  <si>
    <t>Sarmiento 1151</t>
  </si>
  <si>
    <t>Cuadro Nacional</t>
  </si>
  <si>
    <t>hugobi@plastiandino.com, esteni@plastiandino.com</t>
  </si>
  <si>
    <t>0260 4442444</t>
  </si>
  <si>
    <t>Y8-Y9-Y12-Y18-Y40-Y42-Y48</t>
  </si>
  <si>
    <t>979/2005</t>
  </si>
  <si>
    <t>G - 000268</t>
  </si>
  <si>
    <t>EX-2018-01661079-GDEMZA-DPA#SAYOT</t>
  </si>
  <si>
    <t>NEUMATICOS Y LLANTAS DE LOS ANDES S.A.</t>
  </si>
  <si>
    <t>30-71125038-3</t>
  </si>
  <si>
    <t>Lubricentro y lavadero</t>
  </si>
  <si>
    <t>San Martin Sur N° 1050</t>
  </si>
  <si>
    <t>gapero45@hotmail.com, ricardoacm@live.com.ar</t>
  </si>
  <si>
    <t xml:space="preserve">4352222 - 2613409460
</t>
  </si>
  <si>
    <t>446/2006</t>
  </si>
  <si>
    <t>G - 000269</t>
  </si>
  <si>
    <t>EX-2018-02220642-GDEMZA-DPA#SAYOT</t>
  </si>
  <si>
    <t>EMBOTELLADORA DEL ATLANTICO S.A.</t>
  </si>
  <si>
    <t>30-52913594-3</t>
  </si>
  <si>
    <t>Centro de Distribución de bebidas analcohólicas</t>
  </si>
  <si>
    <t>Cervantes 960</t>
  </si>
  <si>
    <t>acilia@koandina.com, dantonetti@koandina.com</t>
  </si>
  <si>
    <t>Y6-Y8-Y9-Y12-Y29-Y34-Y35-Y48</t>
  </si>
  <si>
    <t>450/2006</t>
  </si>
  <si>
    <t>G - 000270</t>
  </si>
  <si>
    <t>EX-2018-01703208-GDEMZA-DPA#SAYOT</t>
  </si>
  <si>
    <t>COMERCIAL ARGON S.A.</t>
  </si>
  <si>
    <t>30-62616984-4</t>
  </si>
  <si>
    <t>Perú 1310</t>
  </si>
  <si>
    <t>dfranchetti@inversorafrade.com.ar, ricardofuentes2027@gmail.com</t>
  </si>
  <si>
    <t>0261-4380193</t>
  </si>
  <si>
    <t>453/2006</t>
  </si>
  <si>
    <t>G - 000271</t>
  </si>
  <si>
    <t>EX-2018-01659491-GDEMZA-DPA#SAYOT</t>
  </si>
  <si>
    <t>LAVAREY S.C. - GODOY CRUZ</t>
  </si>
  <si>
    <t>30-71543967-1</t>
  </si>
  <si>
    <t>Colon 339</t>
  </si>
  <si>
    <t>San Martín 161 y Rivadavia</t>
  </si>
  <si>
    <t>rubendmanfredi@hotmail.com</t>
  </si>
  <si>
    <t>0261-155189962</t>
  </si>
  <si>
    <t>546/2010</t>
  </si>
  <si>
    <t>G - 000272</t>
  </si>
  <si>
    <t>EX-2025-00375053-   -GDEMZA-DPA#SAYOT - TC - EX-2018-01481876-GDEMZA-DPA#SAYOT</t>
  </si>
  <si>
    <t>BAZAR Y CRISTAL SRL</t>
  </si>
  <si>
    <t>30-71045299-3</t>
  </si>
  <si>
    <t>Satinado y decorado de envases de vidrio</t>
  </si>
  <si>
    <t>Rastreador Fornier Nº 70</t>
  </si>
  <si>
    <t>Panquehua</t>
  </si>
  <si>
    <t>marcelamaio69@gmail.com, danieldelisi@yahoo.com.ar</t>
  </si>
  <si>
    <t>492/2006</t>
  </si>
  <si>
    <t>G - 000273</t>
  </si>
  <si>
    <t>EX-2018-01453666-GDEMZA-DPA#SAYOT</t>
  </si>
  <si>
    <t>DISAL S.A.</t>
  </si>
  <si>
    <t>30-62118183-3</t>
  </si>
  <si>
    <t>Depósito de pinturas - TERSUAVE</t>
  </si>
  <si>
    <t>Sarmiento 315</t>
  </si>
  <si>
    <t>ecarrera@grupodisal.com.ar, seminara_marcelo@yahho.com.ar</t>
  </si>
  <si>
    <t>261-4225459 2613344543</t>
  </si>
  <si>
    <t>Y12-Y13-Y48</t>
  </si>
  <si>
    <t>685//2006</t>
  </si>
  <si>
    <t>G - 000274</t>
  </si>
  <si>
    <t>EX-2018-01541697-GDEMZA-DPA#SAYOT</t>
  </si>
  <si>
    <t>STURNIOLO CARLOS HORACIO - CAPITAL -</t>
  </si>
  <si>
    <t>20-06903545-1</t>
  </si>
  <si>
    <t>estación de servicio</t>
  </si>
  <si>
    <t>España 1148, Piso 6, Dpto. 8</t>
  </si>
  <si>
    <t>Av. San Martín 19</t>
  </si>
  <si>
    <t>essobarraquero@gmail.com</t>
  </si>
  <si>
    <t>261-5734936 / 4252632/      4241148</t>
  </si>
  <si>
    <t>681/2006</t>
  </si>
  <si>
    <t>G - 000275</t>
  </si>
  <si>
    <t>EX-2018-01541533-GDEMZA-DPA#SAYOT</t>
  </si>
  <si>
    <t>STURNIOLO CARLOS HORACIO - GUAYMALLÉN -</t>
  </si>
  <si>
    <t>Bandera de los Andes 5600</t>
  </si>
  <si>
    <t>fedesturniolo71@gmail.com, essobarraquero@gmail.com</t>
  </si>
  <si>
    <t>682/2006</t>
  </si>
  <si>
    <t>G - 000276</t>
  </si>
  <si>
    <t>EX-2018-00882183-GDEMZA-DPA#SAYOT</t>
  </si>
  <si>
    <t>FINCA LA CELIA S.A.</t>
  </si>
  <si>
    <t>30-70700488-2</t>
  </si>
  <si>
    <t>bodegas y viñedos</t>
  </si>
  <si>
    <t xml:space="preserve">San Martin 972  3º piso </t>
  </si>
  <si>
    <t>Circunvalación Celia Bustos de Quiroga 374</t>
  </si>
  <si>
    <t xml:space="preserve">Eugenio Bustos </t>
  </si>
  <si>
    <t>SAN CARLOS</t>
  </si>
  <si>
    <t>sguiraldes@vspt.com.ar, jlemosl85@gmail.com</t>
  </si>
  <si>
    <t>2615 93-7749 - 2622619364</t>
  </si>
  <si>
    <t>Y8-Y9-Y12-Y18-Y29-Y48</t>
  </si>
  <si>
    <t>571/2006</t>
  </si>
  <si>
    <t>G - 000277</t>
  </si>
  <si>
    <t>EX-2018-02518605-GDEMZA-DPA#SAYOT</t>
  </si>
  <si>
    <t>MAMANI, CAROLINA VANESA</t>
  </si>
  <si>
    <t>27-29196742-1</t>
  </si>
  <si>
    <t>LAVADERO</t>
  </si>
  <si>
    <t>Carril Godoy Cruz 5438</t>
  </si>
  <si>
    <t xml:space="preserve">Villa Nueva </t>
  </si>
  <si>
    <t>lucasmamani764@gmail.com</t>
  </si>
  <si>
    <t>108/2008</t>
  </si>
  <si>
    <t>G - 000281</t>
  </si>
  <si>
    <t>EX-2018-02220646-GDEMZA-DPA#SAYOT</t>
  </si>
  <si>
    <t>C.A.T.A. COOP. LTDA - COOPERATIVA ANDINA DE TRANSPORTE AUTOMOTOR -</t>
  </si>
  <si>
    <t>33-54662883-9</t>
  </si>
  <si>
    <t>Transporte de pasajeros y de carga</t>
  </si>
  <si>
    <t xml:space="preserve">Diamante 550 </t>
  </si>
  <si>
    <t>higiene_seguridad@catainternacional.com, director@catainternacional.com</t>
  </si>
  <si>
    <t>261-6569079 - 4052282</t>
  </si>
  <si>
    <t>1758/2007</t>
  </si>
  <si>
    <t>G - 000282</t>
  </si>
  <si>
    <t>EX-2018-03426824-GDEMZA-DPA#SAYOT</t>
  </si>
  <si>
    <t>DIRECCION PROVINCIAL DE VIALIDAD</t>
  </si>
  <si>
    <t>30-99914684-4</t>
  </si>
  <si>
    <t xml:space="preserve">ORGANISMO PUBLICO </t>
  </si>
  <si>
    <t>INDUSTRIA DE LA CONSTRUCCION</t>
  </si>
  <si>
    <t>Carlos W. Lencinas 842</t>
  </si>
  <si>
    <t>dpvmza@mendoza.gov.ar, gdemza@mendoza.gov.ar, raldofabio@yahoo.com</t>
  </si>
  <si>
    <t>261-5677870 -2614411973</t>
  </si>
  <si>
    <t>Y8-Y9-Y11-Y12-Y29-Y31-Y34-Y48</t>
  </si>
  <si>
    <t>683/2006</t>
  </si>
  <si>
    <t>G - 000284</t>
  </si>
  <si>
    <t>EX-2018-02376547-GDEMZA-DPA#SAYOT</t>
  </si>
  <si>
    <t>GASES ACONCAGUA S.A.</t>
  </si>
  <si>
    <t>33-70868903-9</t>
  </si>
  <si>
    <t>Fab. de gases industriales</t>
  </si>
  <si>
    <t>Parque Industrial Municipal - Predio 29</t>
  </si>
  <si>
    <t xml:space="preserve">Pedriel </t>
  </si>
  <si>
    <t>mierasricardo@gmail.com</t>
  </si>
  <si>
    <t>690/2006</t>
  </si>
  <si>
    <t>G - 000286</t>
  </si>
  <si>
    <t>EX-2018-01464368-GDEMZA-DPA#SAYOT</t>
  </si>
  <si>
    <t>AUTOMOVIL CLUB ARGENTINO - GUAYMALLEN -</t>
  </si>
  <si>
    <t>30-50014329-7</t>
  </si>
  <si>
    <t>Estación de servicio</t>
  </si>
  <si>
    <t>Av. Bandera de los Andes y Gobernador Videla 149</t>
  </si>
  <si>
    <t xml:space="preserve">San José </t>
  </si>
  <si>
    <t>apucci@shimac.com.ar, jose_luis_rotundo@aca.org.ar, dep_6483@aca.org.ar</t>
  </si>
  <si>
    <t>261-3619599 - 351 608 9186</t>
  </si>
  <si>
    <t>333/2008</t>
  </si>
  <si>
    <t>G - 000287</t>
  </si>
  <si>
    <t>EX-2018-01679467-GDEMZA-DPA#SAYOT</t>
  </si>
  <si>
    <t>MARMOLEJO NATALIA ALENA</t>
  </si>
  <si>
    <t>27-27298425-0</t>
  </si>
  <si>
    <t xml:space="preserve">Vta y reposición de Lubricantes y filtros de aire y combustible </t>
  </si>
  <si>
    <t>LAGO ARGENTINO ESQ. LAGO HERMOSO 2207</t>
  </si>
  <si>
    <t>GOBERNADOR BENEGAS</t>
  </si>
  <si>
    <t>nataliaelenamar@gmail.com, matiasmarmolejo1@gmail.com</t>
  </si>
  <si>
    <t>261-5392894</t>
  </si>
  <si>
    <t>1157/2007</t>
  </si>
  <si>
    <t>G - 000288</t>
  </si>
  <si>
    <t>EX-2018-02462022-GDEMZA-DPA#SAYOT</t>
  </si>
  <si>
    <t>TRANSPORTE GENERAL BARTOLOME MITRE S.R.L.</t>
  </si>
  <si>
    <t>30-54627327-6</t>
  </si>
  <si>
    <t>transporte de pasajeros</t>
  </si>
  <si>
    <t>Bandera de los Andes 1507</t>
  </si>
  <si>
    <t>ghisolfi@catainternacional.com</t>
  </si>
  <si>
    <t>722/2006</t>
  </si>
  <si>
    <t>G - 000289</t>
  </si>
  <si>
    <t>EX-2018-01703230-GDEMZA-DPA#SAYOT</t>
  </si>
  <si>
    <t>SALVADOR S.R.L.</t>
  </si>
  <si>
    <t>30-70763400-2</t>
  </si>
  <si>
    <t>Urquiza 1502</t>
  </si>
  <si>
    <t>salvador@esjocoli.com.ar, marcelovirzi@gmail.com</t>
  </si>
  <si>
    <t>261-2070410</t>
  </si>
  <si>
    <t>Y8 -Y9-Y48</t>
  </si>
  <si>
    <t>082/2011</t>
  </si>
  <si>
    <t>G - 000291</t>
  </si>
  <si>
    <t>EX-2018-00136256-GDEMZA-DPA#SAYOT</t>
  </si>
  <si>
    <t>MAJOR PERFORACIONES S.A.</t>
  </si>
  <si>
    <t>30-68249463-4</t>
  </si>
  <si>
    <t>Perforaciones p/ la minería</t>
  </si>
  <si>
    <t>MINERIA</t>
  </si>
  <si>
    <t>Carril Ponce 1740</t>
  </si>
  <si>
    <t>Rodeo de La Cruz</t>
  </si>
  <si>
    <t>laura.martin@majordrilling.com, alejandro.minni@majordrilling.com</t>
  </si>
  <si>
    <t xml:space="preserve">261-4695884 / 261-4919100 </t>
  </si>
  <si>
    <t>802/2006</t>
  </si>
  <si>
    <t>G - 000295</t>
  </si>
  <si>
    <t>EX-2018-01452510-GDEMZA-DPA#SAYOT</t>
  </si>
  <si>
    <t>LAVASEC de VILLA CARLOS ALBERTO</t>
  </si>
  <si>
    <t>20-13035040-3</t>
  </si>
  <si>
    <t>Colón 474 - L 2</t>
  </si>
  <si>
    <t>lavasecmendoza@hotmail.com.ar</t>
  </si>
  <si>
    <t>261-6419391</t>
  </si>
  <si>
    <t>986/2006</t>
  </si>
  <si>
    <t>G - 000296</t>
  </si>
  <si>
    <t>EX-2018-02385573-GDEMZA-DPA#SAYOT</t>
  </si>
  <si>
    <t>RODRÍGUEZ AURELIO IGNACIO</t>
  </si>
  <si>
    <t>20-17781172-7</t>
  </si>
  <si>
    <t>Venta de repuestos y expendio de aceites</t>
  </si>
  <si>
    <t>Tirasso 1597</t>
  </si>
  <si>
    <t>Buena Nueva</t>
  </si>
  <si>
    <t>ignaciiorodriguez764@gmail.com</t>
  </si>
  <si>
    <t>149/2010</t>
  </si>
  <si>
    <t>G - 000298</t>
  </si>
  <si>
    <t>EX-2018-01703251-GDEMZA-DPA#SAYOT</t>
  </si>
  <si>
    <t>AZULES S.A.</t>
  </si>
  <si>
    <t>30-66128920-8</t>
  </si>
  <si>
    <t>Estacion de servicio GNC- Lubricentro y lavadero</t>
  </si>
  <si>
    <t>Bandera de Los Andes 3330</t>
  </si>
  <si>
    <t>aspromza2@hotmail.com, cocoreyesb@yahoo.com.ar</t>
  </si>
  <si>
    <t>261-4538534 - 2614543175</t>
  </si>
  <si>
    <t>982/2006</t>
  </si>
  <si>
    <t>G - 000299</t>
  </si>
  <si>
    <t>EX2019-6183808-GDEMZA-DPA#SAYOT TC EX-2018-03592317-GDEMZA-DPA#SAYOT</t>
  </si>
  <si>
    <t>CENCOSUD S.A. Balcarce 857</t>
  </si>
  <si>
    <t>Hipermercado</t>
  </si>
  <si>
    <t xml:space="preserve">Ignacio Molina 355 </t>
  </si>
  <si>
    <t>Balcarce 857</t>
  </si>
  <si>
    <t>maria.fontana@cencosud.com.ar; administracion@geimsa.com.ar</t>
  </si>
  <si>
    <t>44998700 - 2615110522</t>
  </si>
  <si>
    <t>436/2012</t>
  </si>
  <si>
    <t>G - 000300</t>
  </si>
  <si>
    <t>EX-2018-03082425-GDEMZA-DPA#SAYOT</t>
  </si>
  <si>
    <t>AUTOTRANSPORTES ANDESMAR S.A.</t>
  </si>
  <si>
    <t>30-56178540-2</t>
  </si>
  <si>
    <t xml:space="preserve">EMPRESA DE TRANSPORTE </t>
  </si>
  <si>
    <t>Rodriguez Peña 2831</t>
  </si>
  <si>
    <t>Las Tortugas</t>
  </si>
  <si>
    <t>vbravomellado@gmail.com, mariainesnadal@andesmar.com.ar, marisadegliuomini@andesmar.com.ar</t>
  </si>
  <si>
    <t>2614050600 / 2614136000 Int. 222</t>
  </si>
  <si>
    <t>1067/2006</t>
  </si>
  <si>
    <t>G - 000301</t>
  </si>
  <si>
    <t>EX-2018-02455434-GDEMZA-DPA#SAYOT</t>
  </si>
  <si>
    <t>GASODUCTO GASANDES ARGENTINA S.A. - Planta La Mora - Gral. Alvear</t>
  </si>
  <si>
    <t>Ruta Nacional Nº 188 - km 715</t>
  </si>
  <si>
    <t>La Mora</t>
  </si>
  <si>
    <t>GRAL.  ALVEAR</t>
  </si>
  <si>
    <t>alejandro.fernandez@gasandes.com, luis_santos@gcg.com.ar</t>
  </si>
  <si>
    <t xml:space="preserve">2604800260 - 2614135800
</t>
  </si>
  <si>
    <t>Y8-Y9-Y12-Y18-Y48</t>
  </si>
  <si>
    <t>1087/2006</t>
  </si>
  <si>
    <t>G - 000302</t>
  </si>
  <si>
    <t>EX-2018-01563281-GDEMZA-DPA#SAYOT</t>
  </si>
  <si>
    <t>PRAXAIR ARGENTINA S.R.L. - P.I.P.</t>
  </si>
  <si>
    <t>30-57878067-6</t>
  </si>
  <si>
    <t>FRACCIONAM. Y COMERC. DE GASES DEL AIRE</t>
  </si>
  <si>
    <t>Ruta Provincial Nº 84 s/n, Límite "E" Refinería</t>
  </si>
  <si>
    <t>cristian.valdez@linde.com, jessicativiroli2010@hotmail.com</t>
  </si>
  <si>
    <t>261-5876424</t>
  </si>
  <si>
    <t>1435/2006</t>
  </si>
  <si>
    <t>G - 000303</t>
  </si>
  <si>
    <t>EX-2018-00415403-GDEMZA-DPA#SAYOT</t>
  </si>
  <si>
    <t>OPESSA - RODEO DE LA CRUZ</t>
  </si>
  <si>
    <t>Carril Nacional (Ex Bandera de los Andes y Torrontegui)</t>
  </si>
  <si>
    <t>RODEO DE LA CRUZ</t>
  </si>
  <si>
    <t>2614930399 / 2613652205</t>
  </si>
  <si>
    <t>1506/2006</t>
  </si>
  <si>
    <t>G - 000304</t>
  </si>
  <si>
    <t>EX-2018-02220644-GDEMZA-DPA#SAYOT</t>
  </si>
  <si>
    <t>VIALMANI S.A.</t>
  </si>
  <si>
    <t>30-57406653-7</t>
  </si>
  <si>
    <t>Obrador Obra Oasis  centro-norte</t>
  </si>
  <si>
    <t>Ruta Nacional Nº 40 Km. 17 y Río Mendoza</t>
  </si>
  <si>
    <t>jgauna@vialmani.com.ar, lg@lgingenieriasrl.com</t>
  </si>
  <si>
    <t>222/2009</t>
  </si>
  <si>
    <t>G - 000305</t>
  </si>
  <si>
    <t>EX-2018-02696692-GDEMZA-DPA#SAYOT</t>
  </si>
  <si>
    <t>DURLOCK S.A. - Unidad Industrial 2 -</t>
  </si>
  <si>
    <t>30-55281616-8</t>
  </si>
  <si>
    <t>Minera</t>
  </si>
  <si>
    <t>Irigoyen 148 - 5to piso - Depto "C"</t>
  </si>
  <si>
    <t xml:space="preserve">Av. Gral. Roca y Ejército de los Andes 692 </t>
  </si>
  <si>
    <t>MALARGÜE</t>
  </si>
  <si>
    <t>nicolas.rubio@etexgroup.com,  hernan.montiel@etexgroup.com</t>
  </si>
  <si>
    <t>2604-471630 - 1126791808</t>
  </si>
  <si>
    <t>Y8-Y10-Y36-Y48</t>
  </si>
  <si>
    <t>1509/2006</t>
  </si>
  <si>
    <t>G - 000306</t>
  </si>
  <si>
    <t>EX-2018-02471990-GDEMZA-DPA#SAYOT</t>
  </si>
  <si>
    <t>DURLOCK S.A. - Unidad Industrial 3 -</t>
  </si>
  <si>
    <t>Calle Pública s/n</t>
  </si>
  <si>
    <t xml:space="preserve">Parque Industrial </t>
  </si>
  <si>
    <t>nicolas.rubio@etexgroup.com, pablo.mercado@etexgroup.com</t>
  </si>
  <si>
    <t>0260-4471630/730 - 11-26791808</t>
  </si>
  <si>
    <t xml:space="preserve">Y8-Y10-Y48-Y36 </t>
  </si>
  <si>
    <t>1510/2006</t>
  </si>
  <si>
    <t>G - 000308</t>
  </si>
  <si>
    <t>EX-2018-02471982-GDEMZA-DPA#SAYOT</t>
  </si>
  <si>
    <t>ELECTROMECANICA SASSO S.A.</t>
  </si>
  <si>
    <t>30-67700567-6</t>
  </si>
  <si>
    <t>Reparación  de motores eléctricos y equipos electromecánicos</t>
  </si>
  <si>
    <t>Primitivo de la Reta 212</t>
  </si>
  <si>
    <t>San Fransisco del Monte</t>
  </si>
  <si>
    <t>San Frnsisco del Monte</t>
  </si>
  <si>
    <t>calidad@elesasso.com, miguelmunizaga@gmail.com, asasso@elesasso.com</t>
  </si>
  <si>
    <t>2614055100 - 2615256916</t>
  </si>
  <si>
    <t>1727/2006</t>
  </si>
  <si>
    <t>G - 000309</t>
  </si>
  <si>
    <t>EX-2018-01501795-GDEMZA-DPA#SAYOT</t>
  </si>
  <si>
    <t>JOSE CARTELLONE CONSTRUCCIONES CIVILES S.A.</t>
  </si>
  <si>
    <t>30-50157947-1</t>
  </si>
  <si>
    <t>Empresa de construcciones y perforaciones</t>
  </si>
  <si>
    <t xml:space="preserve">Carril Rodriguez Peña 4447 </t>
  </si>
  <si>
    <t>jstocco@cartellone.com.ar, vbravo@cartellone.com.ar</t>
  </si>
  <si>
    <t xml:space="preserve">4819000 / 2613601260
</t>
  </si>
  <si>
    <t>Y8-Y9-Y12-Y35-Y48</t>
  </si>
  <si>
    <t>1703/2006</t>
  </si>
  <si>
    <t>G - 000311</t>
  </si>
  <si>
    <t>EX-2018-02181502-GDEMZA-DPA#SAYOT</t>
  </si>
  <si>
    <t>AUTOTRANSPORTE PRESIDENTE ALVEAR S.A.</t>
  </si>
  <si>
    <t>30-54640762-0</t>
  </si>
  <si>
    <t>Transporte de pasajeros</t>
  </si>
  <si>
    <t>Cervantes 1391</t>
  </si>
  <si>
    <t>higiene_seguridad@catainternacional.com, administracion@transportealvear.com.ar</t>
  </si>
  <si>
    <t>2614523879 261-6569079</t>
  </si>
  <si>
    <t>1702/2006</t>
  </si>
  <si>
    <t>G - 000314</t>
  </si>
  <si>
    <t>EX-2018-01143658-GDEMZA-DPA#SAYOT</t>
  </si>
  <si>
    <t>RAMONDIN ARGENTINA S.A.</t>
  </si>
  <si>
    <t>30-69957374-0</t>
  </si>
  <si>
    <t>Fab. De Cápsulas para Botellas</t>
  </si>
  <si>
    <t>Rodriguez Peña 3169</t>
  </si>
  <si>
    <t>samuel_alejandro_nava@yahoo.com, sbragagnolo@ramondin.com, NFRANCICA@RAMONDIN.COM</t>
  </si>
  <si>
    <t>4054500 / 2612063477</t>
  </si>
  <si>
    <t>1700/2006</t>
  </si>
  <si>
    <t>G - 000315</t>
  </si>
  <si>
    <t>EX-2018-02824958-GDEMZA-DPA#SAYOT</t>
  </si>
  <si>
    <t>TOMIO INGENIERÍA S.A.</t>
  </si>
  <si>
    <t>30-70704348-9</t>
  </si>
  <si>
    <t>Construcción</t>
  </si>
  <si>
    <t>Servidumbre de paso Dumit s/n</t>
  </si>
  <si>
    <t>silvio_beron@tomioingenieria.com.ar, jorge_tomio@tomioingenieria.com.ar</t>
  </si>
  <si>
    <t>2616530272 - 1160425288</t>
  </si>
  <si>
    <t>138/2015</t>
  </si>
  <si>
    <t>G - 000316</t>
  </si>
  <si>
    <t>EX-2018-02385575-GDEMZA-DPA#SAYOT</t>
  </si>
  <si>
    <t>CIBER WASH DE SILVIA GUERRA</t>
  </si>
  <si>
    <t>27/06169978/9</t>
  </si>
  <si>
    <t>tintorería</t>
  </si>
  <si>
    <t xml:space="preserve">San Martín 880 </t>
  </si>
  <si>
    <t>info@cyberwash.com.ar, info@cyberwash.com</t>
  </si>
  <si>
    <t>261-4986633</t>
  </si>
  <si>
    <t>Y6-Y41</t>
  </si>
  <si>
    <t>84/2007</t>
  </si>
  <si>
    <t>G - 000317</t>
  </si>
  <si>
    <t>EX-2018-01236260-GDEMZA-DPA#SAYOT</t>
  </si>
  <si>
    <t>CEPAS ARGENTINAS S.A.</t>
  </si>
  <si>
    <t>30-61375512-4</t>
  </si>
  <si>
    <t>Fabricación de mosto concentrado</t>
  </si>
  <si>
    <t>La Pampa 70</t>
  </si>
  <si>
    <t xml:space="preserve">San Isidro e Isaac Estrella </t>
  </si>
  <si>
    <t>Rivadavia</t>
  </si>
  <si>
    <t>ext.bordon@grupocepas.com, julieta.leis@grupocepas.com</t>
  </si>
  <si>
    <t>2615941079 / 1154921584</t>
  </si>
  <si>
    <t>252/2013</t>
  </si>
  <si>
    <t>G - 000319</t>
  </si>
  <si>
    <t>EX-2018-01593503-GDEMZA-DPA#SAYOT</t>
  </si>
  <si>
    <t>ALBERTO Y ROBERTO LAZZAROTTI S.H.</t>
  </si>
  <si>
    <t>30-60893286-7</t>
  </si>
  <si>
    <t>Transporte de Carga</t>
  </si>
  <si>
    <t>Victoria 2001</t>
  </si>
  <si>
    <t>consulgreenmendoza@gmail.com</t>
  </si>
  <si>
    <t>261-4265629 - 2615267470</t>
  </si>
  <si>
    <t>222/07</t>
  </si>
  <si>
    <t>G - 000320</t>
  </si>
  <si>
    <t>EX-2018-02337413-GDEMZA-DPA#SAYOT</t>
  </si>
  <si>
    <t>PARQUE COMBUSTIBLE S.A.</t>
  </si>
  <si>
    <t>30-69960619-3</t>
  </si>
  <si>
    <t>Estación de servicios</t>
  </si>
  <si>
    <t>Juan B. Justo  887</t>
  </si>
  <si>
    <t>parquecombustibles@gmail.com, matiascoletto@yahoo.com.ar</t>
  </si>
  <si>
    <t>261-4292752</t>
  </si>
  <si>
    <t>301/2007</t>
  </si>
  <si>
    <t>G - 000321</t>
  </si>
  <si>
    <t>EX-2018-01515465-GDEMZA-DPA#SAYOT</t>
  </si>
  <si>
    <t>TRANSPORTE LIZANA S.C.A.</t>
  </si>
  <si>
    <t>30-58504929-4</t>
  </si>
  <si>
    <t>TRANSPORTE</t>
  </si>
  <si>
    <t>Espejo 677</t>
  </si>
  <si>
    <t xml:space="preserve">La Colonia </t>
  </si>
  <si>
    <t>santiago@transporteslizana.com.ar, gestoriaambiental.mza@gmail.com</t>
  </si>
  <si>
    <t>2616631257 - 2634553026</t>
  </si>
  <si>
    <t>272/2007</t>
  </si>
  <si>
    <t>G - 000324</t>
  </si>
  <si>
    <t>EX-2018-00415315-GDEMZA-DPA#SAYOT</t>
  </si>
  <si>
    <t>OPESSA - MENDOZA, QUINTA SECCIÓN -</t>
  </si>
  <si>
    <t>Paso de los Andes 16 y Olegario Andrade</t>
  </si>
  <si>
    <t xml:space="preserve">2614930399 - 2613652205
</t>
  </si>
  <si>
    <t>393/2007</t>
  </si>
  <si>
    <t>G - 000325</t>
  </si>
  <si>
    <t>EX-2018-02696583-GDEMZA-DPA#SAYOT</t>
  </si>
  <si>
    <t>RTS EMBALAJES DE ARGENTINA S.A.</t>
  </si>
  <si>
    <t>30-70924425-2</t>
  </si>
  <si>
    <t>Fabricación de separadores  de cartón</t>
  </si>
  <si>
    <t>Alsina 450</t>
  </si>
  <si>
    <t>GENERAL GUTIERREZ</t>
  </si>
  <si>
    <t>andrea.lopez@sonoco.com, jeremias.manduca@sonoco.com, lopezandreadaniela87@gmail.com</t>
  </si>
  <si>
    <t>528/2007</t>
  </si>
  <si>
    <t>G - 000327</t>
  </si>
  <si>
    <t>EX-2018-01290236-GDEMZA-DPA#SAYOT</t>
  </si>
  <si>
    <t>PETROLERA EL TREBOL S.A. - YACIMIENTO ATAMISQUI</t>
  </si>
  <si>
    <t>30-70503777-5</t>
  </si>
  <si>
    <t>Exploración y explotación de HC</t>
  </si>
  <si>
    <t>EDIFICIO CEIBO 8° PISO, CHACRAS PARK RUTA 82 KM 54</t>
  </si>
  <si>
    <t>CHACRAS DE CORIA</t>
  </si>
  <si>
    <t xml:space="preserve">Yacimiento Atamisqui </t>
  </si>
  <si>
    <t>El Carrizal</t>
  </si>
  <si>
    <t>pgr.mdz.notificaciones@phoenixgr.com, e.muller@phoenixgr.com,  f.bonet@phoenixgr.com</t>
  </si>
  <si>
    <t xml:space="preserve">261-3480500 / 2994594552/ 261-5688342 </t>
  </si>
  <si>
    <t>119/2016</t>
  </si>
  <si>
    <t>G - 000328</t>
  </si>
  <si>
    <t>EX-2018-01490500-GDEMZA-DPA#SAYOT</t>
  </si>
  <si>
    <t>SERVICIOS J y F S.A.</t>
  </si>
  <si>
    <t>30-70926917-4</t>
  </si>
  <si>
    <t>Venta de comb. Liq y GNC</t>
  </si>
  <si>
    <t>Remedios de Escalada 3350</t>
  </si>
  <si>
    <t xml:space="preserve">Dorrego </t>
  </si>
  <si>
    <t>mercedes@grupoypf.com.ar, raul@grupoypf.com.ar, proexpan@gmail.com</t>
  </si>
  <si>
    <t>4526635 - 2615060145</t>
  </si>
  <si>
    <t>744/2007</t>
  </si>
  <si>
    <t>G - 000329</t>
  </si>
  <si>
    <t>EX-2018-01485686-GDEMZA-DPA#SAYOT</t>
  </si>
  <si>
    <t>FINNING ARGENTINA S.A.</t>
  </si>
  <si>
    <t>30-64722711-9</t>
  </si>
  <si>
    <t>Vta, alquiler y reparación de equipos viales</t>
  </si>
  <si>
    <t>Rodriguez Peña 646  y Gabrielli</t>
  </si>
  <si>
    <t>Luzuriaga</t>
  </si>
  <si>
    <t>Rodriguez Peña 646 y Gabrielli</t>
  </si>
  <si>
    <t>sergioespejo@hotmail.com, juan.prado@finning.com</t>
  </si>
  <si>
    <t>978/2007</t>
  </si>
  <si>
    <t>G - 000331</t>
  </si>
  <si>
    <t>EX-2018-01481858-GDEMZA-DPA#SAYOT</t>
  </si>
  <si>
    <t>VOLVO TRUCKS Y BUSES ARGENTINA S.A.</t>
  </si>
  <si>
    <t>30-51615064-1</t>
  </si>
  <si>
    <t>Servicio de post vta.camiones</t>
  </si>
  <si>
    <t>Rodriguez Peña 1215</t>
  </si>
  <si>
    <t>jorgelina.castellino@consultant.volvo.com, bernardo.bouillard@volvo.com</t>
  </si>
  <si>
    <t>2614979259 - 2616644867</t>
  </si>
  <si>
    <t>Y8-Y9-Y31-Y34-Y48</t>
  </si>
  <si>
    <t>1110/2007</t>
  </si>
  <si>
    <t>G - 000332</t>
  </si>
  <si>
    <t>EX-2018-02176102-GDEMZA-DPA#SAYOT</t>
  </si>
  <si>
    <t>SERVICIOS ESPECIALES SAN ANTONIO S.A. - Base Luján de Cuyo</t>
  </si>
  <si>
    <t>30-59053574-1</t>
  </si>
  <si>
    <t>Servicios de Cementacióm y Estimulación</t>
  </si>
  <si>
    <t>Rodriguez Peña 1791</t>
  </si>
  <si>
    <t>Calle 3 s/n Parq Ind. Prov. Ruta 84</t>
  </si>
  <si>
    <t>apoidomani@sanantoniointernacional.com, ejensen@sanantoniointernacional.com, elorenzo@sanantoniointernacional.com</t>
  </si>
  <si>
    <t>261-5656461 - 26149778643</t>
  </si>
  <si>
    <t>Y8-Y9-Y12-Y29-Y31-Y34-Y35-Y48</t>
  </si>
  <si>
    <t>1171/2007</t>
  </si>
  <si>
    <t>G - 000333</t>
  </si>
  <si>
    <t>EX-2018-02824988-GDEMZA-DPA#SAYOT</t>
  </si>
  <si>
    <t>ALCLA S.R.L.</t>
  </si>
  <si>
    <t>30-70898793-6</t>
  </si>
  <si>
    <t>Fab. de art. de papel y  cartón</t>
  </si>
  <si>
    <t xml:space="preserve">Diamante 265 </t>
  </si>
  <si>
    <t>administracion@securityfirst.com.ar, grinaldi@alclasrl.com.ar, info@alclasrl.com.ar</t>
  </si>
  <si>
    <t>261-4246344 / 4324050</t>
  </si>
  <si>
    <t>Y8-Y12-Y35-Y48</t>
  </si>
  <si>
    <t>1155/2007</t>
  </si>
  <si>
    <t>G - 000334</t>
  </si>
  <si>
    <t>EX-2018-01724957-GDEMZA-DPA#SAYOT</t>
  </si>
  <si>
    <t>TRAC S.A.</t>
  </si>
  <si>
    <t>30-67975068-9</t>
  </si>
  <si>
    <t>EMPRESA DE MUDANZA Y TRANSPORTE DE CARGAS</t>
  </si>
  <si>
    <t>Rodriguez Peña 6501</t>
  </si>
  <si>
    <t>tracsalogistica@gmail.com, mauro.g.trotta@gmail.com, gido.calzetti@gmail.com</t>
  </si>
  <si>
    <t>261-5389983 / 2614 54-4018</t>
  </si>
  <si>
    <t>1156/2007</t>
  </si>
  <si>
    <t>G - 000335</t>
  </si>
  <si>
    <t>EX-2018-01188500-GDEMZA-DPA#SAYOT</t>
  </si>
  <si>
    <t>ENIO CHAPINI S.A.</t>
  </si>
  <si>
    <t>30-53355324-5</t>
  </si>
  <si>
    <t>estacion de servicio</t>
  </si>
  <si>
    <t xml:space="preserve">Godoy Cruz 1351 </t>
  </si>
  <si>
    <t>San Jose</t>
  </si>
  <si>
    <t>administracion@eniochapini.com.ar, malauqui@hotmail.com</t>
  </si>
  <si>
    <t>2615602856 - 4313436</t>
  </si>
  <si>
    <t>1115/2007</t>
  </si>
  <si>
    <t>G - 000336</t>
  </si>
  <si>
    <t>EX-2018-01290263-GDEMZA-DPA#SAYOT</t>
  </si>
  <si>
    <t>PETROLERA EL TREBOL S.A. - Área Cerro Mollar Oeste</t>
  </si>
  <si>
    <t>Exploración y explotacón de petróleo</t>
  </si>
  <si>
    <t xml:space="preserve">Yacimiento Cerro Mollar Oeste </t>
  </si>
  <si>
    <t>Ruta Nac. 40</t>
  </si>
  <si>
    <t>p.diaz@phoenixgr.com, i.swinnen@phoenixgr.com, favibonet@gmail.com, lvalenzuela@petrebol.con.ar</t>
  </si>
  <si>
    <t xml:space="preserve">261-3480500 / 261-3631504 / 261-5688342 </t>
  </si>
  <si>
    <t>1185/2007</t>
  </si>
  <si>
    <t>G - 000337</t>
  </si>
  <si>
    <t>EX-2018-01290207-GDEMZA-DPA#SAYOT</t>
  </si>
  <si>
    <t>PETROLERA EL TREBOL SA - Area Tupungato -</t>
  </si>
  <si>
    <t>Area Tupungato Refugio</t>
  </si>
  <si>
    <t>TUPUNGATO</t>
  </si>
  <si>
    <t>261-3480500 / 2994594552</t>
  </si>
  <si>
    <t>Y8-Y9-Y10-Y31-Y34-Y36-Y48</t>
  </si>
  <si>
    <t>339/2011</t>
  </si>
  <si>
    <t>G - 000338</t>
  </si>
  <si>
    <t>EX-2018-01290186-GDEMZA-DPA#SAYOT</t>
  </si>
  <si>
    <t>PETROLERA EL TREBOL S.A. - Área Puesto Rojas, Malargüe -</t>
  </si>
  <si>
    <t>Explotación  petrolera</t>
  </si>
  <si>
    <t>Yacimiento Puesto Rojas</t>
  </si>
  <si>
    <t>p.diaz@phoenixgr.com, pgr.mdz.notificaciones@phoenixgr.com, favibonet@gmail.com, lvalenzuela@petrebol.con.ar</t>
  </si>
  <si>
    <t>261-3480500 / 261-3631504 / 261-5688342</t>
  </si>
  <si>
    <t>033/2011</t>
  </si>
  <si>
    <t>G - 000341</t>
  </si>
  <si>
    <t>EX-2018-01236265-GDEMZA-DPA#SAYOT</t>
  </si>
  <si>
    <t>FELIPE ANDREU E HIJOS S.A.</t>
  </si>
  <si>
    <t>30-67194955-9</t>
  </si>
  <si>
    <t>TRANSPORTE DE CARGAS</t>
  </si>
  <si>
    <t>Acceso Sur,  Km 14</t>
  </si>
  <si>
    <t xml:space="preserve">Mayor Drummond </t>
  </si>
  <si>
    <t>rfederici@andreu.com.ar, landreu@andreu.com.ar</t>
  </si>
  <si>
    <t>261-5259361 - 2614980600</t>
  </si>
  <si>
    <t>Y8-Y9-Y12-Y13-Y29-Y41-Y48</t>
  </si>
  <si>
    <t>51/2010</t>
  </si>
  <si>
    <t>G - 000342</t>
  </si>
  <si>
    <t>EX-2018-00690896-GDEMZA-DPA#SAYOT</t>
  </si>
  <si>
    <t>YPF S.A. - REGIONAL MENDOZA - UNIDADES DE NEGOCIO MZA NORTE y MZA SUR</t>
  </si>
  <si>
    <t>Extracción, almacenaje y transporte de HC</t>
  </si>
  <si>
    <t>25 de Mayo 1084</t>
  </si>
  <si>
    <t>Barrancas 50</t>
  </si>
  <si>
    <t>mesadeentradasmendoza@ypf.com, sergio.stevanato@ypf.com</t>
  </si>
  <si>
    <t>2604358290 - 3500000</t>
  </si>
  <si>
    <t>Y9-Y48</t>
  </si>
  <si>
    <t>689/2010</t>
  </si>
  <si>
    <t>96/2019</t>
  </si>
  <si>
    <t>3117188-3117130</t>
  </si>
  <si>
    <t xml:space="preserve">mendoza sur </t>
  </si>
  <si>
    <t xml:space="preserve">EL PORTON </t>
  </si>
  <si>
    <t>mendoza norte</t>
  </si>
  <si>
    <t>barranca la ventana vizcachera</t>
  </si>
  <si>
    <t>G - 000343</t>
  </si>
  <si>
    <t>EX-2018-01353502-GDEMZA-DPA#SAYOT</t>
  </si>
  <si>
    <t>GRUPO PEÑAFLOR S.A. - RODRIGUEZ PEÑA -</t>
  </si>
  <si>
    <t>30-50054804-1</t>
  </si>
  <si>
    <t>Ind. Vitivinícola</t>
  </si>
  <si>
    <t>Rodriguez Peña 1550</t>
  </si>
  <si>
    <t>Jesus Nazareno</t>
  </si>
  <si>
    <t>sharbela.santivanez@grupopenaflor.com.ar, elena.bertoldi@grupopenaflor.com.ar</t>
  </si>
  <si>
    <t>2613643487 - 1121629659</t>
  </si>
  <si>
    <t>Y8-Y9-Y12-Y29-Y31-Y42-Y48</t>
  </si>
  <si>
    <t>1186/2007</t>
  </si>
  <si>
    <t>G - 000344</t>
  </si>
  <si>
    <t>EX-2018-01621848-GDEMZA-DPA#SAYOT</t>
  </si>
  <si>
    <t>VICTOR ALTIERI y CIA. S.A.</t>
  </si>
  <si>
    <t>33-67201152-9</t>
  </si>
  <si>
    <t>Fab de cápsulas de sobretaponado  de uso enológico y alimenticio</t>
  </si>
  <si>
    <t>Acc. Sur , Lat. E,  Nº 8500</t>
  </si>
  <si>
    <t>altieri@altieri.com.ar, vdifonzo@altieri.com.ar</t>
  </si>
  <si>
    <t>261-4364843 / 2616504738</t>
  </si>
  <si>
    <t>Y12-Y13-Y42- Y48</t>
  </si>
  <si>
    <t>1188/2007</t>
  </si>
  <si>
    <t>G - 000345</t>
  </si>
  <si>
    <t>EX-2018-00696865-GDEMZA-DPA#SAYOT</t>
  </si>
  <si>
    <t>TRANSPORTE EL PLUMERILLO S.A. - GRUPO 6 -</t>
  </si>
  <si>
    <t>30-54636295-3</t>
  </si>
  <si>
    <t>Trans. Público de Pasajeros</t>
  </si>
  <si>
    <t>Independencia 2690</t>
  </si>
  <si>
    <t>El Plumerillo</t>
  </si>
  <si>
    <t>mvasquez@elcaciquesa.com, dmorici@elcaciquesa.com, siservicioinge@gmail.com</t>
  </si>
  <si>
    <t>2614487365 / 2615574228</t>
  </si>
  <si>
    <t>1708/07</t>
  </si>
  <si>
    <t>G - 000346</t>
  </si>
  <si>
    <t>EX-2018-01561536-GDEMZA-DPA#SAYOT</t>
  </si>
  <si>
    <t>ALBERTO SARGO S.R.L.</t>
  </si>
  <si>
    <t>30-65490734-6</t>
  </si>
  <si>
    <t>Venta de áridos para la construccion</t>
  </si>
  <si>
    <t>Altos Hornos de Zapla 1965</t>
  </si>
  <si>
    <t>San Fco. Del Monte</t>
  </si>
  <si>
    <t>contacto@sargo.com.ar, afernandezaubone@gmail.com</t>
  </si>
  <si>
    <t>2614316042 - 2615439863</t>
  </si>
  <si>
    <t>1159/07</t>
  </si>
  <si>
    <t>G - 000353</t>
  </si>
  <si>
    <t>EX-2018-01621877-GDEMZA-DPA#SAYOT</t>
  </si>
  <si>
    <t>DENVER S.A. - SAN MARTIN -</t>
  </si>
  <si>
    <t>30-67206317-1</t>
  </si>
  <si>
    <t>taller mecánico</t>
  </si>
  <si>
    <t>Rodriguez Peña 2225</t>
  </si>
  <si>
    <t>GoDOY CRUZ</t>
  </si>
  <si>
    <t>Alem 601</t>
  </si>
  <si>
    <t>San Martin</t>
  </si>
  <si>
    <t>adrialcaraz@gmail.com, agorga@denverauto.com.ar</t>
  </si>
  <si>
    <t>261-5343720</t>
  </si>
  <si>
    <t>1386/2007</t>
  </si>
  <si>
    <t>G - 000354</t>
  </si>
  <si>
    <t>EX-2018-02280181-GDEMZA-DPA#SAYOT</t>
  </si>
  <si>
    <t>AUTOMOTORES GRAL. SAN MARTÍN S.A. - San Martín -</t>
  </si>
  <si>
    <t>30-55854140-3</t>
  </si>
  <si>
    <t>Concesionaria - Servicio de post vta</t>
  </si>
  <si>
    <t>Av. 25 de Mayo 5555</t>
  </si>
  <si>
    <t>Guaymallen</t>
  </si>
  <si>
    <t>Alem 551</t>
  </si>
  <si>
    <t>San Martín</t>
  </si>
  <si>
    <t>aldialcaraz@gmail.com, mcucchy@autogsm.com.ar,</t>
  </si>
  <si>
    <t>Y8-Y12-Y48</t>
  </si>
  <si>
    <t>1333/2007</t>
  </si>
  <si>
    <t xml:space="preserve">G - 000355 </t>
  </si>
  <si>
    <t>EX-2018-01593645-GDEMZA-DPA#SAYOT</t>
  </si>
  <si>
    <t>SUCESION DE MIGUEL HUGO ALBERTO ADM CAMUTTI ANA MARIA</t>
  </si>
  <si>
    <t>23-04985880-9</t>
  </si>
  <si>
    <t>Aristóbulo del Valle 1217</t>
  </si>
  <si>
    <t>El Algarrobal</t>
  </si>
  <si>
    <t>gestoriaambiental.mza@gmail.com, estacionalgarrobal.hugomiguel@hotmail.com</t>
  </si>
  <si>
    <t>261-6631257 / 261-5502453</t>
  </si>
  <si>
    <t>1330/2007</t>
  </si>
  <si>
    <t>G - 000356</t>
  </si>
  <si>
    <t>EX-2018-01143630-GDEMZA-DPA#SAYOT</t>
  </si>
  <si>
    <t>EMPRESA DE TRANSPORTE DON PEDRO S.R.L.</t>
  </si>
  <si>
    <t>30-59579340-4</t>
  </si>
  <si>
    <t>EMPRESA DE TRANSPORTE Y LOGISTICA</t>
  </si>
  <si>
    <t>Ruta 40 Acc. Sur Km 21</t>
  </si>
  <si>
    <t>pmanas@donpedro.com.ar, ricardoacm@live.com.ar</t>
  </si>
  <si>
    <t>261-5440085 / 2614880980</t>
  </si>
  <si>
    <t>1288/2007</t>
  </si>
  <si>
    <t>G - 000357</t>
  </si>
  <si>
    <t>EX-2018-01544412-GDEMZA-DPA#SAYOT</t>
  </si>
  <si>
    <t>GRUAS SAN BLAS S.A.</t>
  </si>
  <si>
    <t>30-66092045-1</t>
  </si>
  <si>
    <t>vta de maquinas, equipos y materiales</t>
  </si>
  <si>
    <t>Gdor. Francisco Gabrielli 301</t>
  </si>
  <si>
    <t xml:space="preserve">Luzuriaga </t>
  </si>
  <si>
    <t xml:space="preserve">jorgeaazcu@yahoo.com.ar, oaparicio@gsb.com.ar, </t>
  </si>
  <si>
    <t>2612577873 - 2614930072</t>
  </si>
  <si>
    <t>1449/2007</t>
  </si>
  <si>
    <t>G - 000358</t>
  </si>
  <si>
    <t>EX-2018-01507812-GDEMZA-DPA#SAYOT</t>
  </si>
  <si>
    <t>GENCO S.A.</t>
  </si>
  <si>
    <t>30-61561407-2</t>
  </si>
  <si>
    <t>Agencia automotores- constructora</t>
  </si>
  <si>
    <t>Rodriguez Peña 401</t>
  </si>
  <si>
    <t>cchiaramonte@gencosa.com.ar, avidela@gencosa.com.ar, ecordon@gencosa.com.ar</t>
  </si>
  <si>
    <t>4315637/2616586990</t>
  </si>
  <si>
    <t>1496/2007</t>
  </si>
  <si>
    <t>G - 000359</t>
  </si>
  <si>
    <t>EX-2023-754604-GDEMZA-DPA#SAYOT - TC - EX-2018-1481879-GDEMZA-DPA#SAYOT</t>
  </si>
  <si>
    <t>PRCR SAU</t>
  </si>
  <si>
    <t>30-64159355-5</t>
  </si>
  <si>
    <t>Mineria</t>
  </si>
  <si>
    <t>25 DE MAYO 1078</t>
  </si>
  <si>
    <t>Paraje Cañadón Amarillo</t>
  </si>
  <si>
    <t>PATA MORA</t>
  </si>
  <si>
    <t>mia@integraba.com.ar, info@prcarg.com, rcarbajal@prcarg.com</t>
  </si>
  <si>
    <t>Y6-Y8-Y9-Y12-Y13-Y29-Y31-Y48</t>
  </si>
  <si>
    <t>1562/2007</t>
  </si>
  <si>
    <t>G - 000361</t>
  </si>
  <si>
    <t>EX-2018-01781998-GDEMZA-DPA#SAYOT</t>
  </si>
  <si>
    <t>"COPIA 2" de JORGE OMAR FERRO y LUIS RODOLFO PIRÁN</t>
  </si>
  <si>
    <t>33--69470264-9</t>
  </si>
  <si>
    <t>Centro de reciclado de cartuchos</t>
  </si>
  <si>
    <t xml:space="preserve">Av. Mitre 543 </t>
  </si>
  <si>
    <t>Av. Mitre 543</t>
  </si>
  <si>
    <t>luis@copia2.com</t>
  </si>
  <si>
    <t>1452/2007</t>
  </si>
  <si>
    <t>G - 000364</t>
  </si>
  <si>
    <t>EX-2018-00893606-GDEMZA-DPA#SAYOT</t>
  </si>
  <si>
    <t>FECOVITA COOP. LTDA</t>
  </si>
  <si>
    <t>30-63459562-3</t>
  </si>
  <si>
    <t>Fraccionamiento de vino</t>
  </si>
  <si>
    <t>Carril Gomez 265</t>
  </si>
  <si>
    <t>Gutierrez</t>
  </si>
  <si>
    <t>guardattig@fecovita.com, gonzalezp@fecovita.com, fecovita@fecovita.com</t>
  </si>
  <si>
    <t>261-4973400 - 2615399256</t>
  </si>
  <si>
    <t>1454/2007</t>
  </si>
  <si>
    <t>G - 000365</t>
  </si>
  <si>
    <t>EX-2018-01621868-GDEMZA-DPA#SAYOT</t>
  </si>
  <si>
    <t>GODOY, ANTONIO RAMÓN - Ruta Nº 20 y Reconquista -</t>
  </si>
  <si>
    <t>20-12983701-3</t>
  </si>
  <si>
    <t>Ruta Nº 20   y   Reconquista 11.120</t>
  </si>
  <si>
    <t>La Primavera</t>
  </si>
  <si>
    <t>godoyhnos@hotmail.com, info@higieneseguridad.com</t>
  </si>
  <si>
    <t>261-3824829</t>
  </si>
  <si>
    <t>480/2011</t>
  </si>
  <si>
    <t>G - 000368</t>
  </si>
  <si>
    <t>EX-2018-02183434-GDEMZA-DPA#SAYOT</t>
  </si>
  <si>
    <t>SAN ANTONIO INTERNACIONAL S.A. - Base Maipú</t>
  </si>
  <si>
    <t>30-55361314-7</t>
  </si>
  <si>
    <t>Reparación, perforación y terminación de pozos de la Ind. Petrolera</t>
  </si>
  <si>
    <t>Carril Rodriguez Peña 1791</t>
  </si>
  <si>
    <t>apoidomani@sanantoniointernacional.com, elorenzo@sanantoniointeranacional.com, rsandobal@sanantoniointernacional.com</t>
  </si>
  <si>
    <t>Y8-Y9-Y12-Y29-Y31-Y48</t>
  </si>
  <si>
    <t>640/2008</t>
  </si>
  <si>
    <t>G - 000370</t>
  </si>
  <si>
    <t>EX-2018-01470981-GDEMZA-DPA#SAYOT</t>
  </si>
  <si>
    <t>ARGENFRUIT S.A.</t>
  </si>
  <si>
    <t>30-67701287-7</t>
  </si>
  <si>
    <t>playa estacionamiento de camiones</t>
  </si>
  <si>
    <t>Altos Hornos de Zapla 1516</t>
  </si>
  <si>
    <t>261-4260974 261-155955806</t>
  </si>
  <si>
    <t>1602/2007</t>
  </si>
  <si>
    <t>G - 000373</t>
  </si>
  <si>
    <t>EX-2018-01132170-GDEMZA-DPA#SAYOT</t>
  </si>
  <si>
    <t>AUTOTRANSPORTE EL TRAPICHE S.R.L. - Bº TRAPICHE -</t>
  </si>
  <si>
    <t>33-54636493-9</t>
  </si>
  <si>
    <t>Transporte público de pasajeros</t>
  </si>
  <si>
    <t>Italia 1990</t>
  </si>
  <si>
    <t>Bº Trapiche</t>
  </si>
  <si>
    <t>mantenimiento@eltrapicheonline.com.ar, davidmedina@eltrapicheonline.com.ar, proexpan@gmail.com</t>
  </si>
  <si>
    <t>261-4539469 261-4360287</t>
  </si>
  <si>
    <t>1611/2007</t>
  </si>
  <si>
    <t>G - 000374</t>
  </si>
  <si>
    <t>EX-2018-01132149-GDEMZA-DPA#SAYOT</t>
  </si>
  <si>
    <t>AUTOTRANSPORTE EL TRAPICHE S.R.L. - CARRODILLA -</t>
  </si>
  <si>
    <t>1ª de Mayo y Krause</t>
  </si>
  <si>
    <t>1610/2007</t>
  </si>
  <si>
    <t>G - 000375</t>
  </si>
  <si>
    <t>EX-2018-01621860-GDEMZA-DPA#SAYOT</t>
  </si>
  <si>
    <t>AUTOLUB S.A.</t>
  </si>
  <si>
    <t>30-70949406-2</t>
  </si>
  <si>
    <t>LAVADERO LUBRICENTREO GOMERIA</t>
  </si>
  <si>
    <t>Av. San Martin 2859</t>
  </si>
  <si>
    <t>Av. San Martín 2859</t>
  </si>
  <si>
    <t>andre.sme@hotmail.com, seba_mdz@hotmail.com</t>
  </si>
  <si>
    <t>261-155041720 261-4300755</t>
  </si>
  <si>
    <t>17/2007</t>
  </si>
  <si>
    <t>G - 000376</t>
  </si>
  <si>
    <t>EX-2018-01464431-GDEMZA-DPA#SAYOT</t>
  </si>
  <si>
    <t>PEDRO Y CARLOS MONTEVERDI S.R.L.</t>
  </si>
  <si>
    <t>30-55183370-0</t>
  </si>
  <si>
    <t>Rodriguez Peña e Independencia</t>
  </si>
  <si>
    <t>ypfmonteverdisrl@arnet.com.ar, nelsongenna@yahoo.com.ar</t>
  </si>
  <si>
    <t>1723/2007</t>
  </si>
  <si>
    <t>G - 000379</t>
  </si>
  <si>
    <t>EX-2018-01683382-GDEMZA-DPA#SAYOT</t>
  </si>
  <si>
    <t>CAPILLITAS S.A. - CAPITAL -</t>
  </si>
  <si>
    <t>30-52330489-1</t>
  </si>
  <si>
    <t>Vta de automotores y servicio de post vta</t>
  </si>
  <si>
    <t>San Martín 1955</t>
  </si>
  <si>
    <t xml:space="preserve">Av JoseVicente Zapata 246 </t>
  </si>
  <si>
    <t>raulventurin@gmail.com</t>
  </si>
  <si>
    <t>4839222 / 2615861500</t>
  </si>
  <si>
    <t>09/2007</t>
  </si>
  <si>
    <t>G - 000380</t>
  </si>
  <si>
    <t>EX-2018-01658956-GDEMZA-DPA#SAYOT</t>
  </si>
  <si>
    <t>CAPILLITAS S.A. - Calle San Martín 1955 -</t>
  </si>
  <si>
    <t>Venta de automotores y servicio de pos venta</t>
  </si>
  <si>
    <t>msanjuan@mediterraneo.com.ar, raulventurin@gmail.com</t>
  </si>
  <si>
    <t>261-5413654 / 02615861500</t>
  </si>
  <si>
    <t>19/2007</t>
  </si>
  <si>
    <t>G - 000381</t>
  </si>
  <si>
    <t>EX-2018-01621852-GDEMZA-DPA#SAYOT</t>
  </si>
  <si>
    <t>TRANSPORTE HUGO R. SIMONASSI S.A.</t>
  </si>
  <si>
    <t>30-70514276-5</t>
  </si>
  <si>
    <t>Transporte  terrestre de cargas</t>
  </si>
  <si>
    <t>Carril Rodriguez Peña 6301  esq. Gonzalez 6301</t>
  </si>
  <si>
    <t>015/2007</t>
  </si>
  <si>
    <t>G - 000384</t>
  </si>
  <si>
    <t>EX-2018-00696445-GDEMZA-DPA#SAYOT</t>
  </si>
  <si>
    <t>EL CACIQUE S.A. - GRUPO 8</t>
  </si>
  <si>
    <t>30-54636240-6</t>
  </si>
  <si>
    <t>Presidente Perón 455</t>
  </si>
  <si>
    <t>Castro 6315</t>
  </si>
  <si>
    <t>2614324226 / 2615574228</t>
  </si>
  <si>
    <t>39/2008</t>
  </si>
  <si>
    <t>G - 000385</t>
  </si>
  <si>
    <t>EX-2018-02242817-GDEMZA-DPA#SAYOT</t>
  </si>
  <si>
    <t>EXPRESO LUJAN DE CUYO S.A.</t>
  </si>
  <si>
    <t>30-56625886-9</t>
  </si>
  <si>
    <t>Transporte de cargas</t>
  </si>
  <si>
    <t>San Martín 1123</t>
  </si>
  <si>
    <t>Acceso Sur Km 16,5</t>
  </si>
  <si>
    <t>gdiez@asdea.com.ar, info@expresolujan.com, fernandad@expresolujan.com</t>
  </si>
  <si>
    <t xml:space="preserve">4989700 / 2615736064
</t>
  </si>
  <si>
    <t>04/2008</t>
  </si>
  <si>
    <t>G - 000386</t>
  </si>
  <si>
    <t>EX-2018-00162552-GDEMZA-DPA#SAYOT</t>
  </si>
  <si>
    <t>MULTIMODAL S.A.C.I.A.</t>
  </si>
  <si>
    <t>30-68319993-8</t>
  </si>
  <si>
    <t>logistica y transporte</t>
  </si>
  <si>
    <t>Rodriguez Peña 169</t>
  </si>
  <si>
    <t>multimodal@multimodal.com.ar, jorge.trobatto@dibiagi.com.ar, nadialingua@yahoo.com</t>
  </si>
  <si>
    <t>261-5516886 - 2614819400</t>
  </si>
  <si>
    <t>07/2008</t>
  </si>
  <si>
    <t>3076910-3076659</t>
  </si>
  <si>
    <t>G - 000389</t>
  </si>
  <si>
    <t>EX-2018-00696848-GDEMZA-DPA#SAYOT</t>
  </si>
  <si>
    <t>EL CACIQUE S.A .- GRUPO 9 -</t>
  </si>
  <si>
    <t>261-5574228 / 2614972511</t>
  </si>
  <si>
    <t>052/2008</t>
  </si>
  <si>
    <t>G - 000391</t>
  </si>
  <si>
    <t>EX-2018-01625676-GDEMZA-DPA#SAYOT</t>
  </si>
  <si>
    <t>MOLINOS RIO DE LA PLATA S.A. - Div. Bodega Nieto Senetiner</t>
  </si>
  <si>
    <t>30-50085862-8</t>
  </si>
  <si>
    <t>VITIVINICULTURA</t>
  </si>
  <si>
    <t xml:space="preserve">Vieytes 2275 </t>
  </si>
  <si>
    <t xml:space="preserve">Carrodilla </t>
  </si>
  <si>
    <t xml:space="preserve">dan.rinaldi@molinos.com.ar, facundo.salinas@molinos.com.ar
</t>
  </si>
  <si>
    <t>2614969000 - 2614194456</t>
  </si>
  <si>
    <t>Y4-Y8-Y9-Y12-Y13-Y29-Y31-Y34-Y35-Y48</t>
  </si>
  <si>
    <t>518/2013</t>
  </si>
  <si>
    <t>G - 000392</t>
  </si>
  <si>
    <t xml:space="preserve"> EX-2022-00626756- -GDEMZA-DPA#SAYOT - TC - EX-2018-02455429-GDEMZA-DPA#SAYOT</t>
  </si>
  <si>
    <t>DORINKA S.R.L. - LAS HERAS -</t>
  </si>
  <si>
    <t>Av. Gral Roca y Av. Boulogne Sur Mer</t>
  </si>
  <si>
    <t>jorge.Cuadra@gdnargentina.com, sonia.cocconi@gdnargentina.com</t>
  </si>
  <si>
    <t>2614815200 / 261-6864700</t>
  </si>
  <si>
    <t>21/2008</t>
  </si>
  <si>
    <t>G - 000393</t>
  </si>
  <si>
    <t>EX-2018-01358183-GDEMZA-DPA#SAYOT</t>
  </si>
  <si>
    <t>BAKER HUGHES ARGENTINA S.R.L. -División Centrilift -</t>
  </si>
  <si>
    <t>30-50447541-3</t>
  </si>
  <si>
    <t>Fab y reparación de bombas electrosumergibles</t>
  </si>
  <si>
    <t>Alem 1821</t>
  </si>
  <si>
    <t>leonides.berejnoi@bakerhughes.com, ricardofuentes2027@gmail.com</t>
  </si>
  <si>
    <t>2614413000 - 2616393896</t>
  </si>
  <si>
    <t>Y8-Y9Y12-Y42-Y48</t>
  </si>
  <si>
    <t>176/2008</t>
  </si>
  <si>
    <t>G - 000394</t>
  </si>
  <si>
    <t>EX2019-6254341-GDEMZA-DPA#SAYOT - TC - EX-2018-02376096-GDEMZA-DPA#SAYOT</t>
  </si>
  <si>
    <t>PONCE JAVIER ALDO</t>
  </si>
  <si>
    <t>20-28806932-9</t>
  </si>
  <si>
    <t>Montecaseros 691</t>
  </si>
  <si>
    <t>mary_231@hotmail.com.ar, torresmariavictoria06@gmail.com</t>
  </si>
  <si>
    <t>261-6360608</t>
  </si>
  <si>
    <t>175/2008</t>
  </si>
  <si>
    <t>G - 000395</t>
  </si>
  <si>
    <t>EX-2018-01786441-GDEMZA-DPA#SAYOT</t>
  </si>
  <si>
    <t>GRUAS PAPAGNI S.R.L.</t>
  </si>
  <si>
    <t>30-70887758-8</t>
  </si>
  <si>
    <t xml:space="preserve">Servicio de Grúas </t>
  </si>
  <si>
    <t xml:space="preserve">Alsina 2623 </t>
  </si>
  <si>
    <t>gruaspapagnisrl@gmail.com, lic.verdaguer@hotmail.com</t>
  </si>
  <si>
    <t>261-4931150 / 261-5449701 / 261-6546332</t>
  </si>
  <si>
    <t>30/2008</t>
  </si>
  <si>
    <t>G - 000396</t>
  </si>
  <si>
    <t>EX-2018-02376494-GDEMZA-DPA#SAYOT</t>
  </si>
  <si>
    <t>ECOTIME S.A.</t>
  </si>
  <si>
    <t>30-71052234-7</t>
  </si>
  <si>
    <t>Centro de reciclado de cartuchos y de tintas</t>
  </si>
  <si>
    <t>Victor Hugo 42</t>
  </si>
  <si>
    <t xml:space="preserve">ecomza@yahoo.com.ar
</t>
  </si>
  <si>
    <t>0261-4244986</t>
  </si>
  <si>
    <t>51/2008</t>
  </si>
  <si>
    <t>G - 000397</t>
  </si>
  <si>
    <t>EX-2018-00882098-GDEMZA-DPA#SAYOT</t>
  </si>
  <si>
    <t>GRUPO PEÑAFLOR S.A.- OPERACIÓN VILLANUEVA -</t>
  </si>
  <si>
    <t xml:space="preserve">Roca y Urquiza </t>
  </si>
  <si>
    <t>carla.compagnoni@grupopenaflor.com.ar, diego.pastor@grupopenaflor.com.ar, rodrigo.venturi@grupopenaflor.com.ar</t>
  </si>
  <si>
    <t>2617623955 - 2612721724</t>
  </si>
  <si>
    <t>22/2008</t>
  </si>
  <si>
    <t>G - 000399</t>
  </si>
  <si>
    <t>EX-2018-02824802-GDEMZA-DPA#SAYOT</t>
  </si>
  <si>
    <t>ECOMAT S.A.</t>
  </si>
  <si>
    <t>30-67196579-1</t>
  </si>
  <si>
    <t>Estacion de servicios Dual</t>
  </si>
  <si>
    <t>Mitre 1473</t>
  </si>
  <si>
    <t>ecomatsa@speedy.com.ar, estacionecomat@gmail.com, carlosjbaggio@yahoo.com.ar</t>
  </si>
  <si>
    <t>4450921 / 2615364533</t>
  </si>
  <si>
    <t>41/2008</t>
  </si>
  <si>
    <t>G - 000400</t>
  </si>
  <si>
    <t>EX-2018-01658958-GDEMZA-DPA#SAYOT</t>
  </si>
  <si>
    <t>FICAMEN S.A.</t>
  </si>
  <si>
    <t>30-60044714-5</t>
  </si>
  <si>
    <t>Venta y servicio de camiones</t>
  </si>
  <si>
    <t>Carril Rodriguez Peña 1982</t>
  </si>
  <si>
    <t xml:space="preserve"> rodostorelli@gmail.com</t>
  </si>
  <si>
    <t>4978232 - 25984553</t>
  </si>
  <si>
    <t>40/20008</t>
  </si>
  <si>
    <t>3111312 - 3110931</t>
  </si>
  <si>
    <t>G - 000401</t>
  </si>
  <si>
    <t>EX-2018-00893631-GDEMZA-DPA#SAYOT</t>
  </si>
  <si>
    <t>GRUPO PEÑAFLOR S.A. - OPERACIÓN COQUIMBITO -</t>
  </si>
  <si>
    <t>INDUSTRIA VITIVINICOLA</t>
  </si>
  <si>
    <t>Nueva Mayorga y Mitre s/n</t>
  </si>
  <si>
    <t xml:space="preserve"> Coquimbito</t>
  </si>
  <si>
    <t>gonzalo.ibanez@grupopenaflor.com.ar, martin.moreno@grupopenaflor.com.ar</t>
  </si>
  <si>
    <t>2617047205 - 5207200-7219</t>
  </si>
  <si>
    <t>Y8-Y9-Y12-Y18-Y29-Y31-Y36-Y48</t>
  </si>
  <si>
    <t>115/2008</t>
  </si>
  <si>
    <t>G - 000403</t>
  </si>
  <si>
    <t>EX-2018-02183420-GDEMZA-DPA#SAYOT</t>
  </si>
  <si>
    <t>SERVICIOS ESPECIALES SAN ANTONIO S.A. - Base Malargüe</t>
  </si>
  <si>
    <t>Serv. De Cementación y Estimulación</t>
  </si>
  <si>
    <t>Gral. Villegas Oeste Nº 884</t>
  </si>
  <si>
    <t>apoidomani@sanantoniointernacional.com, elorenzo@sanantoniointernacional.com, ejensen@sanantoniointernacional.com</t>
  </si>
  <si>
    <t>02614978643/ 4472361</t>
  </si>
  <si>
    <t>156/2008</t>
  </si>
  <si>
    <t>G - 000404</t>
  </si>
  <si>
    <t>EX-2018-01561553-GDEMZA-DPA#SAYOT</t>
  </si>
  <si>
    <t>COOP. TRAB. ESCANDINAVIA LTDA.</t>
  </si>
  <si>
    <t>30-71504621-7</t>
  </si>
  <si>
    <t>Alquiler de equipos para levantar pesos</t>
  </si>
  <si>
    <t>Independencia 1005</t>
  </si>
  <si>
    <t>arozas@gruasdipsa.com.ar, anamangusso@gruasdipsa.com.ar</t>
  </si>
  <si>
    <t>2616631257 / 2615502453</t>
  </si>
  <si>
    <t>165/2008</t>
  </si>
  <si>
    <t>G - 000407</t>
  </si>
  <si>
    <t>EX-2018-01703270-GDEMZA-DPA#SAYOT</t>
  </si>
  <si>
    <t>EXPRESO EL CARRIZAL S.A.</t>
  </si>
  <si>
    <t>30-62495916-3</t>
  </si>
  <si>
    <t>transporte de cargas generales</t>
  </si>
  <si>
    <t xml:space="preserve"> Acc.  Sur, Lat. Oeste,  a 350 mts de Rodriguez Peña</t>
  </si>
  <si>
    <t>licmabonilla@gmail.com, gustavo.valverde@ecsa.com.ar</t>
  </si>
  <si>
    <t>164/2008</t>
  </si>
  <si>
    <t>G - 000409</t>
  </si>
  <si>
    <t>EX-2018-00696303-GDEMZA-DPA#SAYOT</t>
  </si>
  <si>
    <t>EL CACIQUE S.A. - GRUPO 7</t>
  </si>
  <si>
    <t>transporte público de pasajeros</t>
  </si>
  <si>
    <t>Acc. Sur 8000 - Lat. O</t>
  </si>
  <si>
    <t>4972511/    4360048 / 2615574228</t>
  </si>
  <si>
    <t>174/2008</t>
  </si>
  <si>
    <t>G - 000411</t>
  </si>
  <si>
    <t>EX-2018-02376471-GDEMZA-DPA#SAYOT</t>
  </si>
  <si>
    <t>LEONARDO ROBELLO CONSTRUCCIONES</t>
  </si>
  <si>
    <t>20-06845612-7</t>
  </si>
  <si>
    <t>constructora</t>
  </si>
  <si>
    <t>Rufino Ortega 335</t>
  </si>
  <si>
    <t>Callejón Jose Maria Videla 1515 B° Cementista</t>
  </si>
  <si>
    <t>diquepotrerillossa@gmail.com</t>
  </si>
  <si>
    <t>265/2008</t>
  </si>
  <si>
    <t>G - 000412</t>
  </si>
  <si>
    <t>EX-2018-01188585-GDEMZA-DPA#SAYOT</t>
  </si>
  <si>
    <t>TRANSPORTE HERNANDEZ HNOS. S.R.L.</t>
  </si>
  <si>
    <t>30-58860580-5</t>
  </si>
  <si>
    <t>Transporte de mercaderías</t>
  </si>
  <si>
    <t>Rodriguez Peña 2500</t>
  </si>
  <si>
    <t>San Francisco de Monte</t>
  </si>
  <si>
    <t>licmartinaguero@gmail.com, carolina@thernandez.com.ar</t>
  </si>
  <si>
    <t>220/2008</t>
  </si>
  <si>
    <t>G - 000413</t>
  </si>
  <si>
    <t>EX-2018-01607897-GDEMZA-DPA#SAYOT</t>
  </si>
  <si>
    <t>CATTORINI HNOS. S.A.C.F. e I.</t>
  </si>
  <si>
    <t>30-54173905-6</t>
  </si>
  <si>
    <t>Fab envases de vidrios</t>
  </si>
  <si>
    <t>San Juan 204</t>
  </si>
  <si>
    <t xml:space="preserve">Luzuriga </t>
  </si>
  <si>
    <t>mrmg1473@hotmail.com; dbruera@cattorinihnos.com</t>
  </si>
  <si>
    <t>2616639420 / 4933050</t>
  </si>
  <si>
    <t>154/2008</t>
  </si>
  <si>
    <t>G - 000414</t>
  </si>
  <si>
    <t>EX-2018-01515248-GDEMZA-DPA#SAYOT</t>
  </si>
  <si>
    <t>HIDRONIHUIL S.A.</t>
  </si>
  <si>
    <t>30-67633715-2</t>
  </si>
  <si>
    <t>generacion de energia eléctrica</t>
  </si>
  <si>
    <t xml:space="preserve">Ruta Provincial Nº 173 Km 40 </t>
  </si>
  <si>
    <t>Valle Grande</t>
  </si>
  <si>
    <t>armando.espejo@hidronihuil.com.ar, jcordone@cemppsa.com.ar seguridadyambiente-mendoza@outlook.com</t>
  </si>
  <si>
    <t>317/2009</t>
  </si>
  <si>
    <t>G - 000415</t>
  </si>
  <si>
    <t>EX-2018-0165230-GDEMZA-DPA#SAYOT</t>
  </si>
  <si>
    <t>YACOPINI INVERSORA S.A. - SAN RAFAEL -</t>
  </si>
  <si>
    <t>Venta autos 0 Km y servicio  posventa</t>
  </si>
  <si>
    <t>Mitre 770</t>
  </si>
  <si>
    <t>153/2008</t>
  </si>
  <si>
    <t>G - 000416</t>
  </si>
  <si>
    <t>EX-2018-00164367-GDEMZA-DPA#SAYOT</t>
  </si>
  <si>
    <t>CASTROVIEJO JOSE IGNACIO</t>
  </si>
  <si>
    <t>20-23574927-1</t>
  </si>
  <si>
    <t>lubricentro lavadero</t>
  </si>
  <si>
    <t>Hipólito Yrigoyen 410</t>
  </si>
  <si>
    <t>Godoy Cruz</t>
  </si>
  <si>
    <t>2616631257  /  2615502453</t>
  </si>
  <si>
    <t>192/2008</t>
  </si>
  <si>
    <t>G - 000417</t>
  </si>
  <si>
    <t>EX-2018-02518593-GDEMZA-DPA#SAYOT</t>
  </si>
  <si>
    <t>GARABETTI, LEONARDO ARIEL</t>
  </si>
  <si>
    <t>20-25936213-0</t>
  </si>
  <si>
    <t>Fabrica de sillas de caño</t>
  </si>
  <si>
    <t>Cacique Guaymallén 1457</t>
  </si>
  <si>
    <t>LA HERAS</t>
  </si>
  <si>
    <t>San Martin y Santa Cruz 86</t>
  </si>
  <si>
    <t>leonardgarabetti680@gmail.com</t>
  </si>
  <si>
    <t>206/2008</t>
  </si>
  <si>
    <t>G - 000421</t>
  </si>
  <si>
    <t>EX-2023-03125900-   -GDEMZA-DPA#SAYOT - TC - EX-2018-00372758-GDEMZA-DPA#SAYOT</t>
  </si>
  <si>
    <t>AGUAS DE ORIGEN SA</t>
  </si>
  <si>
    <t>33-71751305-9</t>
  </si>
  <si>
    <t>Embotelladora de agua mineral y bebidas</t>
  </si>
  <si>
    <t>Ruta Provincial 52 Km 16.5</t>
  </si>
  <si>
    <t>Canota</t>
  </si>
  <si>
    <t>romina.lucero-damelio@aguasdeorigen.com.ar, esteban.medina-maturana@aguasdeorigen.com.ar</t>
  </si>
  <si>
    <t>2616 76-3802 - 2614 16-7196</t>
  </si>
  <si>
    <t>Y8-Y9-Y12-Y18-Y29-Y34-Y35-Y48</t>
  </si>
  <si>
    <t>241/2008</t>
  </si>
  <si>
    <t>G - 000422</t>
  </si>
  <si>
    <t>EX-2024-01280909-   -GDEMZA-DPA#SAYOT - TC - EX-2018-01291866-GDEMZA-DPA#SAYOT</t>
  </si>
  <si>
    <t>FERROGLOBE ARGENTINA SRL</t>
  </si>
  <si>
    <t>30-55683412-8</t>
  </si>
  <si>
    <t>Fabricación de ferroaleaciones</t>
  </si>
  <si>
    <t>Parque Industrial Provincial s/n</t>
  </si>
  <si>
    <t>emaluff@ferroglobe.com, nfgarcia@ferroglobe.com, ricardofuentes2027@gmail.com</t>
  </si>
  <si>
    <t>4989000 - 2612017108</t>
  </si>
  <si>
    <t>319/2008</t>
  </si>
  <si>
    <t>G - 000423</t>
  </si>
  <si>
    <t>EX-2018-01411799-GDEMZA-DPA#SAYOT</t>
  </si>
  <si>
    <t>WEATHERFORD INTERNACIONAL DE ARGENTINA S.A. - MAIPU</t>
  </si>
  <si>
    <t>30-64570594-3</t>
  </si>
  <si>
    <t>Servicios p/ la Ind. Petrolera</t>
  </si>
  <si>
    <t>Carril Rodriguez Peña y Francisco Gabrieli</t>
  </si>
  <si>
    <t xml:space="preserve">0261 4978040  -  Cel 2615861500                        </t>
  </si>
  <si>
    <t>238/2008</t>
  </si>
  <si>
    <t>G - 000425</t>
  </si>
  <si>
    <t>EX-2018-03082479-GDEMZA-DPA#SAYOT</t>
  </si>
  <si>
    <t>HORMIMAC S.A.</t>
  </si>
  <si>
    <t>30-70801798-8</t>
  </si>
  <si>
    <t>Elab. De Hormigón</t>
  </si>
  <si>
    <t>Acc. Sur, Lat Este Nº 8500</t>
  </si>
  <si>
    <t>Ruta Nac. Nº 40 cc. Sur Lat. Este Km. 8500</t>
  </si>
  <si>
    <t>info@hormimac.com.ar, roxanaglerean@gmail.com</t>
  </si>
  <si>
    <t>0261-4361188  - 2612065244 - 2664376435</t>
  </si>
  <si>
    <t>311/2008</t>
  </si>
  <si>
    <t>G - 000426</t>
  </si>
  <si>
    <t>EX-2018-01621870-GDEMZA-DPA#SAYOT</t>
  </si>
  <si>
    <t>INDUSTRIAS METALMECANICAS ESPECIALES S.A.C.I</t>
  </si>
  <si>
    <t>33-70895602-9</t>
  </si>
  <si>
    <t>Metalmecanica</t>
  </si>
  <si>
    <t>Callejón Lemos 679 P1 Of. 4</t>
  </si>
  <si>
    <t>Independencia 504</t>
  </si>
  <si>
    <t>rravier@imesaci.com.ar, vesnal@imesaci.com.ar,azakalik@imesaci.com.ar</t>
  </si>
  <si>
    <t>345/2008</t>
  </si>
  <si>
    <t>G - 000427</t>
  </si>
  <si>
    <t>EX-2018-01534908-GDEMZA-DPA#SAYOT</t>
  </si>
  <si>
    <t>MD AUTOELEVADORES S.R.L.</t>
  </si>
  <si>
    <t>30-70074079-6</t>
  </si>
  <si>
    <t>alquiler de autoelevadores</t>
  </si>
  <si>
    <t xml:space="preserve">Bandera de los andes 6970 </t>
  </si>
  <si>
    <t>info@mdautoelevadores.com, emilambertucci@hotmail.com</t>
  </si>
  <si>
    <t>4215082 - 2615273461</t>
  </si>
  <si>
    <t>489/2008</t>
  </si>
  <si>
    <t>G - 000428</t>
  </si>
  <si>
    <t>EX-2018-01660167-GDEMZA-DPA#SAYOT</t>
  </si>
  <si>
    <t>LUBRICENTRO TIRASSO S.R.L. - VILLA NUEVA</t>
  </si>
  <si>
    <t>30-70896509-6</t>
  </si>
  <si>
    <t>lubricentro</t>
  </si>
  <si>
    <t>Berutti 54</t>
  </si>
  <si>
    <t xml:space="preserve">Bandera de los Andes 6661 </t>
  </si>
  <si>
    <t>vbravomellado@gmail.com, lubricentrotirassosrl@hotmail.com</t>
  </si>
  <si>
    <t>261-4324776 261-6796287</t>
  </si>
  <si>
    <t>77/2010</t>
  </si>
  <si>
    <t>G - 000429</t>
  </si>
  <si>
    <t>EX-2018-01660143-GDEMZA-DPA#SAYOT</t>
  </si>
  <si>
    <t>LUBRICENTRO TIRASSO S.R.L. - DORREGO -</t>
  </si>
  <si>
    <t xml:space="preserve">Berutti 54 </t>
  </si>
  <si>
    <t>346/2008</t>
  </si>
  <si>
    <t>G - 000430</t>
  </si>
  <si>
    <t>EX-2024-4373574- - GDEMZA-DPA#SAYOT - TC - EX-2018-02376431-GDEMZA-DPA#SAYOT</t>
  </si>
  <si>
    <t>EE SS CORONEL DIAZ SRL</t>
  </si>
  <si>
    <t>30-71693691-7</t>
  </si>
  <si>
    <t>Estacion de servicios</t>
  </si>
  <si>
    <t>San Miguel 701</t>
  </si>
  <si>
    <r>
      <rPr>
        <u/>
        <sz val="11"/>
        <color rgb="FF1155CC"/>
        <rFont val="Calibri"/>
      </rPr>
      <t>ee.ss</t>
    </r>
    <r>
      <rPr>
        <sz val="11"/>
        <color rgb="FF000000"/>
        <rFont val="Calibri"/>
      </rPr>
      <t>.coroneldiaz@gmail.com, carlos_e_schneider@hotmail.com</t>
    </r>
  </si>
  <si>
    <t>348/2008</t>
  </si>
  <si>
    <t>G - 000431</t>
  </si>
  <si>
    <t>EX-2018-00882160-GDEMZA-DPA#SAYOT</t>
  </si>
  <si>
    <t>LEONCIO ARIZU S.A.</t>
  </si>
  <si>
    <t>30-50859850-1</t>
  </si>
  <si>
    <t>Bodega y fab. de champagne</t>
  </si>
  <si>
    <t>San Martín 2044</t>
  </si>
  <si>
    <t>rpareja@luigibosca.com</t>
  </si>
  <si>
    <t>Y8-Y9-Y12-Y29-Y34-Y35-Y48</t>
  </si>
  <si>
    <t>309/2010</t>
  </si>
  <si>
    <t>G - 000432</t>
  </si>
  <si>
    <t>EX-2018-01786607-GDEMZA-DPA#SAYOT</t>
  </si>
  <si>
    <t>DIESEL SERVICE S.R.L.</t>
  </si>
  <si>
    <t>30-70700402-5</t>
  </si>
  <si>
    <t>Rodriguez Peña 873</t>
  </si>
  <si>
    <t>sencina@dieselservice.com.ar, sicmash2018@gmail.com</t>
  </si>
  <si>
    <t xml:space="preserve">4978754 - 2612733345
</t>
  </si>
  <si>
    <t>350/2008</t>
  </si>
  <si>
    <t>G - 000433</t>
  </si>
  <si>
    <t>EX-2018-01453627-GDEMZA-DPA#SAYOT</t>
  </si>
  <si>
    <t>MORA ALEJANDRO GUSTAVO</t>
  </si>
  <si>
    <t>20-20544700-9</t>
  </si>
  <si>
    <t>Lubricentro</t>
  </si>
  <si>
    <t>Lamadrid 1205</t>
  </si>
  <si>
    <t>chivatomza69@gmail.com</t>
  </si>
  <si>
    <t>261-6912406</t>
  </si>
  <si>
    <t>097/2010</t>
  </si>
  <si>
    <t>G - 000434</t>
  </si>
  <si>
    <t>EX-2018-01481872-GDEMZA-DPA#SAYOT</t>
  </si>
  <si>
    <t>TRANSPORTE ANIBAL VALDES S.A.</t>
  </si>
  <si>
    <t>30-70933839-7</t>
  </si>
  <si>
    <t>Transporte de cargas con camiones</t>
  </si>
  <si>
    <t>Ruta Prov. N° 60 Km. 6,3</t>
  </si>
  <si>
    <t>Ruta Prov. N°60 Km. 6,3</t>
  </si>
  <si>
    <t>marcosaguilar.hys@gmail.com, soledadvaldes@transanibalvaldes.com.ar</t>
  </si>
  <si>
    <t>320/2008</t>
  </si>
  <si>
    <t>G - 000436</t>
  </si>
  <si>
    <t>EX-2018-01324952-GDEMZA-DPA#SAYOT</t>
  </si>
  <si>
    <t>BAKER HUGHES ARGENTINA S.R.L. - División Petrolite -</t>
  </si>
  <si>
    <t>Mezcla de prod. Químicos para la industria</t>
  </si>
  <si>
    <t xml:space="preserve">Parque Industrial Municipal P-I-9 </t>
  </si>
  <si>
    <t>leonides.berejnoi@bakerhughes.com; ricardofuentes2027@gmail.com</t>
  </si>
  <si>
    <t>4413000 / 2615069818 / 2616393896</t>
  </si>
  <si>
    <t>Y8-Y9-Y12-Y42-Y48</t>
  </si>
  <si>
    <t>432/2008</t>
  </si>
  <si>
    <t>G - 000437</t>
  </si>
  <si>
    <t>EX-2018-01481881-GDEMZA-DPA#SAYOT</t>
  </si>
  <si>
    <t>PEREZ WALTER VICTOR</t>
  </si>
  <si>
    <t>20-12100689-9</t>
  </si>
  <si>
    <t>Desarmadero de Autos</t>
  </si>
  <si>
    <t>Acc. Este Lat Sur Km 1025</t>
  </si>
  <si>
    <t>Rodeo del Medio</t>
  </si>
  <si>
    <t>walterypfcotizador@yahoo.com.ar, consulgreenmendoza@gmail.com</t>
  </si>
  <si>
    <t>523/2008</t>
  </si>
  <si>
    <t>G - 000438</t>
  </si>
  <si>
    <t>EX-2018-01542128-GDEMZA-DPA#SAYOT</t>
  </si>
  <si>
    <t>RANQUIL SERVICE S.A.</t>
  </si>
  <si>
    <t>33-71546907-9</t>
  </si>
  <si>
    <t>Lavadero/ lubricentro</t>
  </si>
  <si>
    <t>San Martín 1288</t>
  </si>
  <si>
    <t>jcservice.lubricentro@gmail.com</t>
  </si>
  <si>
    <t>050/2008</t>
  </si>
  <si>
    <t>G - 000439</t>
  </si>
  <si>
    <t>EX-2018-01589058-GDEMZA-DPA#SAYOT</t>
  </si>
  <si>
    <t>NUEVA GENERACION S.A. - SAN MARTIN</t>
  </si>
  <si>
    <t>30-64519168-0</t>
  </si>
  <si>
    <t>Transporte de pasageros</t>
  </si>
  <si>
    <t>Pellegrini 646</t>
  </si>
  <si>
    <t>Espejo 9630</t>
  </si>
  <si>
    <t>grupo750@gmail.com, rmcerutti@gmail.com</t>
  </si>
  <si>
    <t xml:space="preserve">261-4315933 2616670548
</t>
  </si>
  <si>
    <t>543/2008</t>
  </si>
  <si>
    <t>G - 000440</t>
  </si>
  <si>
    <t>EX-2018-02072198-GDEMZA-DPA#SAYOT</t>
  </si>
  <si>
    <t>MARIO DANTE GIANNATTASIO</t>
  </si>
  <si>
    <t>20-08596321-0</t>
  </si>
  <si>
    <t>TINTORERIA</t>
  </si>
  <si>
    <t>Bustamante 354</t>
  </si>
  <si>
    <t>mariodante51@hotmail.com, gonzaloconna@hotmail.com</t>
  </si>
  <si>
    <t>261-6610946 /261-5569335</t>
  </si>
  <si>
    <t>Y6-Y18-Y41</t>
  </si>
  <si>
    <t>510/2008</t>
  </si>
  <si>
    <t>G - 000441</t>
  </si>
  <si>
    <t>EX-2018-02376305-GDEMZA-DPA#SAYOT</t>
  </si>
  <si>
    <t>ASC S.A.C.I.</t>
  </si>
  <si>
    <t>30-53045117-4</t>
  </si>
  <si>
    <t>Venta de nafta, lubricantes y anexos</t>
  </si>
  <si>
    <t>Perú 3008</t>
  </si>
  <si>
    <t>asc_saci@hotmail.com, hugo.baldin@gmail.com</t>
  </si>
  <si>
    <t>26116509112 / 4375371</t>
  </si>
  <si>
    <t>636/2008</t>
  </si>
  <si>
    <t>G - 000442</t>
  </si>
  <si>
    <t>EX-2023-550626-GDEMZA-DPA#SAYOT - TC - EX-2018-03082516-GDEMZA-DPA#SAYOT</t>
  </si>
  <si>
    <t>AVA SA - TUNUYAN</t>
  </si>
  <si>
    <t>30-70915104-1</t>
  </si>
  <si>
    <t>Planta  de Elaboración de Alimentos - bebidas no alchólicas</t>
  </si>
  <si>
    <t>Calle El Álamo Km 16</t>
  </si>
  <si>
    <t>Cordón del Plata</t>
  </si>
  <si>
    <t xml:space="preserve">San Martín s/n </t>
  </si>
  <si>
    <t>Colonia Las Rosas</t>
  </si>
  <si>
    <t>TUNUYÁN</t>
  </si>
  <si>
    <t>csalinas@conservasava.com.ar, rubenguerci@gmail.com, mdiaz@conservasava.com.ar</t>
  </si>
  <si>
    <t>639/2008</t>
  </si>
  <si>
    <t>G - 000443</t>
  </si>
  <si>
    <t>EX-2023-548729- -GDEMZA-DPA#SAYOT - TC - EX-2018-03082661-GDEMZA-DPA#SAYOT</t>
  </si>
  <si>
    <t>AVA S.A - TUPUNGATO</t>
  </si>
  <si>
    <t>Planta  de Elaboración de Alimentos</t>
  </si>
  <si>
    <t>csalinas@conservasava.com.ar, madiaz@conservasava.com.ar, rubenguerci@gmail.com</t>
  </si>
  <si>
    <t>570/2008</t>
  </si>
  <si>
    <t>G - 000444</t>
  </si>
  <si>
    <t>EX-2018-02376450-GDEMZA-DPA#SAYOT</t>
  </si>
  <si>
    <t>CHAVETTA MARÍA TERESA</t>
  </si>
  <si>
    <t>27-17021653-4</t>
  </si>
  <si>
    <t>Fotocopiadora</t>
  </si>
  <si>
    <t>J.B.Justo 781</t>
  </si>
  <si>
    <t>mchavetta@yahoo.com.ar</t>
  </si>
  <si>
    <t>Y12 -Y48</t>
  </si>
  <si>
    <t>569/2008</t>
  </si>
  <si>
    <t>G - 000446</t>
  </si>
  <si>
    <t>EX-2018-01411866-GDEMZA-DPA#SAYOT</t>
  </si>
  <si>
    <t>SUR FRANCE S.A.- Calle San Martín -</t>
  </si>
  <si>
    <t>30-70761782-5</t>
  </si>
  <si>
    <t>Venta automotores y post venta</t>
  </si>
  <si>
    <t>San Martín 540</t>
  </si>
  <si>
    <t>vbravomellado@gmail.com, dalvarez@surfrance.com.ar</t>
  </si>
  <si>
    <t>2614662518/ 4240400</t>
  </si>
  <si>
    <t>022/2009</t>
  </si>
  <si>
    <t>G - 000447</t>
  </si>
  <si>
    <t>EX-2018-00376606-GDEMZA-DPA#SAYOT</t>
  </si>
  <si>
    <t>BODEGAS CHANDON S.A. - Agrelo -</t>
  </si>
  <si>
    <t>30-55371841-0</t>
  </si>
  <si>
    <t>Bga, fraccionamiento, vta de vinos, restaurante</t>
  </si>
  <si>
    <t xml:space="preserve">Ruta 15  Km29 </t>
  </si>
  <si>
    <t xml:space="preserve">Agrelo </t>
  </si>
  <si>
    <t>abaigorria@chandon.com.ar, prabino@chandon.com.ar</t>
  </si>
  <si>
    <t>2615723138 - 2615109530</t>
  </si>
  <si>
    <t>026/2009</t>
  </si>
  <si>
    <t>G - 000448</t>
  </si>
  <si>
    <t>EX-2018-02696753-GDEMZA-DPA#SAYOT</t>
  </si>
  <si>
    <t>CONSTRUMIN S.R.L.</t>
  </si>
  <si>
    <t>30-70748677-1</t>
  </si>
  <si>
    <t>Mantenimiento equipos viales</t>
  </si>
  <si>
    <t>Callejón Dummint s/n</t>
  </si>
  <si>
    <t>nelcymiranda@construmin.com.ar, andresmartin@construmin.com.ar</t>
  </si>
  <si>
    <t>4985573 - 2617000879</t>
  </si>
  <si>
    <t>149/2009</t>
  </si>
  <si>
    <t>G - 000449</t>
  </si>
  <si>
    <t>EX-2018-01488857-GDEMZA-DPA#SAYOT</t>
  </si>
  <si>
    <t>BOART LONGYEAR ARGENTINA S.A.</t>
  </si>
  <si>
    <t>30-66327051-2</t>
  </si>
  <si>
    <t>Mantenimiento de Equipos de Sondaje</t>
  </si>
  <si>
    <t>Rodriguez Peña 3868</t>
  </si>
  <si>
    <t>lautaro.espejo@hotmail.com, sergioespejo@hotmail.com</t>
  </si>
  <si>
    <t xml:space="preserve">2615444803 - 2615604077
</t>
  </si>
  <si>
    <t>372/2012</t>
  </si>
  <si>
    <t>G - 000450</t>
  </si>
  <si>
    <t>EX-2018-02692264-GDEMZA-DPA#SAYOT</t>
  </si>
  <si>
    <t>TEKNO ARGENTINA S.A.</t>
  </si>
  <si>
    <t>30-53845793-7</t>
  </si>
  <si>
    <t>Fab. y Comerc. De pinturas</t>
  </si>
  <si>
    <t>Juan de Garay 339</t>
  </si>
  <si>
    <t>Parque Ind. Minero Eje Norte  - Calle 5 y 8</t>
  </si>
  <si>
    <t>esierra@pinturastekno.com.ar, mauricioscattolon@gmail.com</t>
  </si>
  <si>
    <t>4249113 /261 5090682</t>
  </si>
  <si>
    <t>Y12-Y13-Y18-Y31-Y34-Y41-Y48</t>
  </si>
  <si>
    <t>215/2009</t>
  </si>
  <si>
    <t>G - 000451</t>
  </si>
  <si>
    <t>EX-2018-03419891-GDEMZA-DPA#SAYOT</t>
  </si>
  <si>
    <t>TALLERES BARBAGALLO S.R.L.</t>
  </si>
  <si>
    <t>30-67981975-1</t>
  </si>
  <si>
    <t>Talleres Integrales del automotor</t>
  </si>
  <si>
    <t xml:space="preserve">Santiago del Estero 141 </t>
  </si>
  <si>
    <t>administracion@talleresbarbagallo.com</t>
  </si>
  <si>
    <t>4301313 - 2615349089</t>
  </si>
  <si>
    <t>218/2009</t>
  </si>
  <si>
    <t>G - 000453</t>
  </si>
  <si>
    <t>EX-2018-01784138-GDEMZA-DPA#SAYOT</t>
  </si>
  <si>
    <t>EXPRESO USPALLATA S.A.</t>
  </si>
  <si>
    <t>30-54627310-1</t>
  </si>
  <si>
    <t>transporte de peronas</t>
  </si>
  <si>
    <t>Coronel díaz  247</t>
  </si>
  <si>
    <t>edug33mdz@hotmail.com, prjlopez1@yahoo.com.ar</t>
  </si>
  <si>
    <t>4307676 - 2166513417</t>
  </si>
  <si>
    <t>322/2009</t>
  </si>
  <si>
    <t>G - 000455</t>
  </si>
  <si>
    <t>EX-2018-00893513-GDEMZA-DPA#SAYOT</t>
  </si>
  <si>
    <t>ARTRANS S.A.</t>
  </si>
  <si>
    <t>30-59373041-3</t>
  </si>
  <si>
    <t>FAB. DE MOTORES, GENERADORES Y TRANSFORMADORES ELECTRICOS</t>
  </si>
  <si>
    <t>Lat. Este Acc. Sur 8407</t>
  </si>
  <si>
    <t>rubencaparotta@artrans.com.ar, hys@artrans.com.ar</t>
  </si>
  <si>
    <t>4051395 / 2613861802</t>
  </si>
  <si>
    <t>484/2009</t>
  </si>
  <si>
    <t>G - 000456</t>
  </si>
  <si>
    <t>EX-2018-02376380-GDEMZA-DPA#SAYOT</t>
  </si>
  <si>
    <t>MARTÍN, RICARDO ALFREDO CARLOS</t>
  </si>
  <si>
    <t>20-22407643-7</t>
  </si>
  <si>
    <t>SERVICIO DE FOTOCOPIADO</t>
  </si>
  <si>
    <t>La Consulta 786</t>
  </si>
  <si>
    <t>Pedro Molina 189</t>
  </si>
  <si>
    <t>instancopy@yahoo.com.ar</t>
  </si>
  <si>
    <t>552/2009</t>
  </si>
  <si>
    <t>G - 000457</t>
  </si>
  <si>
    <t>EX-2018-02194575-GDEMZA-DPA#SAYOT</t>
  </si>
  <si>
    <t>PRESTACIONES S.A.</t>
  </si>
  <si>
    <t>30-70761059-6</t>
  </si>
  <si>
    <t>Rafael Obligado 1510</t>
  </si>
  <si>
    <t>cvcampo@hotmail.com, sergiopelegrina@cuyoconsultora.com.ar</t>
  </si>
  <si>
    <t>4452798 - 2615650293</t>
  </si>
  <si>
    <t>524/2009</t>
  </si>
  <si>
    <t>G - 000458</t>
  </si>
  <si>
    <t>EX-2018-02385581-GDEMZA-DPA#SAYOT</t>
  </si>
  <si>
    <t>TRAFO SUR de CÉSAR MOLINA</t>
  </si>
  <si>
    <t>20-92828088-9</t>
  </si>
  <si>
    <t>Reparación de transformadores de alta tensión</t>
  </si>
  <si>
    <t>Rawson 885</t>
  </si>
  <si>
    <t>Benegas</t>
  </si>
  <si>
    <t>cmolinaf@hotmail.com</t>
  </si>
  <si>
    <t>4396893 - 2615376680</t>
  </si>
  <si>
    <t>688/2009</t>
  </si>
  <si>
    <t>G - 000460</t>
  </si>
  <si>
    <t>EX-2018-00893540-GDEMZA-DPA#SAYOT</t>
  </si>
  <si>
    <t>TELEDRIFT ARGENTINA S.A. - ACCESO SUR Y AZCUÉNAGA -</t>
  </si>
  <si>
    <t>30-70736077-8</t>
  </si>
  <si>
    <t xml:space="preserve">SERVICIOS DE EXPLOR/ EXTRAC. DE PETROLEO </t>
  </si>
  <si>
    <t>INDUSTRIA  DEL PETROLEO</t>
  </si>
  <si>
    <t>Acc. Sur Km 16,5 Lat E y Azcuénaga</t>
  </si>
  <si>
    <t>Acc. Sur Km 16,5 lat E y Azcuénaga</t>
  </si>
  <si>
    <t>sebastian.nunez@teledriftarg.com, rodostorelli@gmail.com</t>
  </si>
  <si>
    <t>2615793143 - 2613372769</t>
  </si>
  <si>
    <t>33/2010</t>
  </si>
  <si>
    <t>G - 000461</t>
  </si>
  <si>
    <t>EX-2018-01679457-GDEMZA-DPA#SAYOT</t>
  </si>
  <si>
    <t>FALFER S.A.</t>
  </si>
  <si>
    <t>30-56099661-2</t>
  </si>
  <si>
    <t>Seguridad contra incendios</t>
  </si>
  <si>
    <t>Salta 1753</t>
  </si>
  <si>
    <t>gjfalcati@falfersa.com.ar, mfemenia@falfersa.com.ar, gfalcati@falfersa.com.ar</t>
  </si>
  <si>
    <t>99/2010</t>
  </si>
  <si>
    <t>G - 000464</t>
  </si>
  <si>
    <t>EX-2018-00369921-GDEMZA-DPA#SAYOT</t>
  </si>
  <si>
    <t>BODEGAS CHANDON S.A. - División Terrazas de Los Andes -</t>
  </si>
  <si>
    <t xml:space="preserve">Ruta 15  Km 29 </t>
  </si>
  <si>
    <t>Cochabamba y Thames</t>
  </si>
  <si>
    <t xml:space="preserve">2615109530 - 2615723138
</t>
  </si>
  <si>
    <t>228/2010</t>
  </si>
  <si>
    <t>G - 000465</t>
  </si>
  <si>
    <t>EX-2018-01452587-GDEMZA-DPA#SAYOT</t>
  </si>
  <si>
    <t>INDUSTRIAS METALURGICAS GENTILI S.A</t>
  </si>
  <si>
    <t>30-63027633-7</t>
  </si>
  <si>
    <t>metalmecánica</t>
  </si>
  <si>
    <t xml:space="preserve">Terrada 457 </t>
  </si>
  <si>
    <t>informes@grupo-gentili.com.ar</t>
  </si>
  <si>
    <t>261-4985729 - 2614672142</t>
  </si>
  <si>
    <t>297/2010</t>
  </si>
  <si>
    <t>G - 000466</t>
  </si>
  <si>
    <t>EX-2018-01791342-GDEMZA-DPA#SAYOT</t>
  </si>
  <si>
    <t>QUIROGA, MIGUEL ANGEL</t>
  </si>
  <si>
    <t>20-18269348-1</t>
  </si>
  <si>
    <t>Vta y colocación de amortiguadores</t>
  </si>
  <si>
    <t>Pescadores 1177</t>
  </si>
  <si>
    <t>4ta. Sección</t>
  </si>
  <si>
    <t>222/2010</t>
  </si>
  <si>
    <t>G - 000468</t>
  </si>
  <si>
    <t>EX-2018-02376196-GDEMZA-DPA#SAYOT</t>
  </si>
  <si>
    <t>SANTILLI RAQUEL MARIA</t>
  </si>
  <si>
    <t>27-04704819-8</t>
  </si>
  <si>
    <t>lavadero</t>
  </si>
  <si>
    <t>Acceso Este,  Lat. Norte 730</t>
  </si>
  <si>
    <t>231/2010</t>
  </si>
  <si>
    <t>G - 000470</t>
  </si>
  <si>
    <t>EX-2018-02376159-GDEMZA-DPA#SAYOT</t>
  </si>
  <si>
    <t>CORIA LEONARDO JAVIER</t>
  </si>
  <si>
    <t>20-20809078-0</t>
  </si>
  <si>
    <t>Taller de chaperia y pintura</t>
  </si>
  <si>
    <t>Chaco 519</t>
  </si>
  <si>
    <t>ljcx2250@hotmail.com</t>
  </si>
  <si>
    <t>155-271028</t>
  </si>
  <si>
    <t>291/2010</t>
  </si>
  <si>
    <t>G - 000471</t>
  </si>
  <si>
    <t>EX-2018-00370001-GDEMZA-DPA#SAYOT</t>
  </si>
  <si>
    <t>BODEGAS CHANDON S.A.- Div. Viñedos El Yaima</t>
  </si>
  <si>
    <t>Actividad  Agricola</t>
  </si>
  <si>
    <t xml:space="preserve">Circunvalación s/n </t>
  </si>
  <si>
    <t>Y4-Y8-Y9-Y12-Y29-Y48</t>
  </si>
  <si>
    <t>286/2010</t>
  </si>
  <si>
    <t>G - 000472</t>
  </si>
  <si>
    <t>EX-2018-1659479-GDEMZA-DPA#SAYOT</t>
  </si>
  <si>
    <t>TERUYA RIYOEI</t>
  </si>
  <si>
    <t>24-93724296-0</t>
  </si>
  <si>
    <t>tintoreria</t>
  </si>
  <si>
    <t>Avellaneda 350</t>
  </si>
  <si>
    <t>daad2403@hotmail.com, hernandezemilio69@gmail.com</t>
  </si>
  <si>
    <t>4233666 /261-6065254 / 261-6591397</t>
  </si>
  <si>
    <t>Y6-Y42</t>
  </si>
  <si>
    <t>245/2010</t>
  </si>
  <si>
    <t>G - 000473</t>
  </si>
  <si>
    <t>EX-2018-01621862-GDEMZA-DPA#SAYOT</t>
  </si>
  <si>
    <t>PUEYRREDON MOTOS S.H. de GOMEZ RUBEN, GOMEZ DANIEL y GOMEZ JUAN JOSE</t>
  </si>
  <si>
    <t>30-67638970-5</t>
  </si>
  <si>
    <t>VENTA DE MOTOS</t>
  </si>
  <si>
    <t>Carola Lorenzini 100</t>
  </si>
  <si>
    <t>hsemza@gmail.com, info@pueyrredonmotos.com</t>
  </si>
  <si>
    <t>2616672025 - 2615138316</t>
  </si>
  <si>
    <t>224/2010</t>
  </si>
  <si>
    <t>G - 000475</t>
  </si>
  <si>
    <t>EX-2018-02385584-GDEMZA-DPA#SAYOT</t>
  </si>
  <si>
    <t>ARENYS S.R.L. - Capital, Av. San Martin</t>
  </si>
  <si>
    <t>San Martin 2801</t>
  </si>
  <si>
    <t>234/2010</t>
  </si>
  <si>
    <t>G - 000476</t>
  </si>
  <si>
    <t>EX-2018-02376416-GDEMZA-DPA#SAYOT</t>
  </si>
  <si>
    <t>ARENYS S.R.L. - Capital, Jorge A Calle</t>
  </si>
  <si>
    <t>J. A. Calle 656</t>
  </si>
  <si>
    <t>239/2010</t>
  </si>
  <si>
    <t>G - 000477</t>
  </si>
  <si>
    <t>EX-2018-00369981-GDEMZA-DPA#SAYOT</t>
  </si>
  <si>
    <t>BODEGAS CHANDON S.A. - Viñedos El Pedregal -</t>
  </si>
  <si>
    <t>Actividad  Agrícola</t>
  </si>
  <si>
    <t>Calle  Superiora y Quiroga s/n</t>
  </si>
  <si>
    <t>La Consulta</t>
  </si>
  <si>
    <t>2615109530 - 2615723138</t>
  </si>
  <si>
    <t>257/2010</t>
  </si>
  <si>
    <t>G - 000479</t>
  </si>
  <si>
    <t>EX-2018-02376121-GDEMZA-DPA#SAYOT</t>
  </si>
  <si>
    <t>COBRA S.A.</t>
  </si>
  <si>
    <t>30-69471601-2</t>
  </si>
  <si>
    <t>Concesionaria de motos</t>
  </si>
  <si>
    <t>Jose V. Zapata 256</t>
  </si>
  <si>
    <t>gerencia@motofun.com.ar</t>
  </si>
  <si>
    <t>283/2010</t>
  </si>
  <si>
    <t>G - 000482</t>
  </si>
  <si>
    <t>EX-2018-02385586-GDEMZA-DPA#SAYOT</t>
  </si>
  <si>
    <t>OCTANO S.A. - 2 - SAN MARTIN SUR 770 -</t>
  </si>
  <si>
    <t>San Martín Sur 770</t>
  </si>
  <si>
    <t>hugo.baldin@gmail.com, ecuello@octano.com.ar</t>
  </si>
  <si>
    <t xml:space="preserve">4350303 / 2615268872
</t>
  </si>
  <si>
    <t>254/2010</t>
  </si>
  <si>
    <t>G - 000484</t>
  </si>
  <si>
    <t>EX-2018-01464556-GDEMZA-DPA#SAYOT</t>
  </si>
  <si>
    <t>RODRIGUEZ HNOS. TRANSPORTES S.A.</t>
  </si>
  <si>
    <t>30-70734811-5</t>
  </si>
  <si>
    <t>Mitre 1874</t>
  </si>
  <si>
    <t>admin.mendoza@rht.com.ar, yunesmarta1974@gmail.com, rubenbartolochini@rht.com.ar</t>
  </si>
  <si>
    <t>4454444 / 2615379615</t>
  </si>
  <si>
    <t>403/2010</t>
  </si>
  <si>
    <t>G - 000486</t>
  </si>
  <si>
    <t>EX-2018-01781996-GDEMZA-DPA#SAYOT</t>
  </si>
  <si>
    <t>OBS S.R.L.</t>
  </si>
  <si>
    <t>30-71412245-9</t>
  </si>
  <si>
    <t>Acceso Este - Lat. Norte 422</t>
  </si>
  <si>
    <t>gestoriaambiental.mza@gmail.com, natalia@omarbressa.com.ar</t>
  </si>
  <si>
    <t>261-6631257 - 2615930119</t>
  </si>
  <si>
    <t>Y8-48</t>
  </si>
  <si>
    <t>400/2010</t>
  </si>
  <si>
    <t>G - 000489</t>
  </si>
  <si>
    <t>EX-2018-01481861-GDEMZA-DPA#SAYOT</t>
  </si>
  <si>
    <t>BARROSO GUSTAVO</t>
  </si>
  <si>
    <t>20-26241430-3</t>
  </si>
  <si>
    <t>insumos informatico- reciclado de toner</t>
  </si>
  <si>
    <t>Ejército de los Andes 158</t>
  </si>
  <si>
    <t>consulgreenmendoza@gmail.com, centroinsumos@hotmail.com</t>
  </si>
  <si>
    <t>261-5453918</t>
  </si>
  <si>
    <t>490/2010</t>
  </si>
  <si>
    <t>G - 000490</t>
  </si>
  <si>
    <t>EX-2018-00707078-GDEMZA-DPA#SAYOT</t>
  </si>
  <si>
    <t>GOMEZ ROBERTO ARGENTINO</t>
  </si>
  <si>
    <t>20-17252332-4</t>
  </si>
  <si>
    <t>Taller Mecánica Integral</t>
  </si>
  <si>
    <t>Remedios Escalada 1160</t>
  </si>
  <si>
    <t xml:space="preserve">gestoriaambiental.mza@gmail.com, administracion@megamecanica.com.ar </t>
  </si>
  <si>
    <t>2616631257 /5502453</t>
  </si>
  <si>
    <t>485/2010</t>
  </si>
  <si>
    <t>G - 000491</t>
  </si>
  <si>
    <t>EX-2018-02242839-GDEMZA-DPA#SAYOT</t>
  </si>
  <si>
    <t>PINTURAS WALL S.A.</t>
  </si>
  <si>
    <t>30-70715260-1</t>
  </si>
  <si>
    <t>FAB. DE PINTURAS, BARNICES, PLACAS Y REVEST</t>
  </si>
  <si>
    <t>Coronel Recuero 678</t>
  </si>
  <si>
    <t xml:space="preserve">El Borbollón </t>
  </si>
  <si>
    <t>pinturaswall@pinturaswall.com.ar, legaleswall@pinturaswall.com.ar, gvideau@pinturaswall.com.ar</t>
  </si>
  <si>
    <t>492/2010</t>
  </si>
  <si>
    <t>G - 000492</t>
  </si>
  <si>
    <t>EX-2018-01626304-GDEMZA-DPA#SAYOT</t>
  </si>
  <si>
    <t>ACEROS CUYANOS S.A.</t>
  </si>
  <si>
    <t>33-56881341-9</t>
  </si>
  <si>
    <t>Fab. De piezas de acero</t>
  </si>
  <si>
    <t>Parque Ind. Prov. s/n</t>
  </si>
  <si>
    <t xml:space="preserve">asotto@acsamining.com, </t>
  </si>
  <si>
    <t>Y8-Y9-Y12-Y13-Y31-Y34-Y35-Y48</t>
  </si>
  <si>
    <t>537/2010</t>
  </si>
  <si>
    <t>G - 000493</t>
  </si>
  <si>
    <t>EX-2018-02824857-GDEMZA-DPA#SAYOT</t>
  </si>
  <si>
    <t>MASETTO HNOS de Susana, Gabriela y Nazareno Javier Masetto - Ozamis y Palma -</t>
  </si>
  <si>
    <t>30-70781970-3</t>
  </si>
  <si>
    <t>Estación de Carga Dual c/ lubricentro</t>
  </si>
  <si>
    <t>Ozamis  30 y Palma</t>
  </si>
  <si>
    <t>Ozamis 30 y Palma</t>
  </si>
  <si>
    <t xml:space="preserve"> ypf@estacionmasetto.com.ar, carlosjbaggio@yahoo.com.ar</t>
  </si>
  <si>
    <t>472/2010</t>
  </si>
  <si>
    <t>G - 000494</t>
  </si>
  <si>
    <t>EX-2018-02376391-GDEMZA-DPA#SAYOT</t>
  </si>
  <si>
    <t>ABALLAY CLAUDIA SILVANA</t>
  </si>
  <si>
    <t>23-20610309-4</t>
  </si>
  <si>
    <t>Barrio Murgia A-14</t>
  </si>
  <si>
    <t xml:space="preserve">Perdiel </t>
  </si>
  <si>
    <t>Cerro Catedral 1107</t>
  </si>
  <si>
    <t>LAS TORTUGAS</t>
  </si>
  <si>
    <t>eco_a_sec@hotmail.com</t>
  </si>
  <si>
    <t>543/2010</t>
  </si>
  <si>
    <t>G - 000495</t>
  </si>
  <si>
    <t>EX-2018-01666045-GDEMZA-DPA#SAYOT</t>
  </si>
  <si>
    <t>ZAMMITTO S.R.L</t>
  </si>
  <si>
    <t>30-54984783-4</t>
  </si>
  <si>
    <t>Tratamientos superficiales. Recuperación de piezas de b ombeo</t>
  </si>
  <si>
    <t>BARRIO UNIMEV TORRE T3 PISO 8 OF. B 11111</t>
  </si>
  <si>
    <t xml:space="preserve">VILLA NUEVA </t>
  </si>
  <si>
    <t>PARQUE INDUSTRIAL MUNICIPAL - FRACCIÓN "A" PREDIO "B1"</t>
  </si>
  <si>
    <t xml:space="preserve">rodostorelli@gmail.com, administracion@zammittosrl.com, </t>
  </si>
  <si>
    <t xml:space="preserve">02613372769
 / 2615697897
</t>
  </si>
  <si>
    <t>620/2010</t>
  </si>
  <si>
    <t>G - 000496</t>
  </si>
  <si>
    <t>EX-2018-01543357-GDEMZA-DPA#SAYOT</t>
  </si>
  <si>
    <t>PEREZ ROPERO, FRANCO MANUEL</t>
  </si>
  <si>
    <t>20-41155249-8</t>
  </si>
  <si>
    <t>Lateral Acceso Este - Carrefour, Local Nº 15</t>
  </si>
  <si>
    <t>Lateral Acceso Este  - Carrefour, Nº Local 15</t>
  </si>
  <si>
    <t>jorgeperez.tintoreria@yahoo.com.ar, alfredososa@yahoo.com.ar</t>
  </si>
  <si>
    <t>549/2010</t>
  </si>
  <si>
    <t>G - 000497</t>
  </si>
  <si>
    <t>EX-2018-02486330-GDEMZA-DPA#SAYOT</t>
  </si>
  <si>
    <t>EMPRENDIMIENTOS CHACON ALONSO S.A.</t>
  </si>
  <si>
    <t>33-71511591-9</t>
  </si>
  <si>
    <t>venta de combustibles líquidos</t>
  </si>
  <si>
    <t>Ruta 50 y Mitre</t>
  </si>
  <si>
    <t>Fray Luis Beltrán</t>
  </si>
  <si>
    <t>mabelalonso15@hotmail.com, jorgevera_segu@yahoo.com.ar</t>
  </si>
  <si>
    <t>4921672 / 261-6115694</t>
  </si>
  <si>
    <t>619/2010</t>
  </si>
  <si>
    <t>G - 000498</t>
  </si>
  <si>
    <t>EX-2018-01703180-GDEMZA-DPA#SAYOT</t>
  </si>
  <si>
    <t>GOLDSTEIN AUTOMOTORES S.A.C.I. - FORD</t>
  </si>
  <si>
    <t>30-68929477-0</t>
  </si>
  <si>
    <t>concesionaria  - taller</t>
  </si>
  <si>
    <t xml:space="preserve">Pascual Toso 102- 200 B° Pedro molina </t>
  </si>
  <si>
    <t>mrmg1473@hotmail.com, jpotenzone@mariogoldsteinsa.com.ar</t>
  </si>
  <si>
    <t>4253400 - 2615653216</t>
  </si>
  <si>
    <t>583/2010</t>
  </si>
  <si>
    <t>G - 000499</t>
  </si>
  <si>
    <t>EX-2018-01542778-GDEMZA-DPA#SAYOT</t>
  </si>
  <si>
    <t>GRAN LIBERTADOR S.A.</t>
  </si>
  <si>
    <t>30-66209041-3</t>
  </si>
  <si>
    <t>Estacion de servicios dual</t>
  </si>
  <si>
    <t>Rodriguez Peña 1050</t>
  </si>
  <si>
    <t>granlibertadorsa@gmail.com,  j.l.venier@hotmail.com</t>
  </si>
  <si>
    <t>4321476 - 2616244666</t>
  </si>
  <si>
    <t>585/2010</t>
  </si>
  <si>
    <t>G - 000500</t>
  </si>
  <si>
    <t>EX-2018-01659631-GDEMZA-DPA#SAYOT</t>
  </si>
  <si>
    <t>RUITTI, ORLANDO CLAUDIO</t>
  </si>
  <si>
    <t>20-14962518-7</t>
  </si>
  <si>
    <t>Servicio Mecánico del automotor</t>
  </si>
  <si>
    <t>Altos Hornos Zapla 1551</t>
  </si>
  <si>
    <t>ruitti4x4@live.com.ar, vbravomellado@gmail.com</t>
  </si>
  <si>
    <t>566/2010</t>
  </si>
  <si>
    <t>G - 000501</t>
  </si>
  <si>
    <t>EX-2018-01188561-GDEMZA-DPA#SAYOT</t>
  </si>
  <si>
    <t>VALERIO OLIVA S.A.C.I.A.</t>
  </si>
  <si>
    <t>30-58449976-8</t>
  </si>
  <si>
    <t>Vta. Productos de madera</t>
  </si>
  <si>
    <t>Rodriguez Peña 2250</t>
  </si>
  <si>
    <t>administracion@valeriooliva.com, avo@valeriooliva.com</t>
  </si>
  <si>
    <t>565/2010</t>
  </si>
  <si>
    <t>G - 000502</t>
  </si>
  <si>
    <t>EX-2018-01541856-GDEMZA-DPA#SAYOT</t>
  </si>
  <si>
    <t>COMERCIAL MANITTA HNOS. SRL - Calle Azcuénaga -</t>
  </si>
  <si>
    <t>30-54320196-7</t>
  </si>
  <si>
    <t>Azcuénaga 745</t>
  </si>
  <si>
    <t>recursoshumanos@manitta.com.ar, avconsultora@yahoo.com.ar</t>
  </si>
  <si>
    <t>2614179220 - 2615977013</t>
  </si>
  <si>
    <t>586/10</t>
  </si>
  <si>
    <t>G - 000503</t>
  </si>
  <si>
    <t>EX-2018-02183139-GDEMZA-DPA#SAYOT</t>
  </si>
  <si>
    <t>ECO DE LOS ANDES S.A.</t>
  </si>
  <si>
    <t>30-70100954-8</t>
  </si>
  <si>
    <t>Envasado y embotellado de agua mineral</t>
  </si>
  <si>
    <t>Ruta Prov. Nº 92 Km 14</t>
  </si>
  <si>
    <t>Vista Flores</t>
  </si>
  <si>
    <t>marvarez@nestleaguas.com.ar, jatencio@nestleaguas.com.ar</t>
  </si>
  <si>
    <t>2612052796 - 2615 08-4718</t>
  </si>
  <si>
    <t>Y8-Y9-Y12-Y29-Y31-Y34-Y35-Y42-Y48</t>
  </si>
  <si>
    <t>622/2010</t>
  </si>
  <si>
    <t>G - 000504</t>
  </si>
  <si>
    <t>EX-2018-00164335-GDEMZA-DPA#SAYOT</t>
  </si>
  <si>
    <t>SAFARI AUTOMOTORES S.A.</t>
  </si>
  <si>
    <t>30-61554313-2</t>
  </si>
  <si>
    <t xml:space="preserve">Fray Luis Beltran 145 </t>
  </si>
  <si>
    <t>Villa Tulumaya</t>
  </si>
  <si>
    <t>LAVALLE</t>
  </si>
  <si>
    <t>anticipar3@gmail.com, santoni.mariano@gmail.com</t>
  </si>
  <si>
    <t xml:space="preserve">4941143 - 2615652920
</t>
  </si>
  <si>
    <t>627/2010</t>
  </si>
  <si>
    <t>G - 000505</t>
  </si>
  <si>
    <t>EX-2018-01535187-GDEMZA-DPA#SAYOT</t>
  </si>
  <si>
    <t>COSTA SERVIS S.A.</t>
  </si>
  <si>
    <t>30-71428219-7</t>
  </si>
  <si>
    <t>Belgrano 675</t>
  </si>
  <si>
    <t>Costa de Araujo</t>
  </si>
  <si>
    <t>ypfcosta@yahoo.com.ar, lic.sosa_10@hotmail.com</t>
  </si>
  <si>
    <t xml:space="preserve">2615451010 - 2615450516
</t>
  </si>
  <si>
    <t>630/2010</t>
  </si>
  <si>
    <t>G - 000506</t>
  </si>
  <si>
    <t>EX2023-1517515-GDEMZ-DPA#SAYOT - TC - EX-2018-01621846-GDEMZA-DPA#SAYOT</t>
  </si>
  <si>
    <t>PALMERO SAN LUIS SA</t>
  </si>
  <si>
    <t>30-61190607-9</t>
  </si>
  <si>
    <t xml:space="preserve">Venta de art. Industriales, repuestos  y servicios </t>
  </si>
  <si>
    <t>Rodriguez Peña 2332</t>
  </si>
  <si>
    <t>Rodriguez Peña 2232</t>
  </si>
  <si>
    <t>lferreira@palmero.com, avelinorodriguez@gmail.com</t>
  </si>
  <si>
    <t>810227256 - 2615686100</t>
  </si>
  <si>
    <t>710/2010</t>
  </si>
  <si>
    <t>G - 000508</t>
  </si>
  <si>
    <t>EX-2018-03435815-GDEMZA-DPA#SAYOT</t>
  </si>
  <si>
    <t>MAR CANTABRICO S.A.</t>
  </si>
  <si>
    <t>30-53530406-4</t>
  </si>
  <si>
    <t>Independencia 525</t>
  </si>
  <si>
    <t>pvelkoff@marcantabricosa.com.ar, estudioocchipinti@gmail.com, gjmolinelli@gmail.com</t>
  </si>
  <si>
    <t>684/2010</t>
  </si>
  <si>
    <t>G - 000509</t>
  </si>
  <si>
    <t>EX-2018-02471992-GDEMZA-DPA#SAYOT</t>
  </si>
  <si>
    <t>YESOS KNAUF - GMBH SUCURSAL ARGENTINA</t>
  </si>
  <si>
    <t>30-69434682-7</t>
  </si>
  <si>
    <t>Fab. de placas de yesos, perfilerias y masilla</t>
  </si>
  <si>
    <t>Calle de Acceso Nº 3 y 4</t>
  </si>
  <si>
    <t>Parque Industrial Prov.</t>
  </si>
  <si>
    <t>rubenrijavec@gmail.com, fernando.berna@knauf.com, marcelo.herrera@knauf.com</t>
  </si>
  <si>
    <t>4989600 / 4983376</t>
  </si>
  <si>
    <t>682/2010</t>
  </si>
  <si>
    <t>G - 000510</t>
  </si>
  <si>
    <t>EX-2023-06173654-   -GDEMZA-DPA#SAYOT - TC - EX-2018-02085798-GDEMZA-DPA#SAYOT</t>
  </si>
  <si>
    <t>CGC ENERGIA SAU</t>
  </si>
  <si>
    <t>30-64265139-7</t>
  </si>
  <si>
    <t>Ruta 82, Complejo Chacras Park, Edificio Drago, Piso 5, Oficina 507,</t>
  </si>
  <si>
    <t>Ruta 40 Km 3247</t>
  </si>
  <si>
    <t xml:space="preserve">Anchoris </t>
  </si>
  <si>
    <t>institucionales@venoil-energia.com,  gnaves@venoil-energia.com</t>
  </si>
  <si>
    <t>685/2010</t>
  </si>
  <si>
    <t>G - 000511</t>
  </si>
  <si>
    <t>EX-2018-00151463-GDEMZA-DPA#SAYOT</t>
  </si>
  <si>
    <t>LUIS GUILLERMO POZOBON e HIJOS S.R.L.</t>
  </si>
  <si>
    <t>30-62371441-8</t>
  </si>
  <si>
    <t>Maza 2236</t>
  </si>
  <si>
    <t>Gral. Gutierrez</t>
  </si>
  <si>
    <t>hugo.baldin@gmail.com, pozobonypf@hotmail.com</t>
  </si>
  <si>
    <t>4315299 - 2616509112</t>
  </si>
  <si>
    <t>683/2010</t>
  </si>
  <si>
    <t>G - 000512</t>
  </si>
  <si>
    <t>EX-2018-01724921-GDEMZA-DPA#SAYOT</t>
  </si>
  <si>
    <t>OESTE ARGENTINO S.R.L.</t>
  </si>
  <si>
    <t>30-61832651-5</t>
  </si>
  <si>
    <t>Imprenta</t>
  </si>
  <si>
    <t>Jujuy 409</t>
  </si>
  <si>
    <t>oesteargentino@oesteargentino.com.ar, licelenasilvestrinimza@gmail.com</t>
  </si>
  <si>
    <t>666/2010</t>
  </si>
  <si>
    <t>G - 000513</t>
  </si>
  <si>
    <t>EX-2018-00690874-GDEMZA-DPA#SAYOT</t>
  </si>
  <si>
    <t>PLUSPETROL S.A.</t>
  </si>
  <si>
    <t>30-67822401-0</t>
  </si>
  <si>
    <t>PETROLERA</t>
  </si>
  <si>
    <t>Sobremonte 728</t>
  </si>
  <si>
    <t xml:space="preserve">Ruta Prov. 180 s/n- El Corcovo </t>
  </si>
  <si>
    <t xml:space="preserve"> Agua Escondida </t>
  </si>
  <si>
    <t>comunicacionesambientales-arg@pluspetrol.net, patricialopez@pluspetrol.net, mmagallanes@pluspetrol.net</t>
  </si>
  <si>
    <t>0261- 4258663 - 2616522573</t>
  </si>
  <si>
    <t>Y9-Y11-Y48</t>
  </si>
  <si>
    <t>374/2012</t>
  </si>
  <si>
    <t>G - 000515</t>
  </si>
  <si>
    <t>EX-2018-01783012-GDEMZA-DPA#SAYOT</t>
  </si>
  <si>
    <t>ASTIE DIESEL S.A. - MAIPU</t>
  </si>
  <si>
    <t>30-71428769-5</t>
  </si>
  <si>
    <t>Eestación de Servicio</t>
  </si>
  <si>
    <t xml:space="preserve">Ruta Provincial Nº  50   al  4584 </t>
  </si>
  <si>
    <t>jefeestacion@astieypf.com, gestoriaambiental.mza@gmail.com</t>
  </si>
  <si>
    <t>083/2011</t>
  </si>
  <si>
    <t>G - 000517</t>
  </si>
  <si>
    <t>EX-2018-01593743-GDEMZA-DPA#SAYOT</t>
  </si>
  <si>
    <t>PARIS JOSE ALBERTO</t>
  </si>
  <si>
    <t>20-13996732-2</t>
  </si>
  <si>
    <t>Bandera de los Andes 5905</t>
  </si>
  <si>
    <t>chacaritaparisautoparte@hotmail.com, consulgreenmendoza@gmail.com</t>
  </si>
  <si>
    <t>4260564 - 0261-5980649</t>
  </si>
  <si>
    <t>731/2010</t>
  </si>
  <si>
    <t>G - 000518</t>
  </si>
  <si>
    <t>EX-2018-01375038-GDEMZA-DPA#SAYOT</t>
  </si>
  <si>
    <t>AVA SA - LUJAN DE CUYO</t>
  </si>
  <si>
    <t>Elaborador, fraccion. y dep. de alimentos vegetales de regimen o dieteticos libre de gluten</t>
  </si>
  <si>
    <t>Ruta Prov. 86 Km 1</t>
  </si>
  <si>
    <t>Ugarteche</t>
  </si>
  <si>
    <t>hys@conservasava.com.ar, mdiaz@conservasava.com.ar</t>
  </si>
  <si>
    <t>2612499068 - 2615135171</t>
  </si>
  <si>
    <t>733/2010</t>
  </si>
  <si>
    <t>G - 000520</t>
  </si>
  <si>
    <t>EX -2018-01501703-GDEMZA-DPA#SAYOT</t>
  </si>
  <si>
    <t>GRUPO PEÑAFLOR S.A. - OPERACIÓN AGRELO -</t>
  </si>
  <si>
    <t xml:space="preserve">Elaboración de vinos </t>
  </si>
  <si>
    <t>Nueva Mayorga s/n y Mitre</t>
  </si>
  <si>
    <t>Ruta Prov. 15 Km 35</t>
  </si>
  <si>
    <t>german.erario@grupopenaflor.com.ar, maximiliano.lester@elesteco.com.ar</t>
  </si>
  <si>
    <t>2634539690 - 3868566037</t>
  </si>
  <si>
    <t>100/2011</t>
  </si>
  <si>
    <t>G - 000521</t>
  </si>
  <si>
    <t>EX-2024-01453747-   -GDEMZA-DPA#SAYOT - TC - EX -2018-00162493-GDEMZA-DPA#SAYOT</t>
  </si>
  <si>
    <t>ESTACION DE SERVICIO BELTRAN SRL</t>
  </si>
  <si>
    <t>30-71606292-5</t>
  </si>
  <si>
    <t>Estacion de Servicios</t>
  </si>
  <si>
    <t>Beltran 1490</t>
  </si>
  <si>
    <t>anticipar3@gmail.com, atencioypfbeltran@yahoo.com.ar</t>
  </si>
  <si>
    <t>4248115 - 2613058503</t>
  </si>
  <si>
    <t>732/2010</t>
  </si>
  <si>
    <t>G - 000522</t>
  </si>
  <si>
    <t>EX -2018-01452545-GDEMZA-DPA#SAYOT</t>
  </si>
  <si>
    <t>GRACIELA MARTA MONTIVERO - LUBRICENTRO PEDRO</t>
  </si>
  <si>
    <t>27-13569472-5</t>
  </si>
  <si>
    <t>Paso de Los Andes 27</t>
  </si>
  <si>
    <t>Paso de Los Andes 31</t>
  </si>
  <si>
    <t>elabuelo444@hotmail.com</t>
  </si>
  <si>
    <t>086/2011</t>
  </si>
  <si>
    <t>G - 000523</t>
  </si>
  <si>
    <t>EX-2020-3208502-GDEMZA-DPA#SAYOT - TC - EX -2018-02462073-GDEMZA-DPA#SAYOT</t>
  </si>
  <si>
    <t>CAÑUELAS GAS S.A.</t>
  </si>
  <si>
    <t>30-63718290-7</t>
  </si>
  <si>
    <t>Fraccionamiento de Gas Licuado de Petróleo (GLP)</t>
  </si>
  <si>
    <t xml:space="preserve">Ruta Destileria Km 2,5 </t>
  </si>
  <si>
    <t>gestoriaambiental.mza@gmail.com, joseluis.michea@extragas.com.ar</t>
  </si>
  <si>
    <t>261-6631257 - 2615 13-0180</t>
  </si>
  <si>
    <t>101/2011</t>
  </si>
  <si>
    <t>G - 000524</t>
  </si>
  <si>
    <t>EX-2018-01057429-GDEMZA-DPA#SAYOT</t>
  </si>
  <si>
    <t>RUMAOS S.A. - Sarmiento, Villanueva -</t>
  </si>
  <si>
    <t>33-69958162-9</t>
  </si>
  <si>
    <t>Estación de servicio dual</t>
  </si>
  <si>
    <t xml:space="preserve">Bandera de los Andes 762 </t>
  </si>
  <si>
    <t xml:space="preserve">Sarmiento 1155 </t>
  </si>
  <si>
    <t>Villanueva</t>
  </si>
  <si>
    <t>dgeneral@rumaos.com, ingjpmendez@gmail.com</t>
  </si>
  <si>
    <t xml:space="preserve">2615431065 - 26144352502
</t>
  </si>
  <si>
    <t>093/2011</t>
  </si>
  <si>
    <t>G - 000525</t>
  </si>
  <si>
    <t>EX-2018-01057588-GDEMZA-DPA#SAYOT</t>
  </si>
  <si>
    <t>RUMAOS S.A. - Godoy Cruz y Arenales, Villanueva -</t>
  </si>
  <si>
    <t xml:space="preserve">Godoy Cruz y Arenales </t>
  </si>
  <si>
    <t>87/2011</t>
  </si>
  <si>
    <t>G - 000526</t>
  </si>
  <si>
    <t>EX-2018-01057938-GDEMZA-DPA#SAYOT</t>
  </si>
  <si>
    <t>RUMAOS S.A. - Azcuénaga y Cochabamba, Dorrego -</t>
  </si>
  <si>
    <t>Azcuénaga y Cochabamba</t>
  </si>
  <si>
    <t>4259273 - 2615431065</t>
  </si>
  <si>
    <t>089/2011</t>
  </si>
  <si>
    <t>G - 000527</t>
  </si>
  <si>
    <t>EX-2018-01047473-GDEMZA-DPA#SAYOT</t>
  </si>
  <si>
    <t>RUMAOS S.A - Las Heras -</t>
  </si>
  <si>
    <t xml:space="preserve">Estación de servicio </t>
  </si>
  <si>
    <t>San Martín y Benavente</t>
  </si>
  <si>
    <t>2615431065 - dgeneral@redmercosur.com</t>
  </si>
  <si>
    <t>096/2011</t>
  </si>
  <si>
    <t>Si</t>
  </si>
  <si>
    <t>G - 000528</t>
  </si>
  <si>
    <t>EX-2018-01057970-GDEMZA-DPA#SAYOT</t>
  </si>
  <si>
    <t>RUMAOS S.A. - Bandera de Los Andes, Villanueva -</t>
  </si>
  <si>
    <t xml:space="preserve">Bandera de los Andes 4898 </t>
  </si>
  <si>
    <t xml:space="preserve">Villanueva </t>
  </si>
  <si>
    <t>2614352502 - 2615431065</t>
  </si>
  <si>
    <t>084/2011</t>
  </si>
  <si>
    <t>G - 000529</t>
  </si>
  <si>
    <t>EX-2018-01047471-GDEMZA-DPA#SAYOT</t>
  </si>
  <si>
    <t>RUMAOS S.A. - Carril Sarmiento y Alem, Godoy Cruz -</t>
  </si>
  <si>
    <t>Carril Sarmiento y Alem</t>
  </si>
  <si>
    <t>102/2011</t>
  </si>
  <si>
    <t>G - 000530</t>
  </si>
  <si>
    <t>EX-2018-01057634-GDEMZA-DPA#SAYOT</t>
  </si>
  <si>
    <t>RUMAOS S.A. - Bandera de Los Andes, San José -</t>
  </si>
  <si>
    <t xml:space="preserve">2615431065 - 2614352502
</t>
  </si>
  <si>
    <t>104/2011</t>
  </si>
  <si>
    <t>G - 000531</t>
  </si>
  <si>
    <t>EX-2018-01058011-GDEMZA-DPA#SAYOT</t>
  </si>
  <si>
    <t>RUMAOS S.A. - Adolfo Calle, Dorrego -</t>
  </si>
  <si>
    <t xml:space="preserve">Adolfo Calle y Tupungato </t>
  </si>
  <si>
    <t>2615431065 - 2615164929</t>
  </si>
  <si>
    <t>085/2011</t>
  </si>
  <si>
    <t>G - 000532</t>
  </si>
  <si>
    <t>EX-2018-01680296-GDEMZA-DPA#SAYOT</t>
  </si>
  <si>
    <t>GIGANTOGRAFIA ATHENA S.R.L.</t>
  </si>
  <si>
    <t>33-71123051-9</t>
  </si>
  <si>
    <t>Impresiones en gigantografias</t>
  </si>
  <si>
    <t>Paraguay 3131</t>
  </si>
  <si>
    <t>gestoriaambiental.mza@gmail.com, administracion@lasermendoza.com.ar</t>
  </si>
  <si>
    <t xml:space="preserve">2614542478
 / 2616631257
</t>
  </si>
  <si>
    <t>149/2011</t>
  </si>
  <si>
    <t>G - 000533</t>
  </si>
  <si>
    <t>EX-2018-02409757-GDEMZA-DPA#SAYOT</t>
  </si>
  <si>
    <t>RASI LAVERAP INDUSTRIAL S.R.L.</t>
  </si>
  <si>
    <t>30-71417108-5</t>
  </si>
  <si>
    <t>Lavadero ind. de ropa</t>
  </si>
  <si>
    <t>Monteagudo 860</t>
  </si>
  <si>
    <t>sgrojp@hotmail.com</t>
  </si>
  <si>
    <t>230/2011</t>
  </si>
  <si>
    <t>G - 000535</t>
  </si>
  <si>
    <t>EX-2018-01591301-GDEMZA-DPA#SAYOT</t>
  </si>
  <si>
    <t>IGNIS S.R.L. - Chacras de Coria</t>
  </si>
  <si>
    <t>30-70840278-4</t>
  </si>
  <si>
    <t>San martín 676</t>
  </si>
  <si>
    <t>Viamonte y Larrea</t>
  </si>
  <si>
    <t>Chacras de Coria</t>
  </si>
  <si>
    <t>nelsongenna68@gmail.com, nelsongenna@yahoo.com.ar, lperrotta2015@outlook.com</t>
  </si>
  <si>
    <t>232/2011</t>
  </si>
  <si>
    <t>G - 000536</t>
  </si>
  <si>
    <t>EX-2018-00690790-GDEMZA-DPA#SAYOT</t>
  </si>
  <si>
    <t>ROCH S.A.</t>
  </si>
  <si>
    <t>30-63837562-8</t>
  </si>
  <si>
    <t>Hidrocarburifera</t>
  </si>
  <si>
    <t>Gral. Necochea Nº 473, pb. 2º</t>
  </si>
  <si>
    <t>Área Cajón de los Caballos</t>
  </si>
  <si>
    <t>Pampa Palauco</t>
  </si>
  <si>
    <t>alejandrosaralegui@gmail.com, hcasatti@roch.com.ar</t>
  </si>
  <si>
    <t xml:space="preserve">0260 -4518949 - 2616892233
</t>
  </si>
  <si>
    <t>197/2011</t>
  </si>
  <si>
    <t>G - 000537</t>
  </si>
  <si>
    <t>EX-2018-01593467-GDEMZA-DPA#SAYOT</t>
  </si>
  <si>
    <t>FURLANI, DANIEL ANSELMO</t>
  </si>
  <si>
    <t>20-14002774-0</t>
  </si>
  <si>
    <t>Ozamis Sur 2950</t>
  </si>
  <si>
    <t>Cruz de Piedra</t>
  </si>
  <si>
    <t xml:space="preserve">Acc. Este Km 1025,  Lat Sur </t>
  </si>
  <si>
    <t>consulgreenmendoza@gmail.com, lubricentrofurlani@yahoo.com.ar</t>
  </si>
  <si>
    <t>148/2011</t>
  </si>
  <si>
    <t>G - 000538</t>
  </si>
  <si>
    <t>EX-2018-01485745-GDEMZA-DPA#SAYOT</t>
  </si>
  <si>
    <t>MARIO GOLDSTEIN S.A.C.I. - CAPITAL - VW</t>
  </si>
  <si>
    <t>30-54527641-7</t>
  </si>
  <si>
    <t>Montecaseros 1453</t>
  </si>
  <si>
    <t>3ª Sección</t>
  </si>
  <si>
    <t>mrmg1473@hotmail.com</t>
  </si>
  <si>
    <t>437/2011</t>
  </si>
  <si>
    <t>G - 000539</t>
  </si>
  <si>
    <t>EX-2018-01057991-GDEMZA-DPA#SAYOT</t>
  </si>
  <si>
    <t>RUMAOS S.A. - Puente Olive-</t>
  </si>
  <si>
    <t>Estación de Servicio Dual</t>
  </si>
  <si>
    <t>Sarmiento y Cervantes</t>
  </si>
  <si>
    <t>Pte. Olive</t>
  </si>
  <si>
    <t>2615431065 - 2614352502</t>
  </si>
  <si>
    <t>247/2011</t>
  </si>
  <si>
    <t>G - 000540</t>
  </si>
  <si>
    <t>EX-2018-02518627-GDEMZA-DPA#SAYOT</t>
  </si>
  <si>
    <t>PEÑA CARLOS EDUARDO</t>
  </si>
  <si>
    <t>20-16666830-2</t>
  </si>
  <si>
    <t>Rectificación de motores</t>
  </si>
  <si>
    <t>Rodriguez Peña 899</t>
  </si>
  <si>
    <t>soldyrect@yahoo.com.ar</t>
  </si>
  <si>
    <t>151/2011</t>
  </si>
  <si>
    <t>G - 000541</t>
  </si>
  <si>
    <t>EX-2018-01593437-GDEMZA-DPA#SAYOT</t>
  </si>
  <si>
    <t>MORAD VICENTE ANGEL - GC-</t>
  </si>
  <si>
    <t>20-10481649-6</t>
  </si>
  <si>
    <t>Rivadavia 1569</t>
  </si>
  <si>
    <t>Villa Hipodromo</t>
  </si>
  <si>
    <t>desarmaderoelturco@yahoo.com.ar, consulgreenmendoza@gmail.com</t>
  </si>
  <si>
    <t>261-4166347</t>
  </si>
  <si>
    <t>165/2011</t>
  </si>
  <si>
    <t>G - 000542</t>
  </si>
  <si>
    <t>EX-2018-01481864-GDEMZA-DPA#SAYOT</t>
  </si>
  <si>
    <t>IVANA DINA PAGLIAFORA</t>
  </si>
  <si>
    <t>27-18342443-8</t>
  </si>
  <si>
    <t>Serv. de Saneamiento ambiental</t>
  </si>
  <si>
    <t xml:space="preserve">Altos Hornos de Zapla  Nº 1605, Fraccióm "C" Callejón Comunero </t>
  </si>
  <si>
    <t>argservice@hotmail.com</t>
  </si>
  <si>
    <t>369/2011</t>
  </si>
  <si>
    <t>G - 000543</t>
  </si>
  <si>
    <t xml:space="preserve"> EX-2021-01393034- -GDEMZA-DPA#SAYOT TC EX-2018-01621831-GDEMZA-DPA#SAYOT</t>
  </si>
  <si>
    <t>PECOM SERVICIOS ENERGIA S.A. - MALARGUE</t>
  </si>
  <si>
    <t>San Martin 1832</t>
  </si>
  <si>
    <t>Drumond</t>
  </si>
  <si>
    <t>Jorge Newbery 829 -E</t>
  </si>
  <si>
    <t>arnaldo.aravena@pecomenergia.com.ar, maria.tarragona@pecomenergia.com.ar</t>
  </si>
  <si>
    <t>297 448 1017 / 261-6614987</t>
  </si>
  <si>
    <t>303/2011</t>
  </si>
  <si>
    <t>G - 000546</t>
  </si>
  <si>
    <t>EX-2018-01464418-GDEMZA-DPA#SAYOT</t>
  </si>
  <si>
    <t>IGNIS S.R.L - Godoy Cruz -</t>
  </si>
  <si>
    <t>San Martin 676</t>
  </si>
  <si>
    <t>rodolfo_ignis@outlook.com.ar, nelsongenna@yahoo.com.ar, nelsongenna68@gmail.com</t>
  </si>
  <si>
    <t>201/2011</t>
  </si>
  <si>
    <t>G - 000547</t>
  </si>
  <si>
    <t>EX-2018-01561528-GDEMZA-DPA#SAYOT</t>
  </si>
  <si>
    <t>AUGUSTO MORA S.A.</t>
  </si>
  <si>
    <t>30-67698723-8</t>
  </si>
  <si>
    <t xml:space="preserve">Estación de Servicio </t>
  </si>
  <si>
    <t>Francisco de la Reta 1285</t>
  </si>
  <si>
    <t>sebamoraconti@gmail.com,  augustomora@speedy.com.ar</t>
  </si>
  <si>
    <t xml:space="preserve">261-4678802 - 2616598969
</t>
  </si>
  <si>
    <t>501/2012</t>
  </si>
  <si>
    <t>G - 000548</t>
  </si>
  <si>
    <t>EX-2018-02825016-GDEMZA-DPA#SAYOT</t>
  </si>
  <si>
    <t>GNC GODOY CRUZ S.A.</t>
  </si>
  <si>
    <t>30-71034280-2</t>
  </si>
  <si>
    <t>Paso de Los Andes 1709 y Pellegrini</t>
  </si>
  <si>
    <t>gncgodoycruz@yahoo.com.ar, carlosjbaggio@yahoo.com.ar</t>
  </si>
  <si>
    <t>200/2011</t>
  </si>
  <si>
    <t>G - 000549</t>
  </si>
  <si>
    <t>EX-2018-02385555-GDEMZA-DPA#SAYOT</t>
  </si>
  <si>
    <t>LAMAS JAVIER ROBERTO - GUAYMALLEN -</t>
  </si>
  <si>
    <t>20-16362561-0</t>
  </si>
  <si>
    <t>Buenos Vecinos 505</t>
  </si>
  <si>
    <t>desarmaderolamasrodeo@gmail.com</t>
  </si>
  <si>
    <t>287/2011</t>
  </si>
  <si>
    <t>G - 000552</t>
  </si>
  <si>
    <t>EX-2018-01055250-GDEMZA-DPA#SAYOT</t>
  </si>
  <si>
    <t>RUMAOS S.A. - Ruta Nac. Nº 40 Km 23600, Perdriel</t>
  </si>
  <si>
    <t>Ruta Nac. 40 Km 23600</t>
  </si>
  <si>
    <t xml:space="preserve">4340202 - 2615431065
</t>
  </si>
  <si>
    <t>249/2011</t>
  </si>
  <si>
    <t>G - 000554</t>
  </si>
  <si>
    <t>EX-2018-01787907-GDEMZA-DPA#SAYOT</t>
  </si>
  <si>
    <t>SUCESION DE ARTURO CANDIDO SANCHEZ</t>
  </si>
  <si>
    <t>20-068447142-8</t>
  </si>
  <si>
    <t>Balcarce 682</t>
  </si>
  <si>
    <t>CIUDAD</t>
  </si>
  <si>
    <t>carlosjbaggio@yahoo.com.ar</t>
  </si>
  <si>
    <t>02623-421703</t>
  </si>
  <si>
    <t>248/2011</t>
  </si>
  <si>
    <t>G - 000555</t>
  </si>
  <si>
    <t>EX-2018-02187094-GDEMZA-DPA#SAYOT</t>
  </si>
  <si>
    <t>MENDOZA FUNDACIONAL S.A. - CAPITAL -</t>
  </si>
  <si>
    <t>30-70918662-7</t>
  </si>
  <si>
    <t>Beltran 634</t>
  </si>
  <si>
    <t>anticipar3@gmail.com; mendozafundacionalsa@hotmail.com</t>
  </si>
  <si>
    <t>251/2011</t>
  </si>
  <si>
    <t>G - 000556</t>
  </si>
  <si>
    <t>EX-2018-01658968-GDEMZA-DPA#SAYOT</t>
  </si>
  <si>
    <t>DIARIO LOS ANDES HNOS. CALLE S.A.</t>
  </si>
  <si>
    <t>30-50009477-6</t>
  </si>
  <si>
    <t>Medios Periodisticos</t>
  </si>
  <si>
    <t>SERVICIOS GRAFICOS</t>
  </si>
  <si>
    <t>Elpidio Gonzales s/n   y Las Cañas</t>
  </si>
  <si>
    <t>emilone@losandes.com.ar, destrella@losandes.com.ar</t>
  </si>
  <si>
    <t xml:space="preserve">2614315267 / 2613042205
</t>
  </si>
  <si>
    <t>271/2011</t>
  </si>
  <si>
    <t>G - 000557</t>
  </si>
  <si>
    <t>EX-2018-01057914-GDEMZA-DPA#SAYOT</t>
  </si>
  <si>
    <t>RUMAOS S.A. - Ruta Nac.40 Km 23100, Perdriel -</t>
  </si>
  <si>
    <t>Ruta Nac. 40 Km 23100</t>
  </si>
  <si>
    <t>288/2011</t>
  </si>
  <si>
    <t>G - 000558</t>
  </si>
  <si>
    <t>EX-2018-01374986-GDEMZA-DPA#SAYOT</t>
  </si>
  <si>
    <t>DISTROCUYO S.A. - Estación Transformadora Cruz de Piedra -</t>
  </si>
  <si>
    <t>Acc. Este y Bonfanti</t>
  </si>
  <si>
    <t xml:space="preserve">Calle Nueva s/n </t>
  </si>
  <si>
    <t>lbrottier@distrocuyo.com, pberchessi@distrocuyo.com, gdondero@distrocuyo.com</t>
  </si>
  <si>
    <t>4910700 - 2616376092</t>
  </si>
  <si>
    <t>284/2011</t>
  </si>
  <si>
    <t>G - 000560</t>
  </si>
  <si>
    <t>EX-2018-02881470-GDEMZA-DPA#SAYOT</t>
  </si>
  <si>
    <t>COMBUSTIBLES MILENIUM S.R.L. - Junín</t>
  </si>
  <si>
    <t>30-52755255-5</t>
  </si>
  <si>
    <t>Av. Mitre y Correas</t>
  </si>
  <si>
    <t>JUNIN</t>
  </si>
  <si>
    <t>ypfmilenium@yahoo.com.ar, carlosjbaggio@yahoo.com.ar</t>
  </si>
  <si>
    <t>4579457 -  0263-4498633</t>
  </si>
  <si>
    <t>283/2011</t>
  </si>
  <si>
    <t>G - 000563</t>
  </si>
  <si>
    <t xml:space="preserve"> EX-2021-01396101- -GDEMZA-DPA#SAYOT TC EX-2018-01621829-GDEMZA-DPA#SAYOT</t>
  </si>
  <si>
    <t>PECOM SERVICIOS ENERGIA S.A. - Mayor Drúmmond, Luján de Cuyo -</t>
  </si>
  <si>
    <t>Mayor Drúmmond</t>
  </si>
  <si>
    <t>2614647700 / 261-6614987</t>
  </si>
  <si>
    <t>273/2011</t>
  </si>
  <si>
    <t>G - 000564</t>
  </si>
  <si>
    <t>EX-2018-02455427-GDEMZA-DPA#SAYOT</t>
  </si>
  <si>
    <t>YPF S.A. - Estaciones de Bombeo Agua del Carrizo, Cerro Divisadero, Malargüe, El Sosneado y Río Tunuyán</t>
  </si>
  <si>
    <t>Transporte de crudo por cañerías</t>
  </si>
  <si>
    <t>Ruta Provincial 87 Km 10</t>
  </si>
  <si>
    <t>0261-3500000 / 2613653358</t>
  </si>
  <si>
    <t>309/2011</t>
  </si>
  <si>
    <t>G - 000566</t>
  </si>
  <si>
    <t>EX-2024-01520339-   -GDEMZA-DPA#SAYOT - TC - EX-2018-01561534-GDEMZA-DPA#SAYOT</t>
  </si>
  <si>
    <t>RUTA PANAMERICANA SAS</t>
  </si>
  <si>
    <t>30-71743670-5</t>
  </si>
  <si>
    <t>Av. San Martin Sur 2255 esq. Rio Plomo</t>
  </si>
  <si>
    <t>ypfpanamericana@gmail.com, anticipar3@gmail.com</t>
  </si>
  <si>
    <t>4390409 - 2613058503</t>
  </si>
  <si>
    <t>463/2011</t>
  </si>
  <si>
    <t>G - 000568</t>
  </si>
  <si>
    <t>EX-2018-01488694-GDEMZA-DPA#SAYOT</t>
  </si>
  <si>
    <t>GUERRERO ISABEL CHACON DE, y otros. - ING. GIAGNONI</t>
  </si>
  <si>
    <t>30-63483048-7</t>
  </si>
  <si>
    <t xml:space="preserve">Ruta Prov. Nº 50 y M. Serradilla </t>
  </si>
  <si>
    <t>Ing. Giagnoni</t>
  </si>
  <si>
    <t>carolina@eloyguerrero.com.ar, dagiahys@gmail.com.ar</t>
  </si>
  <si>
    <t>263-4259600 / 263-4589900  / 261-5028713</t>
  </si>
  <si>
    <t>319/2011</t>
  </si>
  <si>
    <t>G - 000569</t>
  </si>
  <si>
    <t>EX-2018-01789409-GDEMZA-DPA#SAYOT</t>
  </si>
  <si>
    <t>ESTACION GRAL SAN MARTIN S.R.L.</t>
  </si>
  <si>
    <t>33-58491434-9</t>
  </si>
  <si>
    <t>Marcos Burgos y Dr Moreno</t>
  </si>
  <si>
    <t>estaciongeneralsanmartin@gmail.com, matiascoletto@yahoo.com.ar</t>
  </si>
  <si>
    <t>367/2011</t>
  </si>
  <si>
    <t>G - 000571</t>
  </si>
  <si>
    <t>EX-2018-01782163-GDEMZA-DPA#SAYOT</t>
  </si>
  <si>
    <t>LOS PUENTES S.R.L</t>
  </si>
  <si>
    <t>30-70861506-0</t>
  </si>
  <si>
    <t>venta de combustible</t>
  </si>
  <si>
    <t>25 de Mayo 1124 (A.M.E.N.A.)</t>
  </si>
  <si>
    <t>Intersección Ruta Nac. 143 y 144</t>
  </si>
  <si>
    <t>Rama Caída</t>
  </si>
  <si>
    <t>lospuentessr@gmail.com, hysriveros@gmail.com</t>
  </si>
  <si>
    <t xml:space="preserve">0260-4429480 /2604658893
</t>
  </si>
  <si>
    <t>209/2012</t>
  </si>
  <si>
    <t>G - 000572</t>
  </si>
  <si>
    <t>EX-2018-02696620-GDEMZA-DPA#SAYOT</t>
  </si>
  <si>
    <t>RUTAS DEL SOL S.A.</t>
  </si>
  <si>
    <t>30-67981302-8</t>
  </si>
  <si>
    <t>Estación de servicio dual c/ lubricentro</t>
  </si>
  <si>
    <t>FANGIO 2159</t>
  </si>
  <si>
    <t xml:space="preserve">Las Tortugas </t>
  </si>
  <si>
    <t>rutasdelsol@hotmail.com, carlosjbaggio@yahoo.com.ar</t>
  </si>
  <si>
    <t>0261-4398293 - 2614600940</t>
  </si>
  <si>
    <t>620/2011</t>
  </si>
  <si>
    <t>G - 000573</t>
  </si>
  <si>
    <t>EX-2018-00151391-GDEMZA-DPA#SAYOT</t>
  </si>
  <si>
    <t>GERK Y CIA S.A. - LA CONSULTA -</t>
  </si>
  <si>
    <t>30-70853257-2</t>
  </si>
  <si>
    <t>estación de servicios dual</t>
  </si>
  <si>
    <t xml:space="preserve">Ejército de Los Andes 193 </t>
  </si>
  <si>
    <t>anticipar3@gmail.com, gerksa2005@yahoo.com.ar</t>
  </si>
  <si>
    <t>02622-470002 / 2613058503</t>
  </si>
  <si>
    <t>59/2012</t>
  </si>
  <si>
    <t>G - 000574</t>
  </si>
  <si>
    <t>EX-2018-02385550-GDEMZA-DPA#SAYOT</t>
  </si>
  <si>
    <t>TOLEDO MIGUEL ANGEL</t>
  </si>
  <si>
    <t>23-16882509-9</t>
  </si>
  <si>
    <t>CHAPERIA Y PINTURA</t>
  </si>
  <si>
    <t xml:space="preserve">San Juan de Dios 375 </t>
  </si>
  <si>
    <t>migueltoledo77@hotmail.com, karutoledo94@gmail.com</t>
  </si>
  <si>
    <t>4320608 - 2613872170</t>
  </si>
  <si>
    <t>343/2011</t>
  </si>
  <si>
    <t>G - 000575</t>
  </si>
  <si>
    <t>EX-2018-02385548-GDEMZA-DPA#SAYOT</t>
  </si>
  <si>
    <t>LA CORDILLERA S.R.L.</t>
  </si>
  <si>
    <t>30-70758722-5</t>
  </si>
  <si>
    <t>San Martin 1111</t>
  </si>
  <si>
    <t>administracion@lacordillera.com.ar, syso.ramos@gmail.com</t>
  </si>
  <si>
    <t>0260-4471089/ 4471094</t>
  </si>
  <si>
    <t>345/2011</t>
  </si>
  <si>
    <t>pago sin renovar</t>
  </si>
  <si>
    <t>G - 000576</t>
  </si>
  <si>
    <t>EX-2018-01789613-GDEMZA-DPA#SAYOT</t>
  </si>
  <si>
    <t>PAREDES, CLAUDIO FABIAN</t>
  </si>
  <si>
    <t>20-22316771-4</t>
  </si>
  <si>
    <t>Estación de servicio- vta. comb. Líquidos</t>
  </si>
  <si>
    <t xml:space="preserve">Lisandro Moyano 901 esq. Congreso </t>
  </si>
  <si>
    <t>mrmg1473@hotmail.com, congreso901@hotmail.com</t>
  </si>
  <si>
    <t>321/2012</t>
  </si>
  <si>
    <t>G - 000578</t>
  </si>
  <si>
    <t>EX-2018-00151411-GDEMZA-DPA#SAYOT</t>
  </si>
  <si>
    <t>GERK Y CÍA. S.A. - TUNUYAN</t>
  </si>
  <si>
    <t>EJERCITO DE LOS ANDES 193</t>
  </si>
  <si>
    <t>LA CONSULTA</t>
  </si>
  <si>
    <t>Ruta Nº 40 y Calle La Argentina</t>
  </si>
  <si>
    <t>2622470002     2613058503</t>
  </si>
  <si>
    <t>344/2011</t>
  </si>
  <si>
    <t>G - 000580</t>
  </si>
  <si>
    <t>EX-2018-01057890-GDEMZA-DPA#SAYOT</t>
  </si>
  <si>
    <t>RUMAOS S.A. - Jesús Nazareno, Guaymallén -</t>
  </si>
  <si>
    <t>Acc. Este Lat. Sur y Tapón Moyano</t>
  </si>
  <si>
    <t>Jesús Nazareno</t>
  </si>
  <si>
    <t>0261-4259273 - 2615431065</t>
  </si>
  <si>
    <t>281/2014</t>
  </si>
  <si>
    <t>G - 000581</t>
  </si>
  <si>
    <t>EX-2018-01058062-GDEMZA-DPA#SAYOT</t>
  </si>
  <si>
    <t>RUMAOS S.A. - Lamadrid, Dorrego -</t>
  </si>
  <si>
    <t>Lamadrid y Paso de Los Patos</t>
  </si>
  <si>
    <t>441/2011</t>
  </si>
  <si>
    <t>G - 000582</t>
  </si>
  <si>
    <t>EX-2018-01057494-DGEMZA-DPA#SAYOT</t>
  </si>
  <si>
    <t>RUMAOS S.A. - Mitre y Mathus Hoyos -</t>
  </si>
  <si>
    <t>Mitre y Mathus Hoyos</t>
  </si>
  <si>
    <t>El Bermejo</t>
  </si>
  <si>
    <t>2615431065 - 4259273</t>
  </si>
  <si>
    <t>436/2011</t>
  </si>
  <si>
    <t>G - 000583</t>
  </si>
  <si>
    <t>EX-2018-01659620-DGEMZA-DPA#SAYOT</t>
  </si>
  <si>
    <t>LAVAREY S.C. - CAPITAL</t>
  </si>
  <si>
    <t>398/2011</t>
  </si>
  <si>
    <t>G - 000584</t>
  </si>
  <si>
    <t>EX-2018-03235580-DGEMZA-DPA#SAYOT    (TC   EX 2018-1658960-DPA#SAYOT)</t>
  </si>
  <si>
    <t>SCANIA ARGENTINA S.A.</t>
  </si>
  <si>
    <t>30-51742430-3</t>
  </si>
  <si>
    <t>Vta de camiones, repuesto y serv.</t>
  </si>
  <si>
    <t>O' Higgins y San Francisco del Monte</t>
  </si>
  <si>
    <t>avc@scanianet.com.ar,  lic.verdaguer@hotmail.com</t>
  </si>
  <si>
    <t>397/2011</t>
  </si>
  <si>
    <t>G - 000585</t>
  </si>
  <si>
    <t>EX-2018-01679656-DGEMZA-DPA#SAYOT</t>
  </si>
  <si>
    <t>COLUCCI JUAN PABLO</t>
  </si>
  <si>
    <t>20-27766426-8</t>
  </si>
  <si>
    <t>Recambio de equipos de GNC</t>
  </si>
  <si>
    <t>Pedernera 205</t>
  </si>
  <si>
    <t>patocolucci74@hotmail.com</t>
  </si>
  <si>
    <t>444/2011</t>
  </si>
  <si>
    <t>G - 000590</t>
  </si>
  <si>
    <t>EX-2018-02881472-DGEMZA-DPA#SAYOT</t>
  </si>
  <si>
    <t>COMBUSTIBLES MILENIUM S.R.L - RIVADAVIA</t>
  </si>
  <si>
    <t>San Isidro 902</t>
  </si>
  <si>
    <t xml:space="preserve">2634541874 - - 2616114753
</t>
  </si>
  <si>
    <t>451/2011</t>
  </si>
  <si>
    <t>G - 000592</t>
  </si>
  <si>
    <t>EX-2018-01784754-DGEMZA-DPA#SAYOT</t>
  </si>
  <si>
    <t>SIXTO Y ARMANDO MORELLO S.A.</t>
  </si>
  <si>
    <t>30-70850955-4</t>
  </si>
  <si>
    <t>EST. DE SERVICIO</t>
  </si>
  <si>
    <t>Ruta Nº 62 y 67 s/n</t>
  </si>
  <si>
    <t>La Libertad</t>
  </si>
  <si>
    <t>cvmorello@hotmail.com, carlosjbaggio@yahoo.com.ar</t>
  </si>
  <si>
    <t xml:space="preserve">0263-4442802 </t>
  </si>
  <si>
    <t>521/2011</t>
  </si>
  <si>
    <t>G - 000593</t>
  </si>
  <si>
    <t>EX-2018-03082738-DGEMZA-DPA#SAYOT</t>
  </si>
  <si>
    <t>CARGA COMBUSTIBLES S.A.</t>
  </si>
  <si>
    <t>30-70924172-5</t>
  </si>
  <si>
    <t xml:space="preserve">Independencia 1420 </t>
  </si>
  <si>
    <t>hugo.baldin@gmail.com, cargacombustibles@gmail.com, cargacombustibles@hotmail.com</t>
  </si>
  <si>
    <t>4489228 / 2616509112</t>
  </si>
  <si>
    <t>594/2011</t>
  </si>
  <si>
    <t>G - 000594</t>
  </si>
  <si>
    <t>EX-2018-00415920-GDEMZA-DPA#SAYOT</t>
  </si>
  <si>
    <t>OPESSA MAIPU</t>
  </si>
  <si>
    <t>Rodriguez Peña 1130</t>
  </si>
  <si>
    <t>LUZURIAGA</t>
  </si>
  <si>
    <t>02614930399 / 2613652205</t>
  </si>
  <si>
    <t>663/2014</t>
  </si>
  <si>
    <t>G - 000596</t>
  </si>
  <si>
    <t>EX-2018-01516139-GDEMZA-DPA#SAYOT</t>
  </si>
  <si>
    <t>GIMENEZ JOSE ANTONIO - GUAYMALLÉN -</t>
  </si>
  <si>
    <t>20-07647064-3</t>
  </si>
  <si>
    <t xml:space="preserve">Ferretería  - fraccionamiento de prod. </t>
  </si>
  <si>
    <t>Coronel Diaz 558</t>
  </si>
  <si>
    <t xml:space="preserve">Francisco de la Reta 1956 </t>
  </si>
  <si>
    <t>consulgreenmendoza@gmail.com, productosgp2018@gmail.com</t>
  </si>
  <si>
    <t>4300006/ 4306932</t>
  </si>
  <si>
    <t>Y8-Y34-Y35-Y48</t>
  </si>
  <si>
    <t>632/2011</t>
  </si>
  <si>
    <t>G - 000597</t>
  </si>
  <si>
    <t>EX-2018-02953884-GDEMZA-DPA#SAYOT</t>
  </si>
  <si>
    <t>GRUPO T-DOR S.A. (ex OLIVI HNOS. S.A.)</t>
  </si>
  <si>
    <t>33-71518427-9</t>
  </si>
  <si>
    <t>aceitera</t>
  </si>
  <si>
    <t xml:space="preserve">Los Tilos 148 </t>
  </si>
  <si>
    <t>grupotdor@gmail.com, oscaralonsogonz@yahoo.com.ar</t>
  </si>
  <si>
    <t xml:space="preserve">02624-463010 -2634554181 </t>
  </si>
  <si>
    <t>650/2011</t>
  </si>
  <si>
    <t>G - 000598</t>
  </si>
  <si>
    <t>EX-2018-02833766-GDEMZA-DPA#SAYOT</t>
  </si>
  <si>
    <t>YARAS S.A.</t>
  </si>
  <si>
    <t>30-70818928-2</t>
  </si>
  <si>
    <t>Belgrano 1201</t>
  </si>
  <si>
    <t>estacionlarotonda@gmail.com, aspromza2@hotmail.com, cocoreyesb@yahoo.com.ar</t>
  </si>
  <si>
    <t>2614543175 - 2614538534</t>
  </si>
  <si>
    <t>697/2011</t>
  </si>
  <si>
    <t>G - 000601</t>
  </si>
  <si>
    <t>EX-2018-02518752-GDEMZA-DPA#SAYOT</t>
  </si>
  <si>
    <t>DARIO JESUS VARELA</t>
  </si>
  <si>
    <t>20-21638812-8</t>
  </si>
  <si>
    <t>Boulogner Sur Mer 618</t>
  </si>
  <si>
    <t>mecanicadv@gmail.com, onguarnieri@yahoo.com.ar</t>
  </si>
  <si>
    <t>2616530652 - 2616552610</t>
  </si>
  <si>
    <t>694/2011</t>
  </si>
  <si>
    <t>G - 000602</t>
  </si>
  <si>
    <t>EX-2018-02518644-GDEMZA-DPA#SAYOT</t>
  </si>
  <si>
    <t>ARIAS OSVALDO JAVIER</t>
  </si>
  <si>
    <t>20-16964825-6</t>
  </si>
  <si>
    <t>Santa Fe N° 465</t>
  </si>
  <si>
    <t>imprenta_alvear@yahoo.com</t>
  </si>
  <si>
    <t>62/2012</t>
  </si>
  <si>
    <t>G - 000603</t>
  </si>
  <si>
    <t>EX-2023-4202533- -GDEMZA-DPA#SAYOT - TC - EX-2018-02518768-GDEMZA-DPA#SAYOT</t>
  </si>
  <si>
    <t>EMBRAGUES MJL SAS</t>
  </si>
  <si>
    <t>30-71730958-4</t>
  </si>
  <si>
    <t>Rivadavia 255</t>
  </si>
  <si>
    <t>embraguesmjl@gmail.com</t>
  </si>
  <si>
    <t>4227707 - 2616932610</t>
  </si>
  <si>
    <t>61/2012</t>
  </si>
  <si>
    <t>G - 000604</t>
  </si>
  <si>
    <t>EX-2022-05122163-   -GDEMZA-DPA#SAYOT - TC - EX-2018-02518787-GDEMZA-DPA#SAYOT</t>
  </si>
  <si>
    <t>COMERCIAL KUPAL S.A.</t>
  </si>
  <si>
    <t>30-70980400-2</t>
  </si>
  <si>
    <t>Peru 1310</t>
  </si>
  <si>
    <t>Patricias Mendocinas 1425</t>
  </si>
  <si>
    <t>ricardofuentes2027@gmail.com, amila@inversorafrade.com.ar, dfranchetti@inversorafrade.com.ar</t>
  </si>
  <si>
    <t xml:space="preserve">4253853/ 2615138202
</t>
  </si>
  <si>
    <t>63/2012</t>
  </si>
  <si>
    <t>G - 000606</t>
  </si>
  <si>
    <t xml:space="preserve"> EX-2022-00998015- -GDEMZA-DPA#SAYOT - TC - EX-2018-00139206-GDEMZA-DPA#SAYOT</t>
  </si>
  <si>
    <t>BERRIOS OSVALDO HECTOR SAS</t>
  </si>
  <si>
    <t>33-71724105-9</t>
  </si>
  <si>
    <t>taller metalúrgico y dep. de rezagos eléctricos, clasif. Metales</t>
  </si>
  <si>
    <t>San Francisco del Monte 2914</t>
  </si>
  <si>
    <t xml:space="preserve"> San Francisco del Monte</t>
  </si>
  <si>
    <t>licmartinaguero@gmail.com, julianberrios@live.com.ar</t>
  </si>
  <si>
    <t>2613013619/ 156944362</t>
  </si>
  <si>
    <t>92/2012</t>
  </si>
  <si>
    <t>G - 000607</t>
  </si>
  <si>
    <t>EX-2018-02692185-GDEMZA-DPA#SAYOT</t>
  </si>
  <si>
    <t>YACOPINI MOTORS S.A. - Concesionario Chevrolet -</t>
  </si>
  <si>
    <t>33-70941963-9</t>
  </si>
  <si>
    <t>Vta de vehiculos nuevos y usados - Servicios de post vta</t>
  </si>
  <si>
    <t>San Martín Sur 600</t>
  </si>
  <si>
    <t>daniel.barberio@yacopini.com.ar, gaston.fougere@gmail.com</t>
  </si>
  <si>
    <t>Y8-Y9-Y12-Y13-Y29-Y48</t>
  </si>
  <si>
    <t>161/2012</t>
  </si>
  <si>
    <t>G - 000609</t>
  </si>
  <si>
    <t>EX-2018-01291899-GDEMZA-DPA#SAYOT</t>
  </si>
  <si>
    <t>LUBAR S.A.</t>
  </si>
  <si>
    <t>30-65316669-5</t>
  </si>
  <si>
    <t>reciclado de aceite de transformadores</t>
  </si>
  <si>
    <t>EMPRESAS OPERADORAS DE RRPP</t>
  </si>
  <si>
    <t xml:space="preserve">Maza 1885 </t>
  </si>
  <si>
    <t>lubarsa111@yahoo.com</t>
  </si>
  <si>
    <t>4975554 /2615583436 / 2615583428</t>
  </si>
  <si>
    <t>181/2012</t>
  </si>
  <si>
    <t>G - 000610</t>
  </si>
  <si>
    <t>EX-2018-00151474-GDEMZA-DPA#SAYOT</t>
  </si>
  <si>
    <t>ECOMAIPU S.A.</t>
  </si>
  <si>
    <t>30-70930024-1</t>
  </si>
  <si>
    <t>expendio de GNC</t>
  </si>
  <si>
    <t>Maza 2236 esq. Pringles</t>
  </si>
  <si>
    <t xml:space="preserve"> Gral Gutierrez</t>
  </si>
  <si>
    <t>hugo.baldin@gmail.com, amodeopablo55@gmail.com</t>
  </si>
  <si>
    <t>4315299 / 2615911773</t>
  </si>
  <si>
    <t>157/2012</t>
  </si>
  <si>
    <t>G - 000611</t>
  </si>
  <si>
    <t>EX-2018-01658963-GDEMZA-DPA#SAYOT</t>
  </si>
  <si>
    <t>NUEVO PLAZA HOTEL MENDOZA S.A.</t>
  </si>
  <si>
    <t>30-70807351-9</t>
  </si>
  <si>
    <t>Hotelería Gastronomia</t>
  </si>
  <si>
    <t>HOTELERÍA Y TURISMO</t>
  </si>
  <si>
    <t>Espejo 566</t>
  </si>
  <si>
    <t>osvaldo.farr@hyatt.com, sraiti.asociados@gmail.com, josevergaraluque@hotmail.com</t>
  </si>
  <si>
    <t>261-6129209 - 261441275</t>
  </si>
  <si>
    <t>Y8-Y12-Y18-Y31-Y34-Y36-Y48</t>
  </si>
  <si>
    <t>238/2012</t>
  </si>
  <si>
    <t>G - 000613</t>
  </si>
  <si>
    <t>EX-2018-02728449-GDEMZA-DPA#SAYOT</t>
  </si>
  <si>
    <t>MARADONA, CARLOS ALBERTO</t>
  </si>
  <si>
    <t>20-27765585-4</t>
  </si>
  <si>
    <t>Pedro J. Godoy 1134</t>
  </si>
  <si>
    <t>diegoescayol@hotmail.com, cmaradona2013@gmail.com</t>
  </si>
  <si>
    <t>240/2012</t>
  </si>
  <si>
    <t>G - 000615</t>
  </si>
  <si>
    <t>EX-2018-01783064-GDEMZA-DPA#SAYOT</t>
  </si>
  <si>
    <t>MASETTO HNOS de Susana, Gabriela y Nazareno Javier Masetto - Maza y Rivadavia -</t>
  </si>
  <si>
    <t>Estación de Carga de GNC c/ lubricentro</t>
  </si>
  <si>
    <t>Maza 400 y Rivadavia</t>
  </si>
  <si>
    <t>ypf@estacionmasetto.com.ar, carlosjbaggio@yahoo.com.ar</t>
  </si>
  <si>
    <t>2615251326  /   4815372</t>
  </si>
  <si>
    <t>201/2012</t>
  </si>
  <si>
    <t>G - 000616</t>
  </si>
  <si>
    <t>EX-2018-02692293-GDEMZA-DPA#SAYOT</t>
  </si>
  <si>
    <t>TRIVENTO BODEGAS Y VIÑEDOS S.A. - MAIPU</t>
  </si>
  <si>
    <t>33-68989817-9</t>
  </si>
  <si>
    <t>Elaboración y envasado de vinos</t>
  </si>
  <si>
    <t>Pescara 9347</t>
  </si>
  <si>
    <t>florencia.seca@trivento.com</t>
  </si>
  <si>
    <t xml:space="preserve">0261-4137100 / 261-5866002 </t>
  </si>
  <si>
    <t>Y8-Y9-Y12-Y29-Y34-Y31-Y35-Y48</t>
  </si>
  <si>
    <t>337/2012</t>
  </si>
  <si>
    <t>G - 000617</t>
  </si>
  <si>
    <t>EX-2018-01490080-GDEMZA-DPA#SAYOT</t>
  </si>
  <si>
    <t>GUERRERO, ISABEL CHACON de y OTROS - ALTO VERDE</t>
  </si>
  <si>
    <t xml:space="preserve">Ruta Nac. Nº 7- Km 986 </t>
  </si>
  <si>
    <t>Alto Verde</t>
  </si>
  <si>
    <t>carolina@eloyguerrero.com.ar, dagiahys@gmail.com.ar, miriam@eloyguerrero.com.ar</t>
  </si>
  <si>
    <t>263-4259600 / 263-4589900 / 261-5028713</t>
  </si>
  <si>
    <t>361/2012</t>
  </si>
  <si>
    <t>G - 000618</t>
  </si>
  <si>
    <t>EX-2018-02518861-GDEMZA-DPA#SAYOT</t>
  </si>
  <si>
    <t>WIRS, CATALINA</t>
  </si>
  <si>
    <t>27-06704273-0</t>
  </si>
  <si>
    <t>Mitre 2637</t>
  </si>
  <si>
    <t>Y9</t>
  </si>
  <si>
    <t>249/2012</t>
  </si>
  <si>
    <t>G - 000619</t>
  </si>
  <si>
    <t>EX-2018-00893571-GDEMZA-DPA#SAYOT</t>
  </si>
  <si>
    <t>BODEGAS SALENTEIN S.A.</t>
  </si>
  <si>
    <t>30-69759871-1</t>
  </si>
  <si>
    <t>Bodega</t>
  </si>
  <si>
    <t>Rubén Zárate 212</t>
  </si>
  <si>
    <t xml:space="preserve">Ruta 89 s/n  y  calle Videla </t>
  </si>
  <si>
    <t>Los Árboles</t>
  </si>
  <si>
    <t>nrubio@salentein.com, hporcel@salentein.com, fgarrido@salentein.com</t>
  </si>
  <si>
    <t>2613335075 / 02622-429000</t>
  </si>
  <si>
    <t>Y8-Y9-Y12-Y29-Y31-Y35-Y48</t>
  </si>
  <si>
    <t>274/2012</t>
  </si>
  <si>
    <t>G - 000620</t>
  </si>
  <si>
    <t>EX-2018-01783046-GDEMZA-DPA#SAYOT</t>
  </si>
  <si>
    <t>MASETTO HNOS de Susana, Gabriela y Nazareno Javier Masetto - Maza y Juan B. Justo -</t>
  </si>
  <si>
    <t xml:space="preserve">Estación de Carga de GNC </t>
  </si>
  <si>
    <t xml:space="preserve">Juan B. Justo 1497 y Maza </t>
  </si>
  <si>
    <t>2615617281  /   4810815</t>
  </si>
  <si>
    <t>290/2012</t>
  </si>
  <si>
    <t>G - 000621</t>
  </si>
  <si>
    <t>EX-2018-01607764-GDEMZA-DPA#SAYOT</t>
  </si>
  <si>
    <t>CIA HNOS S.R.L</t>
  </si>
  <si>
    <t>30-56392340-3</t>
  </si>
  <si>
    <t>Venta de combustibles y lubricantes</t>
  </si>
  <si>
    <t>Hipolito Irigoyen 2550</t>
  </si>
  <si>
    <t>San Rafael</t>
  </si>
  <si>
    <t>Hipólito Irigoyen 2550</t>
  </si>
  <si>
    <t>lic.fgutierrez@gmail.com, juancia72@gmail.com, ciahermanossrl@gmail.com</t>
  </si>
  <si>
    <t>260-4428657 / 261-6685319 - 2604559295</t>
  </si>
  <si>
    <t>235/2012</t>
  </si>
  <si>
    <t>G - 000622</t>
  </si>
  <si>
    <t>EX-2018-01703925-GDEMZA-DPA#SAYOT</t>
  </si>
  <si>
    <t>GRUPO ACCION S.R.L</t>
  </si>
  <si>
    <t>30-70820891-0</t>
  </si>
  <si>
    <t>Av. Mitre 3200</t>
  </si>
  <si>
    <t>grupoaccion@fedacom.com.ar, higiene.seguridad.sr@gmail.com</t>
  </si>
  <si>
    <t xml:space="preserve">2604442600 / 2604531174 / 2604536612
</t>
  </si>
  <si>
    <t>246/2012</t>
  </si>
  <si>
    <t>G - 000623</t>
  </si>
  <si>
    <t>EX-2018-01323141-GDEMZA-DPA#SAYOT</t>
  </si>
  <si>
    <t>MUNICIPALIDAD DE MAIPU - Parque Metropolitano Sur</t>
  </si>
  <si>
    <t>30-99907873-3</t>
  </si>
  <si>
    <t>Act. Culturales, recreativas y operativas</t>
  </si>
  <si>
    <t>Pescara 190</t>
  </si>
  <si>
    <t>Emilio Civit  1441</t>
  </si>
  <si>
    <t>ale-estrella@live.com.ar</t>
  </si>
  <si>
    <t>4810585/ 4972948</t>
  </si>
  <si>
    <t>521/2012</t>
  </si>
  <si>
    <t>G - 000624</t>
  </si>
  <si>
    <t>EX-2018-03082810-GDEMZA-DPA#SAYOT</t>
  </si>
  <si>
    <t>JUGOS AUSTRALES S.A.</t>
  </si>
  <si>
    <t>30-70927347-3</t>
  </si>
  <si>
    <t>Concentradora de mostos de uva</t>
  </si>
  <si>
    <t xml:space="preserve">Urquiza 835 </t>
  </si>
  <si>
    <t>mbocardo@jugosaustrales.com, tramitaciones@jugosaustrales.com, supervisor@jugosaustrales.com</t>
  </si>
  <si>
    <t>4217396 / 261-2130027</t>
  </si>
  <si>
    <t>248/2012</t>
  </si>
  <si>
    <t>G - 000627</t>
  </si>
  <si>
    <t>EX-2018-02242895-GDEMZA-DPA#SAYOT</t>
  </si>
  <si>
    <t>ARTES GRAFICAS MELFA S.A.</t>
  </si>
  <si>
    <t>30-55006473-8</t>
  </si>
  <si>
    <t>Impresión y encuadernación</t>
  </si>
  <si>
    <t>Ituzaingo 2387</t>
  </si>
  <si>
    <t>Capital</t>
  </si>
  <si>
    <t>info@agmelfa.com.ar, gridissi@agmelfa.com.ar</t>
  </si>
  <si>
    <t>4306316 - 2615068016</t>
  </si>
  <si>
    <t>244/2012</t>
  </si>
  <si>
    <t>G - 000628</t>
  </si>
  <si>
    <t>EX-2018-01782214-GDEMZA-DPA#SAYOT</t>
  </si>
  <si>
    <t>PREMIX S.A.</t>
  </si>
  <si>
    <t>30-71023120-2</t>
  </si>
  <si>
    <t>elaboración de Hº</t>
  </si>
  <si>
    <t>Mitre 1353</t>
  </si>
  <si>
    <t>Rodriguez Peña 2406</t>
  </si>
  <si>
    <t>arenalias@premixsa.com.ar, gauthievre@premixsa.com.ar</t>
  </si>
  <si>
    <t>2612059016 - 2617721876</t>
  </si>
  <si>
    <t>296/2012</t>
  </si>
  <si>
    <t>G - 000629</t>
  </si>
  <si>
    <t>EX-2018-01055229-GDEMZA-DPA#SAYOT</t>
  </si>
  <si>
    <t>AIR LIQUIDE ARGENTINA S.A.</t>
  </si>
  <si>
    <t>30-50085213-1</t>
  </si>
  <si>
    <t>Producción de Dióxido de Carbono</t>
  </si>
  <si>
    <t xml:space="preserve">DÁarsena Noroeste, entre calles 1 Y 2 </t>
  </si>
  <si>
    <t>Perdriel - PIP</t>
  </si>
  <si>
    <t>emilio.mercado@airliquide.com, gutisjd@gmail.com</t>
  </si>
  <si>
    <t>4982471 / 261-4178853 / 261-5690461</t>
  </si>
  <si>
    <t>323/2012</t>
  </si>
  <si>
    <t>G - 000630</t>
  </si>
  <si>
    <t>EX-2018-00853509-GDEMZA-DPA#SAYOT</t>
  </si>
  <si>
    <t>ALLUB HNOS. S.R.L. - Estación de Servicios - Russell, Maipú -</t>
  </si>
  <si>
    <t>30-52765133-2</t>
  </si>
  <si>
    <t>Urquiza y Moreno</t>
  </si>
  <si>
    <t>allubhnossrl@allubhnossrl.com, jpc_cecchini@yahoo.com.ar</t>
  </si>
  <si>
    <t>2634304943 - 2634691406</t>
  </si>
  <si>
    <t>276/2012</t>
  </si>
  <si>
    <t>G - 000631</t>
  </si>
  <si>
    <t>EX2021-1060873- -GDEMZA-DPA#SAYOT TC EX-2018-00370034-GDEMZA-DPA#SAYOT</t>
  </si>
  <si>
    <t>CARTOCOR S.A.</t>
  </si>
  <si>
    <t>30-58673333-4</t>
  </si>
  <si>
    <t>FABRICA Y VENTA DE PAPEL</t>
  </si>
  <si>
    <t>Rodriguez Peña 3200</t>
  </si>
  <si>
    <t xml:space="preserve"> Gutierrez</t>
  </si>
  <si>
    <t>aboldrini@arcor.com,fgiunta@arcor.com</t>
  </si>
  <si>
    <t>2612768833, 08101225199</t>
  </si>
  <si>
    <t>Y8-Y9-Y12-Y13-Y31-Y34-Y48</t>
  </si>
  <si>
    <t>524/2012</t>
  </si>
  <si>
    <t>G - 000632</t>
  </si>
  <si>
    <t>EX-2018-03154885-GDEMZA-DPA#SAYOT</t>
  </si>
  <si>
    <t>VALLE DE LAS LEÑAS S.A.</t>
  </si>
  <si>
    <t>30-58962293-2</t>
  </si>
  <si>
    <t>Servicio de apoyo turístico</t>
  </si>
  <si>
    <t>Pedro Molina Nº 485, 8 f</t>
  </si>
  <si>
    <t>Ciudada</t>
  </si>
  <si>
    <t>Ruta Prov. Nº 222, Km. 48</t>
  </si>
  <si>
    <t>Las Leñas</t>
  </si>
  <si>
    <t>dvalentini@laslenas.com, seguridadehigiene@laslenas.com</t>
  </si>
  <si>
    <t>2635596586 - 2615131679</t>
  </si>
  <si>
    <t>291/2012</t>
  </si>
  <si>
    <t>G - 000633</t>
  </si>
  <si>
    <t>EX-2018-02518849-GDEMZA-DPA#SAYOT</t>
  </si>
  <si>
    <t>CEFI S.R.L.</t>
  </si>
  <si>
    <t>30-70930307-0</t>
  </si>
  <si>
    <t>25 de Mayo 786</t>
  </si>
  <si>
    <t>info@cefisrl.com.ar</t>
  </si>
  <si>
    <t>342/2012</t>
  </si>
  <si>
    <t>G - 000634</t>
  </si>
  <si>
    <t>EX-2025-03864469-   -GDEMZA-DGFA#SAYOT - TC - EX-2018-01782206-GDEMZA-DPA#SAYOT</t>
  </si>
  <si>
    <t>ARCO WINE SAS</t>
  </si>
  <si>
    <t>30-71803618-2</t>
  </si>
  <si>
    <t>EESS c/ lavadero y lubricentro</t>
  </si>
  <si>
    <t>Carril Nacional 6350</t>
  </si>
  <si>
    <t>miguelvalencia@speedy.com.ar, elarcovalenciam@gmail.com, carlosjbaggio@yahoo.com.ar</t>
  </si>
  <si>
    <t>4910415 - 2613618326</t>
  </si>
  <si>
    <t>343/2012</t>
  </si>
  <si>
    <t>G - 000635</t>
  </si>
  <si>
    <t>EX-2018-02066650-GDEMZA-DPA#SAYOT</t>
  </si>
  <si>
    <t>WIND S.A.</t>
  </si>
  <si>
    <t>30-70896499-5</t>
  </si>
  <si>
    <t>venta de comb. Líq.</t>
  </si>
  <si>
    <t>San Martin 75</t>
  </si>
  <si>
    <t>estacionwind@yahoo.com.ar, matiascoletto@yahoo.com.ar</t>
  </si>
  <si>
    <t>362/2012</t>
  </si>
  <si>
    <t>G - 000637</t>
  </si>
  <si>
    <t>EX-2018-02216268-GDEMZA-DPA#SAYOT</t>
  </si>
  <si>
    <t>MENDOZA FUNDACIONAL S.A. - GUAYMALLEN</t>
  </si>
  <si>
    <t>Aristóbulo del Valle 108 esq. Gobernador Videla</t>
  </si>
  <si>
    <t>417/2012</t>
  </si>
  <si>
    <t>G - 000638</t>
  </si>
  <si>
    <t>EX-2018-02518279-GDEMZA-DPA#SAYOT</t>
  </si>
  <si>
    <t>FILIPPINI HNOS. S.R.L</t>
  </si>
  <si>
    <t>30-70840357-8</t>
  </si>
  <si>
    <t>venta de comb. líq y LAVADERO</t>
  </si>
  <si>
    <t>Pasteur 145</t>
  </si>
  <si>
    <t>San Martin 1148</t>
  </si>
  <si>
    <t>estacionfilippini@yahoo.com.ar</t>
  </si>
  <si>
    <t>399/2012</t>
  </si>
  <si>
    <t>G - 000639</t>
  </si>
  <si>
    <t>EX-2018-03061215-GDEMZA-DPA#SAYOT</t>
  </si>
  <si>
    <t>ADHE-PEL S.A.</t>
  </si>
  <si>
    <t>30-61524587-5</t>
  </si>
  <si>
    <t>Imprenta gráfica - etiquetas autoadhesivas</t>
  </si>
  <si>
    <t>Libertad 1477</t>
  </si>
  <si>
    <t>pablo.ramallo@adhepel.com.ar</t>
  </si>
  <si>
    <t>338/2012</t>
  </si>
  <si>
    <t>G - 000640</t>
  </si>
  <si>
    <t>EX-2018-01432036-GDEMZA-DPA#SAYOT</t>
  </si>
  <si>
    <t>CUYO PLACAS S.A. - Planta Impregnación -</t>
  </si>
  <si>
    <t>Impregnacion de papel revestido</t>
  </si>
  <si>
    <t>Calle Nº3 y Calle Nº8 - Parcela K - Parque Industrial Eje Norte Las Heras.</t>
  </si>
  <si>
    <t>4416000/4306000 int n150</t>
  </si>
  <si>
    <t>384/2012</t>
  </si>
  <si>
    <t>G - 000641</t>
  </si>
  <si>
    <t>EX-2018-01431977-GDEMZA-DPA#SAYOT</t>
  </si>
  <si>
    <t>CUYO PLACAS S.A. - Planta de Muebles -</t>
  </si>
  <si>
    <t>fábrica de muebles</t>
  </si>
  <si>
    <t>3911150 - 2613160628</t>
  </si>
  <si>
    <t>Y8-Y31-Y48</t>
  </si>
  <si>
    <t>390/2012</t>
  </si>
  <si>
    <t>G - 000642</t>
  </si>
  <si>
    <t>EX-2018-00853491-GDEMZA-DPA#SAYOT</t>
  </si>
  <si>
    <t>ALLUB HNOS. S.R.L. - La Dormida, Santa Rosa -</t>
  </si>
  <si>
    <t>Estacion de Servicio</t>
  </si>
  <si>
    <t>Ruta Nac. Nº 7 Km 941</t>
  </si>
  <si>
    <t xml:space="preserve"> La Dormida</t>
  </si>
  <si>
    <t>2634304943  0263-4461222</t>
  </si>
  <si>
    <t>388/2012</t>
  </si>
  <si>
    <t>G - 000643</t>
  </si>
  <si>
    <t>EX-2018-02518419-GDEMZA-DPA#SAYOT</t>
  </si>
  <si>
    <t>ABRAHAM HNOS. S.A.</t>
  </si>
  <si>
    <t>30-71032168-6</t>
  </si>
  <si>
    <t>Av. Mitre Oeste 284</t>
  </si>
  <si>
    <t xml:space="preserve">Variante Ruta Nº 50 s/n </t>
  </si>
  <si>
    <t>info@abrahamhnos.com, hugo.baldin@gmail.com</t>
  </si>
  <si>
    <t>2616509112 / 462108</t>
  </si>
  <si>
    <t>387/2012</t>
  </si>
  <si>
    <t>G - 000644</t>
  </si>
  <si>
    <t>EX-2018-01621834-GDEMZA-DPA#SAYOT</t>
  </si>
  <si>
    <t>SUHAIMAN GOMEZ YAMILA, SUHAIMAN GOMEZ MUNIR DANIEL, GOMEZ SUSANA ELDA S.H. -YPF LA CHIMBA-</t>
  </si>
  <si>
    <t>30-71252614-5</t>
  </si>
  <si>
    <t>Pedro Molina 249 piso 2 Dpto 6</t>
  </si>
  <si>
    <t xml:space="preserve">Av. Libertador 2200 </t>
  </si>
  <si>
    <t>jpc_cecchini@yahoo.com.ar, servilachimba@yahoo.com.ar</t>
  </si>
  <si>
    <t>02623-463743 - 2634731765</t>
  </si>
  <si>
    <t>391/2012</t>
  </si>
  <si>
    <t>G - 000645</t>
  </si>
  <si>
    <t>EX-2018-02786268-GDEMZA-DPA#SAYOT</t>
  </si>
  <si>
    <t>ARENADOS LUJAN S.A.</t>
  </si>
  <si>
    <t>30-71251154-7</t>
  </si>
  <si>
    <t>Tratamientos de Sup y aplic</t>
  </si>
  <si>
    <t>Predio F6 PIM</t>
  </si>
  <si>
    <t>Parque Ind. Municipal</t>
  </si>
  <si>
    <t>Predio F6 - PIM -</t>
  </si>
  <si>
    <t>administracion@arenadoslujan.com.ar</t>
  </si>
  <si>
    <t>2613048217  /2616803148 / 261-5550687</t>
  </si>
  <si>
    <t>386/2012</t>
  </si>
  <si>
    <t>G - 000646</t>
  </si>
  <si>
    <t>EX-2018-01542278-GDEMZA-DPA#SAYOT</t>
  </si>
  <si>
    <t>COMERCIAL MANITTA HNOS. S.R.L. - Calle San Martín -</t>
  </si>
  <si>
    <t>San Martin 489</t>
  </si>
  <si>
    <t>425/2012</t>
  </si>
  <si>
    <t>G - 000649</t>
  </si>
  <si>
    <t>EX-2018-02432164-GDEMZA-DPA#SAYOT</t>
  </si>
  <si>
    <t>CARIN MARTIN</t>
  </si>
  <si>
    <t>20-27127258-9</t>
  </si>
  <si>
    <t>Videla Correa Nº 48</t>
  </si>
  <si>
    <t>435/2012</t>
  </si>
  <si>
    <t>G - 000650</t>
  </si>
  <si>
    <t>EX -2019-4133607-DPA#SAYOT - TC -  EX -2018-01783027-DPA#SAYOT</t>
  </si>
  <si>
    <t>FLORES SILVESTRE S.A.</t>
  </si>
  <si>
    <t>30-71584454-7</t>
  </si>
  <si>
    <t>Mitre 292</t>
  </si>
  <si>
    <t>josesebagarcia@outlook.es, carlosjbaggio@yahoo.com.ar</t>
  </si>
  <si>
    <t xml:space="preserve">4492772 - 2634478559
</t>
  </si>
  <si>
    <t>448/2012</t>
  </si>
  <si>
    <t>G - 000651</t>
  </si>
  <si>
    <t>EX -2018-01621879-GDEMZA-DPA#SAYOT</t>
  </si>
  <si>
    <t>LUBRICENTRO PERITO MORENO de VENTURINO, RICARDO</t>
  </si>
  <si>
    <t>20-06896408-4</t>
  </si>
  <si>
    <t>Perito Moreno 2570</t>
  </si>
  <si>
    <t>akisol2001@yahoo.com.ar</t>
  </si>
  <si>
    <t>447/2012</t>
  </si>
  <si>
    <t>G - 000652</t>
  </si>
  <si>
    <t>EX-2018-00137631-GDEMZA-DPA#SAYOT</t>
  </si>
  <si>
    <t>EMPRESA DE TRANSPORTE ANTARTIDA S.R.L.</t>
  </si>
  <si>
    <t>30-54633807-6</t>
  </si>
  <si>
    <t>Transporte urbano de pasajeros</t>
  </si>
  <si>
    <t>Coronel Plaza 446</t>
  </si>
  <si>
    <t>Barcala 1973</t>
  </si>
  <si>
    <t>gestoriaambiental.mza@gmail.com, federico@elrayoweb.com</t>
  </si>
  <si>
    <t>4455818 / 2616631257  /2615502453</t>
  </si>
  <si>
    <t>558/2012</t>
  </si>
  <si>
    <t>G - 000653</t>
  </si>
  <si>
    <t>EX-2018-01564203-GDEMZA-DPA#SAYOT</t>
  </si>
  <si>
    <t>LABEL SOLUTIONS S.R.L. - CAPITAL -</t>
  </si>
  <si>
    <t>30-69577507-1</t>
  </si>
  <si>
    <t>Imprenta y litògrafía</t>
  </si>
  <si>
    <t>Brasil 144</t>
  </si>
  <si>
    <t>raul.palero@labelsolutions.com.ar, ricardofuentes2027@gmail.com</t>
  </si>
  <si>
    <t>Y8-Y12-Y16-Y48</t>
  </si>
  <si>
    <t>540/2012</t>
  </si>
  <si>
    <t>G - 000654</t>
  </si>
  <si>
    <t>EX-2018-01666015-GDEMZA-DPA#SAYOT</t>
  </si>
  <si>
    <t>LAVADERO DEL PUERTO S.A.</t>
  </si>
  <si>
    <t>30-71516951-3</t>
  </si>
  <si>
    <t>lavadero de automotores</t>
  </si>
  <si>
    <t>Independencia 650</t>
  </si>
  <si>
    <t>Independencia  650</t>
  </si>
  <si>
    <t>gestoriaambiental.mza@gmail.com</t>
  </si>
  <si>
    <t>261-6631257</t>
  </si>
  <si>
    <t>776/2012</t>
  </si>
  <si>
    <t>G - 000655</t>
  </si>
  <si>
    <t>EX-2018-02194597-GDEMZA-DPA#SAYOT</t>
  </si>
  <si>
    <t>GREEN S.A. - Base Guaymallén -</t>
  </si>
  <si>
    <t>30-63872707-9</t>
  </si>
  <si>
    <t>Taller de Equipos Viales</t>
  </si>
  <si>
    <t>Lateral Sur Acc. Este 6247</t>
  </si>
  <si>
    <t>gmvlopez@speedy.com.ar; jantonio@greensa.com.ar</t>
  </si>
  <si>
    <t>785/2012</t>
  </si>
  <si>
    <t>G - 000656</t>
  </si>
  <si>
    <t>EX-2018-01564281-GDEMZA-DPA#SAYOT</t>
  </si>
  <si>
    <t>BODEGA DANTE ROBINO S.A.</t>
  </si>
  <si>
    <t>33-56211434-9</t>
  </si>
  <si>
    <t>Elaboración y fraccionamiento de vinos</t>
  </si>
  <si>
    <t>Callejon Maldonado Nº 240</t>
  </si>
  <si>
    <t>tomaspra@quilmes.com.ar, gonzalofu@bodegadanterobino.com</t>
  </si>
  <si>
    <t>2616832207 / 2657633420</t>
  </si>
  <si>
    <t>556/2012</t>
  </si>
  <si>
    <t>G - 000658</t>
  </si>
  <si>
    <t>EX-2018-01593621-GDEMZA-DPA#SAYOT</t>
  </si>
  <si>
    <t>PALMA WALTER SERGIO</t>
  </si>
  <si>
    <t>20-16990765-0</t>
  </si>
  <si>
    <t>San Martín 369</t>
  </si>
  <si>
    <t>waltherpalma@hotmail.com.ar, consulgreenmendoza@gmail.com</t>
  </si>
  <si>
    <t>261-2404496</t>
  </si>
  <si>
    <t>571/2012</t>
  </si>
  <si>
    <t>G - 000659</t>
  </si>
  <si>
    <t>EX-2018-01143627-GDEMZA-DPA#SAYOT</t>
  </si>
  <si>
    <t>ESTACION DE SERVICIOS GENERAL LAS HERAS S.R.L.</t>
  </si>
  <si>
    <t>30-54318885-5</t>
  </si>
  <si>
    <t>EESS</t>
  </si>
  <si>
    <t>Roca Nº 518</t>
  </si>
  <si>
    <t>ypflasheras@speedy.com.ar, malauqui@hotmail.com</t>
  </si>
  <si>
    <t>4304614 - 2615060145</t>
  </si>
  <si>
    <t>529/2012</t>
  </si>
  <si>
    <t>G - 000660</t>
  </si>
  <si>
    <t>EX-2018-02824769-GDEMZA-DPA#SAYOT</t>
  </si>
  <si>
    <t>HEKAR S.R.L.</t>
  </si>
  <si>
    <t>30-66094515-2</t>
  </si>
  <si>
    <t>EESS dual</t>
  </si>
  <si>
    <t>Acceso Sur Nº 8051</t>
  </si>
  <si>
    <t>hekar1@speedy.com.ar, carlosjbaggio@yahoo.com.ar, hekar@speedy.com.ar</t>
  </si>
  <si>
    <t>4362956 - 2615090289</t>
  </si>
  <si>
    <t>506/2012</t>
  </si>
  <si>
    <t>G - 000661</t>
  </si>
  <si>
    <t>EX-2018-01454056-GDEMZA-DPA#SAYOT</t>
  </si>
  <si>
    <t>CLOP ORLANDO RUBEN - GUAYMALLEN</t>
  </si>
  <si>
    <t>20-17373270-9</t>
  </si>
  <si>
    <t>Venta de combustible</t>
  </si>
  <si>
    <t>Acceso Este y Agustin Alvarez</t>
  </si>
  <si>
    <t>Acceso Este y Bonfanti</t>
  </si>
  <si>
    <t>beltran@rcc.com.ar, hysriveros@gmail.com</t>
  </si>
  <si>
    <t xml:space="preserve">4911681 -2614929003 </t>
  </si>
  <si>
    <t>530/2012</t>
  </si>
  <si>
    <t>G - 000662</t>
  </si>
  <si>
    <t>EX-2018-02432168-GDEMZA-DPA#SAYOT</t>
  </si>
  <si>
    <t>ANTONIO PIACENTINI</t>
  </si>
  <si>
    <t>20-06882513-0</t>
  </si>
  <si>
    <t>Venta de combustible, lubric. y accesorios</t>
  </si>
  <si>
    <t>Carril Manzanares  nº 5</t>
  </si>
  <si>
    <t>Tres Porteñas</t>
  </si>
  <si>
    <t>hugo.baldin@gmail.com, aliciabismach@hotmail.com</t>
  </si>
  <si>
    <t xml:space="preserve"> 2616509112 - 0263-4496053</t>
  </si>
  <si>
    <t>505/2012</t>
  </si>
  <si>
    <t>G - 000663</t>
  </si>
  <si>
    <t>EX-2018-01561542-GDEMZA-DPA#SAYOT</t>
  </si>
  <si>
    <t>ATUEL NORTE S.A.</t>
  </si>
  <si>
    <t>30-71424329-9</t>
  </si>
  <si>
    <t>Estació de servicio</t>
  </si>
  <si>
    <t>Guillermo Molina 425</t>
  </si>
  <si>
    <t>Ruta Nac. 143 s/nº</t>
  </si>
  <si>
    <t>Atuel Norte</t>
  </si>
  <si>
    <t>gestoriaambiental.mza@gmail.com, ypfatuelnorte@gmail.com</t>
  </si>
  <si>
    <t>2616631257 - 2604 41-9286</t>
  </si>
  <si>
    <t>784/2012</t>
  </si>
  <si>
    <t>G - 000664</t>
  </si>
  <si>
    <t>EX-2018-01791275-GDEMZA-DPA#SAYOT</t>
  </si>
  <si>
    <t>GUERRINI NEUMATICOS SA</t>
  </si>
  <si>
    <t>30-67701881-6</t>
  </si>
  <si>
    <t>Mecanica ligera de automotores y cbio de aceite</t>
  </si>
  <si>
    <t>Diamantes Nº 370</t>
  </si>
  <si>
    <t>Diamantes Nº 371</t>
  </si>
  <si>
    <t>emiliano.diaz@guerrinisa.com.ar, edgardo.guerrini@guerrinisa.com.ar, bruno.sanchez@guerrinisa.com.ar</t>
  </si>
  <si>
    <t>786/2012</t>
  </si>
  <si>
    <t>G - 000666</t>
  </si>
  <si>
    <t>EX-2018-02140464-GDEMZA-DPA#SAYOT</t>
  </si>
  <si>
    <t>YACOPINI INVERSORA S.A. - San Martín y 25 de Mayo - GODOY CRUZ</t>
  </si>
  <si>
    <t>Servicio de vehículos nuevos</t>
  </si>
  <si>
    <t>Av. San Martin 1902 esq. 25 de Mayo</t>
  </si>
  <si>
    <t>565/2012</t>
  </si>
  <si>
    <t>G - 000667</t>
  </si>
  <si>
    <t>EX-2018-00690798-GDEMZA-DPA#SAYOT</t>
  </si>
  <si>
    <t>BODEGA NORTON S.A.</t>
  </si>
  <si>
    <t>30-50165782-0</t>
  </si>
  <si>
    <t>Ruta Prov. Nº 15 Km 23,5</t>
  </si>
  <si>
    <t>AGRELO</t>
  </si>
  <si>
    <t>ccerroni@norton.com.ar; aarena@norton.com.ar</t>
  </si>
  <si>
    <t>261-4909700-2615432916</t>
  </si>
  <si>
    <t>574/2012</t>
  </si>
  <si>
    <t>G - 000668</t>
  </si>
  <si>
    <t>EX-2018-01290160-GDEMZA-DPA#SAYOT</t>
  </si>
  <si>
    <t>SUPERIOR ENERGY SERVICES S.A.</t>
  </si>
  <si>
    <t>33-68824222-9</t>
  </si>
  <si>
    <t xml:space="preserve">Servicios Petroleros Especiales </t>
  </si>
  <si>
    <t>Acc. Sur , Lat Oeste s/n,  km 22,5</t>
  </si>
  <si>
    <t>lucas.ramos@superiorenergy.com, martin.villanueva@superiorenergy.com</t>
  </si>
  <si>
    <t>02996899772 / 261-6654842</t>
  </si>
  <si>
    <t>783/2012</t>
  </si>
  <si>
    <t>G - 000669</t>
  </si>
  <si>
    <t>EX-2018-00151428-GDEMZA-DPA#SAYOT</t>
  </si>
  <si>
    <t>GERK Y CIA S.A. - EUGENIO BUSTOS</t>
  </si>
  <si>
    <t>estación de servicios</t>
  </si>
  <si>
    <t>Ruta 40 Km. 104</t>
  </si>
  <si>
    <t>2622-470002 261-3058503</t>
  </si>
  <si>
    <t>570/2012</t>
  </si>
  <si>
    <t>G - 000670</t>
  </si>
  <si>
    <t>EX-2018-00853464-GDEMZA-DPA#SAYOT</t>
  </si>
  <si>
    <t>ALLUB HNOS. S.R.L. - Palmira, San Martín -</t>
  </si>
  <si>
    <t>Rusell</t>
  </si>
  <si>
    <t>Alem N° 6 /42</t>
  </si>
  <si>
    <t>0263-4461222 / 2634304943</t>
  </si>
  <si>
    <t>567/2012</t>
  </si>
  <si>
    <t>G - 000671</t>
  </si>
  <si>
    <t>EX-2018-00853477-GDEMZA-DPA#SAYOT</t>
  </si>
  <si>
    <t>ALLUB HNOS. S.R.L. - Ciudad, San Martín -</t>
  </si>
  <si>
    <t>Alem y Pirovano</t>
  </si>
  <si>
    <t>0263-4461222        2634304943</t>
  </si>
  <si>
    <t>563//2012</t>
  </si>
  <si>
    <t>G - 000674</t>
  </si>
  <si>
    <t>EX-2018-02432172-GDEMZA-DPA#SAYOT</t>
  </si>
  <si>
    <t>VEGA LEONARDO ISMAEL</t>
  </si>
  <si>
    <t>20-29788119-2</t>
  </si>
  <si>
    <t>mecánica del automotor</t>
  </si>
  <si>
    <t>Domingo Faustino Sarmiento Nº 285</t>
  </si>
  <si>
    <t>leonardovegamza4@gmail.com</t>
  </si>
  <si>
    <t>755/2012</t>
  </si>
  <si>
    <t>G - 000675</t>
  </si>
  <si>
    <t>EX-2018-00163065-GDEMZA-DPA#SAYOT</t>
  </si>
  <si>
    <t>GASNAT S.A.</t>
  </si>
  <si>
    <t>30-71034287-9</t>
  </si>
  <si>
    <t>Venta por mayor y menor de combustibles</t>
  </si>
  <si>
    <t>Boulogne Sur Mer 2020</t>
  </si>
  <si>
    <t>El Challao</t>
  </si>
  <si>
    <t>gasnat.sa@gmail.com, gestoriaambiental.mza@gmail.com</t>
  </si>
  <si>
    <t>789/2012</t>
  </si>
  <si>
    <t>G - 000676</t>
  </si>
  <si>
    <t>EX-2018-02432175-GDEMZA-DPA#SAYOT</t>
  </si>
  <si>
    <t>ACI S.A.</t>
  </si>
  <si>
    <t>30-71107313-9</t>
  </si>
  <si>
    <t>Fabrica, rep. Y vta de acumuladores eléctricos</t>
  </si>
  <si>
    <t>Beltran Sur Nº 87</t>
  </si>
  <si>
    <t>acisa@speedy.com.ar</t>
  </si>
  <si>
    <t>Y31-Y48</t>
  </si>
  <si>
    <t>842/2012</t>
  </si>
  <si>
    <t>G - 000677</t>
  </si>
  <si>
    <t>EX-2018-01621837-GDEMZA-DPA#SAYOT</t>
  </si>
  <si>
    <t>OLAIZ, ELIANA CRISTINA</t>
  </si>
  <si>
    <t>23-23159488-4</t>
  </si>
  <si>
    <t>Taller de Torneria</t>
  </si>
  <si>
    <t>METALURGICA</t>
  </si>
  <si>
    <t>9 de Julio 275</t>
  </si>
  <si>
    <t>induserolaiz@valsinectis.com.ar</t>
  </si>
  <si>
    <t>840/2012</t>
  </si>
  <si>
    <t>G - 000680</t>
  </si>
  <si>
    <t>EX-2018-00369990-GDEMZA-DPA#SAYOT</t>
  </si>
  <si>
    <t>BODEGAS CHANDON S.A - FINCA EL CAICAYEN</t>
  </si>
  <si>
    <t>Ruta 15 Km 29</t>
  </si>
  <si>
    <t>Agrelo</t>
  </si>
  <si>
    <t>Ruta Prov. 89 y La Vencedora</t>
  </si>
  <si>
    <t>330/2014</t>
  </si>
  <si>
    <t>G - 000681</t>
  </si>
  <si>
    <t>EX-2018-01593831-GDEMZA-DPA#SAYOT</t>
  </si>
  <si>
    <t>SMOVIR LUIS ALBERTO, SMOVIR ANTONIO y SMOVIR EDUARDO</t>
  </si>
  <si>
    <t>30-50025620-2</t>
  </si>
  <si>
    <t>Imprenta, con o sin litografia</t>
  </si>
  <si>
    <t>SUIPACHA 299 - 5TA. SECCIÓN - RESIDENCIAL SUR</t>
  </si>
  <si>
    <t>calidad@smovir.com, yunesmarta1974@gmail.com</t>
  </si>
  <si>
    <t>261-4254770 / 261-5379615</t>
  </si>
  <si>
    <t>791/2012</t>
  </si>
  <si>
    <t>G - 000684</t>
  </si>
  <si>
    <t>EX-2018-03440733-GDEMZA-DPA#SAYOT</t>
  </si>
  <si>
    <t>SCALL SERVICIOS INDUSTRIALES S.R.L</t>
  </si>
  <si>
    <t>30-70315886-9</t>
  </si>
  <si>
    <t>Industria Metalmecánica</t>
  </si>
  <si>
    <t xml:space="preserve">Ruta Prov.  Nº 87- PIM - Predio 26 </t>
  </si>
  <si>
    <t>datos@scall.com.ar</t>
  </si>
  <si>
    <t>790/2012</t>
  </si>
  <si>
    <t>G - 000685</t>
  </si>
  <si>
    <t>EX-2018-02728457-GDEMZA-DPA#SAYOT</t>
  </si>
  <si>
    <t>RIO TUNUYAN S.A.</t>
  </si>
  <si>
    <t>30-71117087-8</t>
  </si>
  <si>
    <t>Venta de GNC</t>
  </si>
  <si>
    <t>Independencia N° 580</t>
  </si>
  <si>
    <t>hugo.baldin@gmail.com, rtunuyan@gmail.com</t>
  </si>
  <si>
    <t>4489495 / 2615336139</t>
  </si>
  <si>
    <t>792/2012</t>
  </si>
  <si>
    <t>G - 000686</t>
  </si>
  <si>
    <t>EX-2018-03440801-GDEMZA-DPA#SAYOT</t>
  </si>
  <si>
    <t>FERNANDEZ GUSTAVO JAVIER</t>
  </si>
  <si>
    <t>20-22089073-3</t>
  </si>
  <si>
    <t>reparación de maq. y equipos electricos</t>
  </si>
  <si>
    <t>Pedro del Castillo 1645</t>
  </si>
  <si>
    <t>lic.verdaguer@hotmail.com</t>
  </si>
  <si>
    <t>057/2013</t>
  </si>
  <si>
    <t>G - 000687</t>
  </si>
  <si>
    <t>EX-2018-02545876-GDEMZA-DPA#SAYOT</t>
  </si>
  <si>
    <t>MOLINA GUSTAVO ADRIAN</t>
  </si>
  <si>
    <t>20-22059947-8</t>
  </si>
  <si>
    <t>Puestos de los Pozos N° 124</t>
  </si>
  <si>
    <t>grafexss@gmail.com</t>
  </si>
  <si>
    <t>056/2013</t>
  </si>
  <si>
    <t>G - 000689</t>
  </si>
  <si>
    <t>EX-2018-01786378-GDEMZA-DPA#SAYOT</t>
  </si>
  <si>
    <t>RUTA 188 S.A.</t>
  </si>
  <si>
    <t>30-56612145-6</t>
  </si>
  <si>
    <t>Estacion de servicio</t>
  </si>
  <si>
    <t>Av. Alvear Este 1240</t>
  </si>
  <si>
    <t>ruta188sa@gmail.com, rubenguerci@gmail.com</t>
  </si>
  <si>
    <t>2625422301 - 2625431822</t>
  </si>
  <si>
    <t>868/2012</t>
  </si>
  <si>
    <t>G - 000690</t>
  </si>
  <si>
    <t>EX-2018-01490741-GDEMZA-DPA#SAYOT</t>
  </si>
  <si>
    <t>ANTONIO J. RAVLIC S.R.L.</t>
  </si>
  <si>
    <t>30-71495133-1</t>
  </si>
  <si>
    <t>Taller reparación equipos pesados</t>
  </si>
  <si>
    <t>Primitivo de la Reta N° 501</t>
  </si>
  <si>
    <t>ravlic@ravlic.com.ar, hsemza@gmail.com</t>
  </si>
  <si>
    <t xml:space="preserve">2616672025 - 2615093447
</t>
  </si>
  <si>
    <t>015/2013</t>
  </si>
  <si>
    <t>G - 000691</t>
  </si>
  <si>
    <t>EX-2018-02563609-GDEMZA-DPA#SAYOT</t>
  </si>
  <si>
    <t>CROWN POINT ENERGÍA S.A. - Área Cerro Los Leones -</t>
  </si>
  <si>
    <t>30-70934626-8</t>
  </si>
  <si>
    <t>Exploración petrolera</t>
  </si>
  <si>
    <t>Area Cerro Los Leones</t>
  </si>
  <si>
    <t>notificaciones@crownpointenergy.com, mtormakh@crownpointenergy.com, mbarandica@crownpointenergy.com</t>
  </si>
  <si>
    <t>072/2013</t>
  </si>
  <si>
    <t>G - 000694</t>
  </si>
  <si>
    <t>EX-2018-01659444-GDEMZA-DPA#SAYOT</t>
  </si>
  <si>
    <t>SANOGUERA, ELIDA FRANCISCA</t>
  </si>
  <si>
    <t>27-10621335-1</t>
  </si>
  <si>
    <t>Venta de combustibles, lubricantes y derivados</t>
  </si>
  <si>
    <t>Italia y Buenos Aires 100</t>
  </si>
  <si>
    <t>Montecomán</t>
  </si>
  <si>
    <t>grupovidalmc@gmail.com, higiene.seguridad.sr@gmail.com</t>
  </si>
  <si>
    <t>0260-4490034 / 2614726130</t>
  </si>
  <si>
    <t>106/2013</t>
  </si>
  <si>
    <t>G - 000695</t>
  </si>
  <si>
    <t>EX-2018-01775106-GDEMZA-DPA#SAYOT</t>
  </si>
  <si>
    <t>EMPRESA MAIPU SRL - Grupo 2 -</t>
  </si>
  <si>
    <t>30-54635766-6</t>
  </si>
  <si>
    <t>Servicio Público de Transporte de Pasajeros</t>
  </si>
  <si>
    <t>San Martín 557</t>
  </si>
  <si>
    <t>Elpidio Gonzalez N° 10750</t>
  </si>
  <si>
    <t>mcarra@empresa-maipu.com.ar, info@higieneseguridad.com</t>
  </si>
  <si>
    <t>4910939 / 2615372031</t>
  </si>
  <si>
    <t>071/2013</t>
  </si>
  <si>
    <t>3885168 - 3885248</t>
  </si>
  <si>
    <t>G - 000696</t>
  </si>
  <si>
    <t>EX-2018-01680378-GDEMZA-DPA#SAYOT</t>
  </si>
  <si>
    <t>STACCHIOLA ENRIQUE JORGE</t>
  </si>
  <si>
    <t>20-06907280-2</t>
  </si>
  <si>
    <t>VAPORIZADO DE TANQUES DE COMBUSTIBLE</t>
  </si>
  <si>
    <t>B° San Pedro Manza 14 Casa 20</t>
  </si>
  <si>
    <t>Ruta 7 Km 1006</t>
  </si>
  <si>
    <t>tauroservicios@yahoo.com.ar, consulgreenmendoza@gmail.com</t>
  </si>
  <si>
    <t>078/2013</t>
  </si>
  <si>
    <t>G - 000697</t>
  </si>
  <si>
    <t xml:space="preserve"> EX-2022-00927210- -GDEMZA-DPA#SAYOT - TC - EX-2018-02545977-GDEMZA-DPA#SAYOT</t>
  </si>
  <si>
    <t>KUPERMAN HUGO HORACIO</t>
  </si>
  <si>
    <t>20-14667776-3</t>
  </si>
  <si>
    <t>Lavadero</t>
  </si>
  <si>
    <t>Remedio de Escalada 3166</t>
  </si>
  <si>
    <t>Remedios de escalada 3166</t>
  </si>
  <si>
    <t>hhkuperman@hotmail.com, celinastorga25@gmail.com</t>
  </si>
  <si>
    <t>4524604 - 2615095807</t>
  </si>
  <si>
    <t>080/2013</t>
  </si>
  <si>
    <t>G - 000698</t>
  </si>
  <si>
    <t>EX-2018-01791370-GDEMZA-DPA#SAYOT</t>
  </si>
  <si>
    <t>WAISMAN S.R.L</t>
  </si>
  <si>
    <t>30-71053596-1</t>
  </si>
  <si>
    <t>Construcciones Viales</t>
  </si>
  <si>
    <t>Pueyrredon 760 mza. D casa 12</t>
  </si>
  <si>
    <t>Rodriguez Peña 2732</t>
  </si>
  <si>
    <t>info@waismansrl.com, leyla@estudiosintesis.com, jesusibarra1986@gmail.com</t>
  </si>
  <si>
    <t>079/2013 (rectificada por Res.Nº 352/2013)</t>
  </si>
  <si>
    <t>G - 000699</t>
  </si>
  <si>
    <t xml:space="preserve">EX-2024-08492051-   -GDEMZA-DPA#SAYOT - TC - EX-2018-01740554-GDEMZA-DPA#SAYOT </t>
  </si>
  <si>
    <t>ALVECOM S.A.S.</t>
  </si>
  <si>
    <t>30-71849275-7</t>
  </si>
  <si>
    <t>Venta combustibles líquidos</t>
  </si>
  <si>
    <t>Ruta Nac 143 Km 582</t>
  </si>
  <si>
    <t>allgus02@outlook.es, mendozafundacionalsa@hotmail.com</t>
  </si>
  <si>
    <t>263/2013</t>
  </si>
  <si>
    <t>G - 000700</t>
  </si>
  <si>
    <t>EX-2018-02518267-GDEMZA-DPA#SAYOT</t>
  </si>
  <si>
    <t>DI CHIARA S.R.L.</t>
  </si>
  <si>
    <t>30-67694202-1</t>
  </si>
  <si>
    <t>Taller mecánico</t>
  </si>
  <si>
    <t>Cervantes  1284</t>
  </si>
  <si>
    <t>esther.dichiara@yahoo.com</t>
  </si>
  <si>
    <t>231/2013</t>
  </si>
  <si>
    <t>G - 000701</t>
  </si>
  <si>
    <t>EX-2018-03419793-GDEMZA-DPA#SAYOT</t>
  </si>
  <si>
    <t>TRANSPORTES ROMERO S.A.</t>
  </si>
  <si>
    <t>30-71055720-5</t>
  </si>
  <si>
    <t>Godoy Cruz N° 3822</t>
  </si>
  <si>
    <t>liris.ambiente@gmail.com</t>
  </si>
  <si>
    <t>0261-5580402</t>
  </si>
  <si>
    <t>345/2013</t>
  </si>
  <si>
    <t>G - 000702</t>
  </si>
  <si>
    <t>EX-2018-02786224-GDEMZA-DPA#SAYOT</t>
  </si>
  <si>
    <t>JOSE MASTROENI S.A.</t>
  </si>
  <si>
    <t>30-70791199-5</t>
  </si>
  <si>
    <t>ELABORACIÓN DE VINO</t>
  </si>
  <si>
    <t>Acc. Sur y Zapiola Km 14</t>
  </si>
  <si>
    <t>oficina24estudio@gmail.com, mastroeni@hotmail.es</t>
  </si>
  <si>
    <t>4982757 / 261-6601495 / 4981852</t>
  </si>
  <si>
    <t>359/2013</t>
  </si>
  <si>
    <t>1102497-1123685</t>
  </si>
  <si>
    <t>G - 000703</t>
  </si>
  <si>
    <t>EX-2018-02337366-GDEMZA-DPA#SAYOT</t>
  </si>
  <si>
    <t>DINAMICA S.A.</t>
  </si>
  <si>
    <t>30-70877738-9</t>
  </si>
  <si>
    <t>San Martin N° 3586</t>
  </si>
  <si>
    <t>Mayor Drumont</t>
  </si>
  <si>
    <t>estaciondinamica@yahoo.com, carlos_e_schneider@hotmail.com</t>
  </si>
  <si>
    <t>4965222 - 2615456925</t>
  </si>
  <si>
    <t>087/2013</t>
  </si>
  <si>
    <t>G - 000704</t>
  </si>
  <si>
    <t>EX-2018-01621872-GDEMZA-DPA#SAYOT</t>
  </si>
  <si>
    <t>CANTERA DEL PEDEMONTE S.A.</t>
  </si>
  <si>
    <t>30-70968362-0</t>
  </si>
  <si>
    <t>extraccion de áridos</t>
  </si>
  <si>
    <t>Cont. Tiburcio Benegas 20</t>
  </si>
  <si>
    <t>canteradelpedemontesa@hotmail.com, avconsultora@yahoo.com.ar</t>
  </si>
  <si>
    <t>(0261) 154712670 /155977013</t>
  </si>
  <si>
    <t>220/2013</t>
  </si>
  <si>
    <t>G - 000705</t>
  </si>
  <si>
    <t>EX-2018-02275722-GDEMZA-DPA#SAYOT</t>
  </si>
  <si>
    <t>UGO LEONARDO, UGO IVANA y DORIGO ANGELA S.H.</t>
  </si>
  <si>
    <t>30-71058899-2</t>
  </si>
  <si>
    <t>Reparación de componentes hidraulicos - cromado</t>
  </si>
  <si>
    <t>Balcarce 266</t>
  </si>
  <si>
    <t>walter.chavez@gdosa.com.ar, diego.yancarelli@gmail.com</t>
  </si>
  <si>
    <t>2616921231
 / 4228931</t>
  </si>
  <si>
    <t>Y8-Y35-Y48</t>
  </si>
  <si>
    <t>221/2013</t>
  </si>
  <si>
    <t>G - 000706</t>
  </si>
  <si>
    <t>EX-2018-02257603-GDEMZA-DPA#SAYOT</t>
  </si>
  <si>
    <t>COMPACTO S.A.</t>
  </si>
  <si>
    <t>30-70954300-4</t>
  </si>
  <si>
    <t>Hormigón elaborado y concreto de asfalto</t>
  </si>
  <si>
    <t>Acc. Sur, lat. E,  Nº 7567</t>
  </si>
  <si>
    <t>mbenedetti@grupoceosa.com</t>
  </si>
  <si>
    <t>0261-4623800 / 4903014</t>
  </si>
  <si>
    <t>201/2013</t>
  </si>
  <si>
    <t>G - 000707</t>
  </si>
  <si>
    <t>EX-2018-01453686-GDEMZA-DPA#SAYOT</t>
  </si>
  <si>
    <t>C.E.O.S.A - CONSTRUCCIONES ELECTROMECÁNICAS DEL OESTE S.A.</t>
  </si>
  <si>
    <t>30-61199512-8</t>
  </si>
  <si>
    <t>Constructora</t>
  </si>
  <si>
    <t>Acceso Sur Lateral Este 7567 Manz.16 Lote 4 Fracc. 2 y 3</t>
  </si>
  <si>
    <t>mbenedetti@grupoceosa.com, jbevaqua@grupoceosa.com</t>
  </si>
  <si>
    <t>4623800 - 2616899009</t>
  </si>
  <si>
    <t>360/2013</t>
  </si>
  <si>
    <t>G - 000709</t>
  </si>
  <si>
    <t>EX-2018-03082768-GDEMZA-DPA#SAYOT</t>
  </si>
  <si>
    <t>LA AGRICOLA S.A.</t>
  </si>
  <si>
    <t>30-51787491-0</t>
  </si>
  <si>
    <t>ELABORACION Y COMERC. DE VINOS</t>
  </si>
  <si>
    <t>Ruta Prov. N° 33 -km 7,5</t>
  </si>
  <si>
    <t>jgiovanini@familiazuccardi.com, pgiovanniello@familiazuccardi.com, gbriccola@familiazuccardi.com</t>
  </si>
  <si>
    <t>0261-4410000/ 10 - 3576521768</t>
  </si>
  <si>
    <t>341/13</t>
  </si>
  <si>
    <t>G - 000710</t>
  </si>
  <si>
    <t>EX-2018-01660854-GDEMZA-DPA#SAYOT</t>
  </si>
  <si>
    <t>MORENO ALBERTO (ESTACIÓN DE SERVICIO "RÍO ATUEL")</t>
  </si>
  <si>
    <t>20-08022981-0</t>
  </si>
  <si>
    <t>9 de julio 980- 3º Piso -Depto "E"</t>
  </si>
  <si>
    <t>Ruta Provincial 202</t>
  </si>
  <si>
    <t>Jaime Prats</t>
  </si>
  <si>
    <t>mari_moreno2009@hotmail.com, raimondicarlos@yahoo.com.ar</t>
  </si>
  <si>
    <t>02625-423934 / 262-5405323</t>
  </si>
  <si>
    <t>103/2015</t>
  </si>
  <si>
    <t>G - 000711</t>
  </si>
  <si>
    <t>EX-2018-01143644-GDEMZA-DPA#SAYOT</t>
  </si>
  <si>
    <t>RECICLARG RECYCLING TECHNOLOGY S.A.</t>
  </si>
  <si>
    <t>30-71147333-1</t>
  </si>
  <si>
    <t>Recliclado, reacondicionamiento y vta de elementos electrónicos (RAEE)</t>
  </si>
  <si>
    <t>Lopez de Gomara 921</t>
  </si>
  <si>
    <t>faridnallim@reciclarg.com, info@reciclarg.com</t>
  </si>
  <si>
    <t>261-4219497 261-5122926</t>
  </si>
  <si>
    <t>Y8-Y12-Y20-Y21-Y22-Y23-Y25-Y26-Y27-Y29-Y31-Y34-Y35-Y37-Y48</t>
  </si>
  <si>
    <t>216/13</t>
  </si>
  <si>
    <t>G - 000713</t>
  </si>
  <si>
    <t>EX-2018-01464613-GDEMZA-DPA#SAYOT</t>
  </si>
  <si>
    <t>CLOP, RICARDO ERACLIO - MAIPU - Estación de Servicios</t>
  </si>
  <si>
    <t>20-06861455-5</t>
  </si>
  <si>
    <t>Distribuidor de Combustible</t>
  </si>
  <si>
    <t>Acc Este y Agustin Alvarez</t>
  </si>
  <si>
    <t>Fray Luis Beltran</t>
  </si>
  <si>
    <t>beltran@rcc.com.ar, hysriveros@gmail.com.ar,  hysriveros@gmail.com</t>
  </si>
  <si>
    <t>214/2013</t>
  </si>
  <si>
    <t>G - 000714</t>
  </si>
  <si>
    <t>EX-2018-01782376-GDEMZA-DPA#SAYOT</t>
  </si>
  <si>
    <t>SALVADOR, ALICIA y CLOP, GUSTAVO - SAN RAFAEL -</t>
  </si>
  <si>
    <t>30-70744944-2</t>
  </si>
  <si>
    <t>Acceso Este y Los Álamos</t>
  </si>
  <si>
    <t>Ruta 143 y Los Claveles</t>
  </si>
  <si>
    <t>Salto de Las Rosas</t>
  </si>
  <si>
    <t>beltran@rcc.com.ar, hysriveros@gmail.com.ar</t>
  </si>
  <si>
    <t>0260-4497073 - 2614921003</t>
  </si>
  <si>
    <t>302/32013</t>
  </si>
  <si>
    <t>G - 000715</t>
  </si>
  <si>
    <t>EX-2018-04296615-GDEMZA-DPA#SAYOT - TC - EX2018-2518561-DPA#SAYOT</t>
  </si>
  <si>
    <t>S. J. SPORT S.A.</t>
  </si>
  <si>
    <t>30-70990544-5</t>
  </si>
  <si>
    <t>Remedio de Escalada 1782</t>
  </si>
  <si>
    <t>juliohoraciopalau@hotmail.com, jorge_pinato@hotmail.com.ar</t>
  </si>
  <si>
    <t>300/2013</t>
  </si>
  <si>
    <t>G - 000717</t>
  </si>
  <si>
    <t>EX-2018-02786242-GDEMZA-DPA#SAYOT</t>
  </si>
  <si>
    <t>REFRACTARIOS CUYO S.A.</t>
  </si>
  <si>
    <t>30-70750058-8</t>
  </si>
  <si>
    <t>Fab. De ladrillos refractarios</t>
  </si>
  <si>
    <t>Av. Bandera de los Andes 3715</t>
  </si>
  <si>
    <t>refractarioscuyosa@speedy.com.ar, lic.lfgutierrez@gmail.com</t>
  </si>
  <si>
    <t>Y9-Y34-Y48</t>
  </si>
  <si>
    <t>316/2013</t>
  </si>
  <si>
    <t>G - 000718</t>
  </si>
  <si>
    <t>EX-2018-02323819-GDEMZA-DPA#SAYOT</t>
  </si>
  <si>
    <t>AVICOLA LUJAN DE CUYO S.A.</t>
  </si>
  <si>
    <t>30-58022593-0</t>
  </si>
  <si>
    <t>Faenamiento y esviserado de pollo</t>
  </si>
  <si>
    <t>Acc. Sur Km. 9,5</t>
  </si>
  <si>
    <t>consulgreenmendoza@gmail.com, info@avicolalujan.com.ar</t>
  </si>
  <si>
    <t>Y8-Y12-Y13-Y29-Y35-Y48</t>
  </si>
  <si>
    <t>344/2013</t>
  </si>
  <si>
    <t>G - 000719</t>
  </si>
  <si>
    <t>EX-2018-02432162-GDEMZA-DPA#SAYOT</t>
  </si>
  <si>
    <t>LAMAS JAVIER ROBERTO - LUJAN DE CUYO -</t>
  </si>
  <si>
    <t>Lat. Este Acc. Sur 7801</t>
  </si>
  <si>
    <t>timarcaslamas@speedy.com.ar</t>
  </si>
  <si>
    <t>4250255/4258061</t>
  </si>
  <si>
    <t>347/2013</t>
  </si>
  <si>
    <t>G - 000720</t>
  </si>
  <si>
    <t>EX-2018-02518245-GDEMZA-DPA#SAYOT</t>
  </si>
  <si>
    <t>KOENA S.A.</t>
  </si>
  <si>
    <t>30-70855683-8</t>
  </si>
  <si>
    <t>Industria Quimica</t>
  </si>
  <si>
    <t>Pierendrei  245 - Of 4</t>
  </si>
  <si>
    <t>Calle 2 y 9 - Parq. Ind. Eje Norte</t>
  </si>
  <si>
    <t>El Resguardo</t>
  </si>
  <si>
    <t>producionecocloro@gmail.com</t>
  </si>
  <si>
    <t>4260730/    4473065</t>
  </si>
  <si>
    <t>Y8/Y35/Y48</t>
  </si>
  <si>
    <t>342/2013</t>
  </si>
  <si>
    <t>G - 000721</t>
  </si>
  <si>
    <t>EX-2018-01453708-GDEMZA-DPA#SAYOT</t>
  </si>
  <si>
    <t>TELLO, BERTA LILIANA - LA BARRACA L19-</t>
  </si>
  <si>
    <t>Tintoreria / lavanderia</t>
  </si>
  <si>
    <t>Bogotá 7622</t>
  </si>
  <si>
    <t xml:space="preserve"> La Puntilla</t>
  </si>
  <si>
    <t>Las Cañas 1833  (LA BARRACA - L19)</t>
  </si>
  <si>
    <t>261-4317600 / 261-5256800</t>
  </si>
  <si>
    <t>346/2013</t>
  </si>
  <si>
    <t>G - 000722</t>
  </si>
  <si>
    <t>EX-2018-01595685-GDEMZA-DPA#SAYOT</t>
  </si>
  <si>
    <t>SM S.R.L - LAS HERAS -</t>
  </si>
  <si>
    <t>30-64468606-6</t>
  </si>
  <si>
    <t>San Martin N° 1320</t>
  </si>
  <si>
    <t>marielasusancruz@gmail.com, gestoriaambiental.mza@gmail</t>
  </si>
  <si>
    <t>2616631257/ 2615902626</t>
  </si>
  <si>
    <t>304/2013</t>
  </si>
  <si>
    <t>G - 000723</t>
  </si>
  <si>
    <t>EX-2018-02582476-GDEMZA-DPA#SAYOT</t>
  </si>
  <si>
    <t>LAMAS ROBERTO JAVIER - CAPITAL</t>
  </si>
  <si>
    <t>Corrientes Nº 350</t>
  </si>
  <si>
    <t>Corrientes N° 350</t>
  </si>
  <si>
    <t>multimarcasrodeo@gmail.com</t>
  </si>
  <si>
    <t>4250255/4258061/  4292698</t>
  </si>
  <si>
    <t>322/2013</t>
  </si>
  <si>
    <t>G - 000725</t>
  </si>
  <si>
    <t>EX-2018-01533639-GDEMZA-DPA#SAYOT</t>
  </si>
  <si>
    <t>GIMENEZ JOSE ANTONIO - LAS HERAS -</t>
  </si>
  <si>
    <t>Ferretería - Fraccionamiento prod. Quimicos</t>
  </si>
  <si>
    <t>4300006  /  4306932</t>
  </si>
  <si>
    <t>Y8-Y42-48</t>
  </si>
  <si>
    <t>320/2013</t>
  </si>
  <si>
    <t>G - 000726</t>
  </si>
  <si>
    <t>EX-2018-03419832-GDEMZA-DPA#SAYOT</t>
  </si>
  <si>
    <t>KORY S.A.</t>
  </si>
  <si>
    <t>30-70812199-8</t>
  </si>
  <si>
    <t>FRIGORIFICO - MATADERO</t>
  </si>
  <si>
    <t>Paso Hondo s/n</t>
  </si>
  <si>
    <t>El Borbollón</t>
  </si>
  <si>
    <t>antoniocapitanelli55@gmail.com, maximogavio@hotmail.com</t>
  </si>
  <si>
    <t>2616116766 - 2614548372</t>
  </si>
  <si>
    <t>309/2013</t>
  </si>
  <si>
    <t>G - 000727</t>
  </si>
  <si>
    <t>EX-2018-01621841-GDEMZA-DPA#SAYOT</t>
  </si>
  <si>
    <t>TAPICROM S.A.</t>
  </si>
  <si>
    <t>30-70959221-8</t>
  </si>
  <si>
    <t>Fabricación de muebles metálicos</t>
  </si>
  <si>
    <t>Calle N° 12 Manzana RT Lote 3 Parq Ind. PYMEN</t>
  </si>
  <si>
    <t>consulgreenmendoza@gmail.com, tapicromsa@hotmail.com</t>
  </si>
  <si>
    <t>4473005 7 261-5133529</t>
  </si>
  <si>
    <t>Y8-Y12-Y13-Y48</t>
  </si>
  <si>
    <t>299/2013</t>
  </si>
  <si>
    <t>G - 000728</t>
  </si>
  <si>
    <t>EX-2018-01543768-GDEMZA-DPA#SAYOT</t>
  </si>
  <si>
    <t>ELSA DEL CARMEN CHALER</t>
  </si>
  <si>
    <t>27-05951964-1</t>
  </si>
  <si>
    <t>TINTORERÍA</t>
  </si>
  <si>
    <t>Alvarez Thomas 608</t>
  </si>
  <si>
    <t>maria_rita_juan@hotmail.com</t>
  </si>
  <si>
    <t>Y41</t>
  </si>
  <si>
    <t>368/2013</t>
  </si>
  <si>
    <t>G - 000729</t>
  </si>
  <si>
    <t>EX-2018-01607706-GDEMZA-DPA#SAYOT</t>
  </si>
  <si>
    <t>INDUSTRIAS CHIRINO S.A</t>
  </si>
  <si>
    <t>30-59118176-5</t>
  </si>
  <si>
    <t>FABRICA DE CERAMICAS ROJAS</t>
  </si>
  <si>
    <t>INDUSTIA DE LA CONSTRUCCION</t>
  </si>
  <si>
    <t>Ruta 40 Km. 13,5</t>
  </si>
  <si>
    <t>El Borbollón .</t>
  </si>
  <si>
    <t>cristian.alvarez@industriaschirino.com</t>
  </si>
  <si>
    <t>261-4598400 261-5325542</t>
  </si>
  <si>
    <t>402/2013</t>
  </si>
  <si>
    <t>G - 000730</t>
  </si>
  <si>
    <t>EX-2022-01449285-   -GDEMZA-DPA#SAYOT - TC - EX-2018-03267127-GDEMZA-DPA#SAYOT</t>
  </si>
  <si>
    <t>DORINKA S.R.L. - SAN MARTIN -</t>
  </si>
  <si>
    <t>Avenida Saan Martin sur 2575</t>
  </si>
  <si>
    <t>Boulogne Sur Mer 700</t>
  </si>
  <si>
    <t xml:space="preserve">jorge.cuadra@gdnargentina.com, carlos.amaya@gdnargentina.com
</t>
  </si>
  <si>
    <t>451/2013</t>
  </si>
  <si>
    <t>G - 000731</t>
  </si>
  <si>
    <t>EX-2022-01449249-   -GDEMZA-DPA#SAYOT - TC - EX-2018-03220895-GDEMZA-DPA#SAYOT</t>
  </si>
  <si>
    <t>DORINKA S.R.L. - GODOY CRUZ -</t>
  </si>
  <si>
    <t>San Martín Sur 2575</t>
  </si>
  <si>
    <t xml:space="preserve">Benegas </t>
  </si>
  <si>
    <t>jorge.cuadra@gdnargentina.com, pablo.madami@gdnargentina.com</t>
  </si>
  <si>
    <t>261-4391152 / 2614323260</t>
  </si>
  <si>
    <t>395/2013</t>
  </si>
  <si>
    <t>G - 000732</t>
  </si>
  <si>
    <t>EX-2022-01449161-   -GDEMZA-DPA#SAYOT - TC - EX-2018-03220919-GDEMZA-DPA#SAYOT</t>
  </si>
  <si>
    <t>DORINKA S.R.L. - MAIPU -</t>
  </si>
  <si>
    <t>Maza 470</t>
  </si>
  <si>
    <t>Maza  470</t>
  </si>
  <si>
    <t>jorge.cuadra@gdnargentina.com, leandro.ceballos@gdnargentina.com</t>
  </si>
  <si>
    <t>Y8-Y9/Y12-Y29-Y41/Y45/Y48</t>
  </si>
  <si>
    <t>454/2013</t>
  </si>
  <si>
    <t>G - 000733</t>
  </si>
  <si>
    <t>EX-2018-01132096-GDEMZA-DPA#SAYOT</t>
  </si>
  <si>
    <t>LA ELCHA MINERA INDUSTRIAL S.A.</t>
  </si>
  <si>
    <t>30-56788697-9</t>
  </si>
  <si>
    <t>Molienda de minerales</t>
  </si>
  <si>
    <t>Parque Industrial Provincial (PIP)</t>
  </si>
  <si>
    <t>laelcha@laelcha.com, sebassarda@hotmail.com, joseantoniocara@laelcha.com</t>
  </si>
  <si>
    <t>261-5888739</t>
  </si>
  <si>
    <t>367/2013</t>
  </si>
  <si>
    <t>G - 000734</t>
  </si>
  <si>
    <t>EX-2024-4676129-GDEMZA-DPA#SAYOT TC EX-2018-01501637-GDEMZA-DPA#SAYOT</t>
  </si>
  <si>
    <t>TySA S.A.</t>
  </si>
  <si>
    <t>30-69729380-5</t>
  </si>
  <si>
    <t xml:space="preserve">Transporte y tratam. de residuos patologico </t>
  </si>
  <si>
    <t>EMPRESAS TRANSPORTISTAS / OPERADORAS DE RRPP , PATOLOGICOS Y URBANOS- LAB. AMBIENT - RES</t>
  </si>
  <si>
    <t>Necochea  183 - 2º piso</t>
  </si>
  <si>
    <t xml:space="preserve">Calle de Acceso s/n - Campo Corcemar </t>
  </si>
  <si>
    <t>Capdeville</t>
  </si>
  <si>
    <t>esteban.tita@tysa.com.ar, mesther.villalba@tysa.com.ar</t>
  </si>
  <si>
    <t xml:space="preserve">4251027 / 2966562886
</t>
  </si>
  <si>
    <t>Y8-Y9-Y18-Y48</t>
  </si>
  <si>
    <t>343/2013</t>
  </si>
  <si>
    <t>G - 000735</t>
  </si>
  <si>
    <t>EX-2018-01541386-GDEMZA-DPA#SAYOT</t>
  </si>
  <si>
    <t>MALENTACCHI FERNANDO - CANTERA TUPUNGATO Km 51 -</t>
  </si>
  <si>
    <t>20-08159910-7</t>
  </si>
  <si>
    <t>Extracción de áridos</t>
  </si>
  <si>
    <t>Rodriguez Peña 5402</t>
  </si>
  <si>
    <t>Ruta 40,  Km. 51</t>
  </si>
  <si>
    <t>transporte@malentacchi.com.ar, rubenrijavec@gmail.com</t>
  </si>
  <si>
    <t>450/2013</t>
  </si>
  <si>
    <t>G - 000736</t>
  </si>
  <si>
    <t>EX-2018-01541441-GDEMZA-DPA#SAYOT</t>
  </si>
  <si>
    <t>MALENTACCHI FERNANDO - CANTERA TUPUNGATO KM 61 -</t>
  </si>
  <si>
    <t>Ruta 40,  Km. 61</t>
  </si>
  <si>
    <t>oficina@malentacchi.com.ar, malentachi@nttec.com.ar</t>
  </si>
  <si>
    <t>4973760/6299/ 4817560</t>
  </si>
  <si>
    <t>677/2013</t>
  </si>
  <si>
    <t>G - 000737</t>
  </si>
  <si>
    <t>EX-2018-01143651-GDEMZA-DPA#SAYOT</t>
  </si>
  <si>
    <t>NUEVA GENERACION S.A. - MAIPU</t>
  </si>
  <si>
    <t xml:space="preserve">San Jose </t>
  </si>
  <si>
    <t>San Francisco del Monte 215</t>
  </si>
  <si>
    <t>4315933/    2616524409</t>
  </si>
  <si>
    <t>594/2013</t>
  </si>
  <si>
    <t>G - 000738</t>
  </si>
  <si>
    <t>EX-2018-01563319-GDEMZA-DPA#SAYOT</t>
  </si>
  <si>
    <t>AUTOTRANSPORTE EL TRAPICHE S.R.L. - VISTALBA -</t>
  </si>
  <si>
    <t>Roque Saenz Peña y Gugliotti</t>
  </si>
  <si>
    <t>Vistalba</t>
  </si>
  <si>
    <t>proexpan@gmail.com, davidmedina@eltrapicheonline.com.ar, mantenimiento@eltrapicheonline.com.ar</t>
  </si>
  <si>
    <t>261-4360287 261-4539469</t>
  </si>
  <si>
    <t>532/2013</t>
  </si>
  <si>
    <t>G - 000739</t>
  </si>
  <si>
    <t>EX-2018-01536335-GDEMZA-DPA#SAYOT</t>
  </si>
  <si>
    <t>MALENTACCHI FERNANDO - CANTERA AGUA DE LAS AVISPAS</t>
  </si>
  <si>
    <t xml:space="preserve">Agua de Las Avispas </t>
  </si>
  <si>
    <t>Carrizal</t>
  </si>
  <si>
    <t>malentachi@nttec.com.ar</t>
  </si>
  <si>
    <t>541/2013</t>
  </si>
  <si>
    <t>G - 000740</t>
  </si>
  <si>
    <t>EX-2018-01724930-GDEMZA-DPA#SAYOT</t>
  </si>
  <si>
    <t>MALENTACCHI FERNANDO - CANTERA BARRANCAS Km 29 Y 30</t>
  </si>
  <si>
    <t>Barrancas Km 29 y 30</t>
  </si>
  <si>
    <t>Barrancas</t>
  </si>
  <si>
    <t>rubenrijavec@gmail.com, transporte@malentacchi.com.ar</t>
  </si>
  <si>
    <t>449/2013</t>
  </si>
  <si>
    <t>G - 000741</t>
  </si>
  <si>
    <t>EX-2018-01143654-GDEMZA-DPA#SAYOT</t>
  </si>
  <si>
    <t>DOMINIO DEL PLATA S.A.</t>
  </si>
  <si>
    <t>30-70314814-6</t>
  </si>
  <si>
    <t>ELABORACION Y FRACC. DE VINOS</t>
  </si>
  <si>
    <t>Cochabamba 7801</t>
  </si>
  <si>
    <t>cdaguerre@sbwines.com.ar, edelpopolo@dominiodelplata.com.ar</t>
  </si>
  <si>
    <t>4989200 / 2613002007</t>
  </si>
  <si>
    <t>Y8-Y12-Y29-Y35-Y41-Y48</t>
  </si>
  <si>
    <t>686/2013</t>
  </si>
  <si>
    <t>G - 000742</t>
  </si>
  <si>
    <t>EX-2018-01188532-GDEMZA-DPA#SAYOT</t>
  </si>
  <si>
    <t>ENOGRAFICA S.A.</t>
  </si>
  <si>
    <t>30-71194961-1</t>
  </si>
  <si>
    <t>IMPRENTA</t>
  </si>
  <si>
    <t>Anchorena 1521</t>
  </si>
  <si>
    <t>Mayor Drunmond</t>
  </si>
  <si>
    <t xml:space="preserve">Anchorena 1521 </t>
  </si>
  <si>
    <t>julio@enografica.com.ar, awelti@enografica.com.ar, lic.lfgutierrez@gmail.com</t>
  </si>
  <si>
    <t>2614762185/ 2614762185</t>
  </si>
  <si>
    <t>562/2013</t>
  </si>
  <si>
    <t>3092723-3092594</t>
  </si>
  <si>
    <t>G - 000743</t>
  </si>
  <si>
    <t>EX-2018-01547276-GDEMZA-DPA#SAYOT</t>
  </si>
  <si>
    <t>MENDOZA LOGISTICA S.R.L.</t>
  </si>
  <si>
    <t>30-70996127-2</t>
  </si>
  <si>
    <t>transporte de cargas</t>
  </si>
  <si>
    <t>Republica del Libano N° 965</t>
  </si>
  <si>
    <t>mendozalogistica@yahoo.com.ar, estudioochipinti@gmail.com, gonzalosantander@cuyoconsultora.com.ar</t>
  </si>
  <si>
    <t>561/2013</t>
  </si>
  <si>
    <t>G - 000744</t>
  </si>
  <si>
    <t>EX-2018-01515063-GDEMZA-DPA#SAYOT</t>
  </si>
  <si>
    <t>MDZ LOGISTICA S.R.L.</t>
  </si>
  <si>
    <t>33-70996123-9</t>
  </si>
  <si>
    <t>transporte de Cargas</t>
  </si>
  <si>
    <t>República del Líbano N° 899</t>
  </si>
  <si>
    <t xml:space="preserve">Godoy Cruz </t>
  </si>
  <si>
    <t>mendozalogistica@yahoo.com.ar, estudioocchipinti@gmail.com, gonzalosantander@cuyoconsultora.com.ar</t>
  </si>
  <si>
    <t>679/2013</t>
  </si>
  <si>
    <t>G - 000746</t>
  </si>
  <si>
    <t>EX-2018-02518703-GDEMZA-DPA#SAYOT</t>
  </si>
  <si>
    <t>MULTI-COLOR ARGENTINA S.A.</t>
  </si>
  <si>
    <t>30-71177601-6</t>
  </si>
  <si>
    <t>Imprenta - gráfica</t>
  </si>
  <si>
    <t>Rodriguez Peña 2126</t>
  </si>
  <si>
    <t>Gral Gutiérrez</t>
  </si>
  <si>
    <t>2616631257/ 2615502453</t>
  </si>
  <si>
    <t>676/2013</t>
  </si>
  <si>
    <t>G - 000747</t>
  </si>
  <si>
    <t>EX-2018-0853498-GDEMZA-DPA#SAYOT</t>
  </si>
  <si>
    <t>ALLUB HNOS. S.R.L. - Distribuidor Diesell - Russell, Maipú -</t>
  </si>
  <si>
    <t>Urquiza 6630</t>
  </si>
  <si>
    <t>0263-4461222   2634304943</t>
  </si>
  <si>
    <t>552/2013</t>
  </si>
  <si>
    <t>si</t>
  </si>
  <si>
    <t>G - 000748</t>
  </si>
  <si>
    <t>EX-2018-02518576-GDEMZA-DPA#SAYOT</t>
  </si>
  <si>
    <t>CARRILLO S.A.</t>
  </si>
  <si>
    <t>30-70838271-6</t>
  </si>
  <si>
    <t>Taller de tren delantero</t>
  </si>
  <si>
    <t xml:space="preserve">Jose Federico Moreno 2824 </t>
  </si>
  <si>
    <t>solpyme@hotmail.com, carrilloalineacion@yahoo.com.ar</t>
  </si>
  <si>
    <t>684/2013</t>
  </si>
  <si>
    <t>G - 000749</t>
  </si>
  <si>
    <t>EX-2018-01621850-GDEMZA-DPA#SAYOT</t>
  </si>
  <si>
    <t>TAMER INDUSTRIAL S.A.</t>
  </si>
  <si>
    <t>30-70786730-9</t>
  </si>
  <si>
    <t>metalmecanica</t>
  </si>
  <si>
    <t>Julio A Roca 1899 esq. Martinez de Rosas 974</t>
  </si>
  <si>
    <t>marcos_grana@yahoo.com.ar, compras@tamerindsa.com.ar, ftittoto@tamerindsa.com.ar</t>
  </si>
  <si>
    <t xml:space="preserve">4396468 / 2616144822
</t>
  </si>
  <si>
    <t>682/2013</t>
  </si>
  <si>
    <t>G - 000750</t>
  </si>
  <si>
    <t>EX-2018-02275713-GDEMZA-DPA#SAYOT</t>
  </si>
  <si>
    <t>DISTROSOL S.A.</t>
  </si>
  <si>
    <t>30-69467868-4</t>
  </si>
  <si>
    <t>DISTRIB. DE BEBIDAS Y GASEOSAS</t>
  </si>
  <si>
    <t xml:space="preserve">Calle 8, Esquina 5, Parque Ind. Eje Norte </t>
  </si>
  <si>
    <t xml:space="preserve">El Resguardo </t>
  </si>
  <si>
    <t>pdespous@distrosol.com.ar, onguarnieri@yahoo.com.ar</t>
  </si>
  <si>
    <t>4473333 - 2615753003</t>
  </si>
  <si>
    <t>Y8-Y9-Y12-Y29-Y41-Y48</t>
  </si>
  <si>
    <t>678/2013</t>
  </si>
  <si>
    <t>G - 000751</t>
  </si>
  <si>
    <t>EX-2025-00819241-   -GDEMZA-DPA#SAYOT - TC - EX-2018-02071449-GDEMZA-DPA#SAYOT</t>
  </si>
  <si>
    <t>GRUPO SCHIAVONE S.A.S</t>
  </si>
  <si>
    <t>33-71701651-9</t>
  </si>
  <si>
    <t>Ing. Lange y Pierola</t>
  </si>
  <si>
    <t xml:space="preserve">Ciudad </t>
  </si>
  <si>
    <t>romeroanion@yahoo.com.ar, felipeschiavone13@gmail.com, ypfschiavone@gmail.com</t>
  </si>
  <si>
    <t>02625-422103/ 2625665965</t>
  </si>
  <si>
    <t>680/2013</t>
  </si>
  <si>
    <t>G - 000752</t>
  </si>
  <si>
    <t>EX-2018-01464647-GDEMZA-DPA#SAYOT</t>
  </si>
  <si>
    <t>CLOP ORLANDO RUBEN - MAIPU - Revendedor de Combustible Diesel</t>
  </si>
  <si>
    <t>Revendedor comb. Diesel</t>
  </si>
  <si>
    <t xml:space="preserve">Fray Luis Beltran </t>
  </si>
  <si>
    <t>681/2013</t>
  </si>
  <si>
    <t>G - 000754</t>
  </si>
  <si>
    <t>EX-2018-01481868-GDEMZA-DPA#SAYOT</t>
  </si>
  <si>
    <t>LUBRICENTRO Km 8 de JUAN CARLOS CAMPAGNA</t>
  </si>
  <si>
    <t>20-06906052-9</t>
  </si>
  <si>
    <t xml:space="preserve">Ruta Nac Nº 50  </t>
  </si>
  <si>
    <t xml:space="preserve">Km 8 </t>
  </si>
  <si>
    <t xml:space="preserve">jlvernier@speedy.com.ar, j.l.venier@hotmail.com, </t>
  </si>
  <si>
    <t>42/2014</t>
  </si>
  <si>
    <t>G - 000756</t>
  </si>
  <si>
    <t>EX-2018-02582502-GDEMZA-DPA#SAYOT</t>
  </si>
  <si>
    <t>MECANICA NAZAR de MARCELO FABIAN NAZAR</t>
  </si>
  <si>
    <t>20-21687632-7</t>
  </si>
  <si>
    <t>Mecánica de automotores</t>
  </si>
  <si>
    <t>Cervantes 1201</t>
  </si>
  <si>
    <t>VISTALBA</t>
  </si>
  <si>
    <t>mecanicanazar@gmail.com</t>
  </si>
  <si>
    <t>43/2014</t>
  </si>
  <si>
    <t>G - 000757</t>
  </si>
  <si>
    <t>EX-2018-01658972-GDEMZA-DPA#SAYOT</t>
  </si>
  <si>
    <t>DESARROLLADORA MONTEVERDI S.A.</t>
  </si>
  <si>
    <t>30-71210666-9</t>
  </si>
  <si>
    <t>Depósito de materiales y taller metalúrgico</t>
  </si>
  <si>
    <t>Acceso sur Km. 40</t>
  </si>
  <si>
    <t>Acceso sur Km. 40 y Castro Barros</t>
  </si>
  <si>
    <t>gmonteverdi@monteverdiconstrucciones.com, renzo_scilipoti@hotmail.com</t>
  </si>
  <si>
    <t>64/2014</t>
  </si>
  <si>
    <t>G - 000759</t>
  </si>
  <si>
    <t>EX2019-7138779-GDEMZA-DPA#SAYOT TC EX-2018-01561540-GDEMZA-DPA#SAYOT</t>
  </si>
  <si>
    <t>ZEFERINO DANTE FABIAN</t>
  </si>
  <si>
    <t>20-22407451-5</t>
  </si>
  <si>
    <t>Juaquín V. González  186</t>
  </si>
  <si>
    <t xml:space="preserve">Villa Marini </t>
  </si>
  <si>
    <t>4225954 - 2613050927</t>
  </si>
  <si>
    <t>41/2014</t>
  </si>
  <si>
    <t>G - 000760</t>
  </si>
  <si>
    <t>EX-2018-01595606-GDEMZA-DPA#SAYOT</t>
  </si>
  <si>
    <t>CARLONI NANCY</t>
  </si>
  <si>
    <t>27-12711827-8</t>
  </si>
  <si>
    <t>Los Sauces N° 1835</t>
  </si>
  <si>
    <t>nancycarloni@yahoo.com.ar, info@higieneseguridad.com</t>
  </si>
  <si>
    <t>2604 617819</t>
  </si>
  <si>
    <t>39/2014</t>
  </si>
  <si>
    <t>G - 000761</t>
  </si>
  <si>
    <t>EX-2018-00696929-GDEMZA-DPA#SAYOT</t>
  </si>
  <si>
    <t>RENAISSANCE S.A.</t>
  </si>
  <si>
    <t>30-71239600-4</t>
  </si>
  <si>
    <t>Venta de bebidas alcoholicas</t>
  </si>
  <si>
    <t xml:space="preserve">Terrada y Azcuénaga </t>
  </si>
  <si>
    <t>administracion@bodegarenaissance.com.ar, jorgevera_segu@yahoo.com.ar</t>
  </si>
  <si>
    <t>4980233 / 261-6115694</t>
  </si>
  <si>
    <t>44/2014</t>
  </si>
  <si>
    <t>G - 000763</t>
  </si>
  <si>
    <t>EX-2018-01533885-GDEMZA-DPA#SAYOT</t>
  </si>
  <si>
    <t>ROVERES VITALINO GUALBERTO</t>
  </si>
  <si>
    <t>20-06879000-0</t>
  </si>
  <si>
    <t>Juan XXIII 325</t>
  </si>
  <si>
    <t>La Paz 393</t>
  </si>
  <si>
    <t>46/2014</t>
  </si>
  <si>
    <t>G - 000764</t>
  </si>
  <si>
    <t>EX-2024-07218808-   -GDEMZA-DPA#SAYOT - TC - EX-2018-02582543-GDEMZA-DPA#SAYOT</t>
  </si>
  <si>
    <t>PREVIC S.A.</t>
  </si>
  <si>
    <t>30-71600260-4</t>
  </si>
  <si>
    <t>Lavalle  657</t>
  </si>
  <si>
    <t>graficalavalle@hotmail.com, martinvillegas114@gmail.com</t>
  </si>
  <si>
    <t>16/2014</t>
  </si>
  <si>
    <t>G - 000765</t>
  </si>
  <si>
    <t>EX-2018-02066652-GDEMZA-DPA#SAYOT</t>
  </si>
  <si>
    <t>TEMIS S.A.</t>
  </si>
  <si>
    <t>30-70951283-4</t>
  </si>
  <si>
    <t>Ing. , const. de obras civiles y metalúrgicas - montajes industriales</t>
  </si>
  <si>
    <t>Callejón comunero s/n° con salida a Castro Barros al 1300, Fracción F</t>
  </si>
  <si>
    <t>Callejón comunero s/n° con salida a Castro Barros al 1300 , Fracción F</t>
  </si>
  <si>
    <t>info@temissa.com.ar, brenda_galdeano@temissa.com.ar</t>
  </si>
  <si>
    <t>4790104 / 2616123748</t>
  </si>
  <si>
    <t>Y8-Y12-Y9-Y48</t>
  </si>
  <si>
    <t>11/2014</t>
  </si>
  <si>
    <t>G - 000766</t>
  </si>
  <si>
    <t>EX-2018-02696731-GDEMZA-DPA#SAYOT</t>
  </si>
  <si>
    <t>DYCASA S.A. - GREEN S.A. - PERALES AGUIAR S.A. - UTE -</t>
  </si>
  <si>
    <t>30-71220376-1</t>
  </si>
  <si>
    <t>Construcción de caminos - Obrador</t>
  </si>
  <si>
    <t>Acceso Este, lat. Sur,  Nº 6247</t>
  </si>
  <si>
    <t>Ruta Nº144 Km 784</t>
  </si>
  <si>
    <t xml:space="preserve">El Sosneado </t>
  </si>
  <si>
    <t>gmvlopez@speedy.com.ar</t>
  </si>
  <si>
    <t>0261-4255201/ 4051550  /  4057550</t>
  </si>
  <si>
    <t>146/2014</t>
  </si>
  <si>
    <t>G - 000767</t>
  </si>
  <si>
    <t>EX-2018-01535537-GDEMZA-DPA#SAYOT</t>
  </si>
  <si>
    <t>MALENTACCHI FERNANDO - CANTERA CARRIZAL 145 -</t>
  </si>
  <si>
    <t>Carrizal Nº 145</t>
  </si>
  <si>
    <t>63/2014</t>
  </si>
  <si>
    <t>G - 000768</t>
  </si>
  <si>
    <t>EX-2018-01536190-GDEMZA-DPA#SAYOT</t>
  </si>
  <si>
    <t>MALENTACCHI FERNANDO - TALLER MECÁNICO - MAIPU</t>
  </si>
  <si>
    <t>transporte@malentacchi.com.ar, RUBENRIJAVEC@GMAIL.COM</t>
  </si>
  <si>
    <t>56/2014</t>
  </si>
  <si>
    <t>G - 000769</t>
  </si>
  <si>
    <t>EX-2018-01504083-GDEMZA-DPA#SAYOT</t>
  </si>
  <si>
    <t>COTO C.I.C.S.A.</t>
  </si>
  <si>
    <t>30-54808315-6</t>
  </si>
  <si>
    <t>Videla Correa 628</t>
  </si>
  <si>
    <t>Videla Correa  628</t>
  </si>
  <si>
    <t>mariela.fior@coto.com.ar, jvictoria@mendozaabogados.com.ar</t>
  </si>
  <si>
    <t xml:space="preserve">2612587750 / 2614547224
</t>
  </si>
  <si>
    <t>45/2014</t>
  </si>
  <si>
    <t>G - 000770</t>
  </si>
  <si>
    <t>EX-2018-03419863-GDEMZA-DPA#SAYOT</t>
  </si>
  <si>
    <t>CASARENA BODEGAS Y VIÑEDOS S.A.</t>
  </si>
  <si>
    <t>30-70182989-8</t>
  </si>
  <si>
    <t>VITIVINICOLA</t>
  </si>
  <si>
    <t>Espejo N° 533</t>
  </si>
  <si>
    <t>Brandsen N° 505</t>
  </si>
  <si>
    <t>seguridadlaboral@casarena.com, claudia@casarena.com</t>
  </si>
  <si>
    <t>Y4-Y8-Y12-Y13-Y48</t>
  </si>
  <si>
    <t>65/2014</t>
  </si>
  <si>
    <t>G - 000772</t>
  </si>
  <si>
    <t>EX-2018-02337388-GDEMZA-DPA#SAYOT</t>
  </si>
  <si>
    <t>TRAPOLIMP S.R.L.</t>
  </si>
  <si>
    <t>30-52302079-6</t>
  </si>
  <si>
    <t>Fab de hilados textiles de algodón -lavadero</t>
  </si>
  <si>
    <t>Alvarez Condarco 2180, B° AERONAUTICO</t>
  </si>
  <si>
    <t>administracion@trapolimp.com.ar, sraiti.asociados@gmail.com</t>
  </si>
  <si>
    <t>4473337 / 2615721934</t>
  </si>
  <si>
    <t>61/2014</t>
  </si>
  <si>
    <t>G - 000773</t>
  </si>
  <si>
    <t>EX-2018-03082789-GDEMZA-DPA#SAYOT</t>
  </si>
  <si>
    <t>GOBIERNO DE MENDOZA - SUBSECRETARIA DE DEPORTES - Estadio Malvinas Argentinas-</t>
  </si>
  <si>
    <t>50-00001914-0</t>
  </si>
  <si>
    <t>Parque Gral. San Martín s/n</t>
  </si>
  <si>
    <t>CAPITAL-MZA</t>
  </si>
  <si>
    <t>privadadeportes@mendoza.gov.ar</t>
  </si>
  <si>
    <t>Y10-Y48</t>
  </si>
  <si>
    <t>102/2014</t>
  </si>
  <si>
    <t>G - 000775</t>
  </si>
  <si>
    <t>EX-2018-00413045-GDEMZA-DPA#SAYOT</t>
  </si>
  <si>
    <t>AUTOMOVIL CLUB ARGENTINO - LA PAZ</t>
  </si>
  <si>
    <t>Bandera de Los Andes y Gobernador Videla</t>
  </si>
  <si>
    <t xml:space="preserve">25 DE MAYO 293 </t>
  </si>
  <si>
    <t>La Paz</t>
  </si>
  <si>
    <t>LA PAZ</t>
  </si>
  <si>
    <t>261-3619599 / 351-6089186 / 2657504229</t>
  </si>
  <si>
    <t>403/2014</t>
  </si>
  <si>
    <t>G - 000776</t>
  </si>
  <si>
    <t>EX-2018-02274984-GDEMZA-DPA#SAYOT</t>
  </si>
  <si>
    <t>DELTACOM S.A.</t>
  </si>
  <si>
    <t>30-65518973-0</t>
  </si>
  <si>
    <t>Acceso Sur Lat Oeste s/n  casi.esq. Calle Rawson</t>
  </si>
  <si>
    <t>edgardo.guasco@veolia.com, fabian.coto@veolia.com, ar.pss.mendoza@veolia.com</t>
  </si>
  <si>
    <t>Y8-Y12-Y22-Y23-Y29-Y31-Y34-Y35-Y48</t>
  </si>
  <si>
    <t>269/2014</t>
  </si>
  <si>
    <t>G - 000777</t>
  </si>
  <si>
    <t>EX-2022-00329718- -GDEMZA-DPA#SAYOT - TC - EX-2018-01782367-GDEMZA-DPA#SAYOT</t>
  </si>
  <si>
    <t>HACHI S.R.L.</t>
  </si>
  <si>
    <t>30-71547548-7</t>
  </si>
  <si>
    <t xml:space="preserve">Carril Retamo 89 </t>
  </si>
  <si>
    <t>PHILIPPS</t>
  </si>
  <si>
    <t>barberohector@hotmail.com, carlosjbaggio@yahoo.com.ar, barberoflorenciaypf@gmail.com</t>
  </si>
  <si>
    <t>02634-487056</t>
  </si>
  <si>
    <t>297/2014</t>
  </si>
  <si>
    <t>G - 000778</t>
  </si>
  <si>
    <t>EX-2018-01595718-GDEMZA-DPA#SAYOT</t>
  </si>
  <si>
    <t>SM S.R.L - LUJÁN DE CUYO -</t>
  </si>
  <si>
    <t>San Martin 1320</t>
  </si>
  <si>
    <t>Belgrano y Santa María de Oro 79</t>
  </si>
  <si>
    <t>2615902626 - 2616631257</t>
  </si>
  <si>
    <t>301/2014</t>
  </si>
  <si>
    <t>G - 000779</t>
  </si>
  <si>
    <t>EX-2018-02337339-GDEMZA-DPA#SAYOT</t>
  </si>
  <si>
    <t>ENOBO S.A.</t>
  </si>
  <si>
    <t>30-70967207-6</t>
  </si>
  <si>
    <t xml:space="preserve">Venta de insumos para Industria Vitivinícola </t>
  </si>
  <si>
    <t>Juan M. Fangio Nº 1055 Lat,. Acc. Sur</t>
  </si>
  <si>
    <t>Juan M. Fangio Nº 1055 Lat., Acc Sur</t>
  </si>
  <si>
    <t>administracion@enobo.com.ar</t>
  </si>
  <si>
    <t xml:space="preserve">4520929/ 6294   </t>
  </si>
  <si>
    <t>146/2015</t>
  </si>
  <si>
    <t>G - 000780</t>
  </si>
  <si>
    <t>EX-2018-02275697-GDEMZA-DPA#SAYOT</t>
  </si>
  <si>
    <t>CAPAC S.R.L.</t>
  </si>
  <si>
    <t>30-68931658-8</t>
  </si>
  <si>
    <t>Taller Metalúrgico</t>
  </si>
  <si>
    <t>Rodriguez Peña 5321</t>
  </si>
  <si>
    <t>capac@capac.com.ar, alejandrogriffouliere@capac.com.ar, yunesmarta1974@gmail.com</t>
  </si>
  <si>
    <t>411/2014</t>
  </si>
  <si>
    <t>G - 000785</t>
  </si>
  <si>
    <t>EX-2018-02582525-GDEMZA-DPA#SAYOT</t>
  </si>
  <si>
    <t>FILDAGUA S.A. - LAUGERO CONSTRUC. S.A. - U.T.E. -</t>
  </si>
  <si>
    <t>33-70995490-9</t>
  </si>
  <si>
    <t>Operadora vertedero controlado de RSU</t>
  </si>
  <si>
    <t>San Martín 1136 PB Depto. 41</t>
  </si>
  <si>
    <t>Carril Los Baños s/n</t>
  </si>
  <si>
    <t>Capiz</t>
  </si>
  <si>
    <t>alaugero@laugero.com.ar</t>
  </si>
  <si>
    <t>299/2015</t>
  </si>
  <si>
    <t>G - 000786</t>
  </si>
  <si>
    <t>EX-2018-02582561-GDEMZA-DPA#SAYOT</t>
  </si>
  <si>
    <t>FRANCO, NICOLAS GABRIEL</t>
  </si>
  <si>
    <t>20-31854735-2</t>
  </si>
  <si>
    <t>F.Fader 1933 - Bº Santa Ana</t>
  </si>
  <si>
    <t>F. Fader 6287  esq. Esquiu - Bº Santa Ana</t>
  </si>
  <si>
    <t>franconicolasgabriel@hotmail.com; l</t>
  </si>
  <si>
    <t>331/2014</t>
  </si>
  <si>
    <t>G - 000787</t>
  </si>
  <si>
    <t>EX-2018-00911527-GDEMZA-DPA#SAYOT</t>
  </si>
  <si>
    <t>TIMLO S.A.</t>
  </si>
  <si>
    <t>30-71580589-4</t>
  </si>
  <si>
    <t>Panamericana Nº 2850</t>
  </si>
  <si>
    <t>timlosa2017@gmail.com</t>
  </si>
  <si>
    <t>363/2014</t>
  </si>
  <si>
    <t>G - 000788</t>
  </si>
  <si>
    <t>EX-2018-01621856-GDEMZA-DPA#SAYOT</t>
  </si>
  <si>
    <t>DIESEL LANGE S.R.L.</t>
  </si>
  <si>
    <t>33-57444163-9</t>
  </si>
  <si>
    <t>Venta de maq. Agrícolas y serv. Técnico</t>
  </si>
  <si>
    <t>Elpidio Gonzalez 7951</t>
  </si>
  <si>
    <t xml:space="preserve">Guaymallen </t>
  </si>
  <si>
    <t>Rodriguez Peña 2045</t>
  </si>
  <si>
    <t>cormionicolas@diesellange.com.ar,  afernandezaubone@gmail.com, vbravomellado@gmail.com</t>
  </si>
  <si>
    <t>2615439863 / 2615724448</t>
  </si>
  <si>
    <t>Y8- Y9-Y48</t>
  </si>
  <si>
    <t>296/2014</t>
  </si>
  <si>
    <t>G - 000789</t>
  </si>
  <si>
    <t>EX-2018-02582646-GDEMZA-DPA#SAYOT</t>
  </si>
  <si>
    <t>MUÑOZ, JOSE JESÚS</t>
  </si>
  <si>
    <t>20-12783280-4</t>
  </si>
  <si>
    <t>Venta de combustibles exc</t>
  </si>
  <si>
    <t>Ruta Prov. 82 km 1096</t>
  </si>
  <si>
    <t>Potrerillos</t>
  </si>
  <si>
    <t>hugo.baldin@gmail.com, ypfpotrerillos@hotmail.com</t>
  </si>
  <si>
    <t>2615677845 / 4990311</t>
  </si>
  <si>
    <t>910/2016</t>
  </si>
  <si>
    <t>G - 000790</t>
  </si>
  <si>
    <t>EX-2018-02462003-GDEMZA-DPA#SAYOT</t>
  </si>
  <si>
    <t>BODEGAS ARGENTO S.A.</t>
  </si>
  <si>
    <t>30-56065543-2</t>
  </si>
  <si>
    <t>Juan de la Cruz Videla s/n</t>
  </si>
  <si>
    <t>andres.valero@grupoavinea.com, marina.lopez@grupoavinea.com</t>
  </si>
  <si>
    <t>4990050 / 76</t>
  </si>
  <si>
    <t>25/2015</t>
  </si>
  <si>
    <t>G - 000791</t>
  </si>
  <si>
    <t>EX-2018-03082909-GDEMZA-DPA#SAYOT</t>
  </si>
  <si>
    <t>INGENIERO ROBERTO MARIN S.A.</t>
  </si>
  <si>
    <t>30-56463682-3</t>
  </si>
  <si>
    <t>Fabrica de yesos</t>
  </si>
  <si>
    <t>Perú 98 esq. Santa Cruz</t>
  </si>
  <si>
    <t>Circunvalación s/n</t>
  </si>
  <si>
    <t>Capitán Montoya</t>
  </si>
  <si>
    <t>jorgerobertomarin@gmail.com, andre_87_3@hotmail.com</t>
  </si>
  <si>
    <t>2604581075 - 2604338251</t>
  </si>
  <si>
    <t>293/2014</t>
  </si>
  <si>
    <t>G - 000792</t>
  </si>
  <si>
    <t>EX-2018-02582672-GDEMZA-DPA#SAYOT</t>
  </si>
  <si>
    <t>OJEDA MARIANA Y OTROS</t>
  </si>
  <si>
    <t>30-70805957-5</t>
  </si>
  <si>
    <t>Estampado textil</t>
  </si>
  <si>
    <t>Las Heras 79</t>
  </si>
  <si>
    <t>J.M. Estrada 569</t>
  </si>
  <si>
    <t>guimafrana@cmail.com</t>
  </si>
  <si>
    <t>393/2014</t>
  </si>
  <si>
    <t>G - 000793</t>
  </si>
  <si>
    <t>EX-2018-02274994-GDEMZA-DPA#SAYOT</t>
  </si>
  <si>
    <t>AM PESCIO S.C.A.</t>
  </si>
  <si>
    <t>30-50387449-7</t>
  </si>
  <si>
    <t>Pasaje Pedro Vargas 511, 1P of. 1</t>
  </si>
  <si>
    <t>Av Ejército de los Andes 824</t>
  </si>
  <si>
    <t>cesar@pescio.com, info@pescio.com</t>
  </si>
  <si>
    <t xml:space="preserve">0264-4471559 / </t>
  </si>
  <si>
    <t>11/2015</t>
  </si>
  <si>
    <t>G - 000794</t>
  </si>
  <si>
    <t>EX-2018-01789434-GDEMZA-DPA#SAYOT</t>
  </si>
  <si>
    <t>VAZQUEZ, RICARDO WALTER</t>
  </si>
  <si>
    <t>20-17146186-4</t>
  </si>
  <si>
    <t>Taller mecánico de automotores</t>
  </si>
  <si>
    <t>Las Heras 51 - Bº Cavagnaro</t>
  </si>
  <si>
    <t>Callejón Medina 900 (s/ Ruta Nac Nº 7, Km. 1018)</t>
  </si>
  <si>
    <t>francovazquez_la15@hotmail.com</t>
  </si>
  <si>
    <t>13/2015</t>
  </si>
  <si>
    <t>G - 000795</t>
  </si>
  <si>
    <t>EX-2018-02582658-GDEMZA-DPA#SAYOT</t>
  </si>
  <si>
    <t>PARDO, MARTIN SALVADOR</t>
  </si>
  <si>
    <t>23-25793126-9</t>
  </si>
  <si>
    <t>Reimpresión de Etiquetas</t>
  </si>
  <si>
    <t>Cayetano Silva 380</t>
  </si>
  <si>
    <t>Bandera delos Andes 635</t>
  </si>
  <si>
    <t>mtecnograf@gmail.com</t>
  </si>
  <si>
    <t>404/2014</t>
  </si>
  <si>
    <t>G - 000796</t>
  </si>
  <si>
    <t>EX-2018-02518540-GDEMZA-DPA#SAYOT</t>
  </si>
  <si>
    <t>VEGA ALBERTO LUIS</t>
  </si>
  <si>
    <t>20-16278176-7</t>
  </si>
  <si>
    <t xml:space="preserve">Taller mecánico </t>
  </si>
  <si>
    <t>Maza 740</t>
  </si>
  <si>
    <t>luisalvega63@gmail.com</t>
  </si>
  <si>
    <t>261-7234304</t>
  </si>
  <si>
    <t>401/2014</t>
  </si>
  <si>
    <t>G - 000798</t>
  </si>
  <si>
    <t>EX-2018-01679451-GDEMZA-DPA#SAYOT</t>
  </si>
  <si>
    <t>SEPEM S.A.</t>
  </si>
  <si>
    <t>30-71164417-9</t>
  </si>
  <si>
    <t>Rodriguez Peña 2182</t>
  </si>
  <si>
    <t>sepemlubricantes@argentina.com</t>
  </si>
  <si>
    <t>261-493066</t>
  </si>
  <si>
    <t>406/2014</t>
  </si>
  <si>
    <t>G - 000800</t>
  </si>
  <si>
    <t>EX-2018-00696879-GDEMZA-DPA#SAYOT</t>
  </si>
  <si>
    <t>TN CUYANA S.A.</t>
  </si>
  <si>
    <t>30-71150439-3</t>
  </si>
  <si>
    <t>Transporte  de cargas y servicios</t>
  </si>
  <si>
    <t>Rioja 589</t>
  </si>
  <si>
    <t>Gral. Villegas Oeste Nº 786</t>
  </si>
  <si>
    <t>mrodriguez@tsbsa.com.ar, fpereyra@tsbsa.com.ar, degonzalez@tsbsa.com.ar</t>
  </si>
  <si>
    <t>2994559265 / 299-6339659</t>
  </si>
  <si>
    <t>Y8-Y12-Y29-Y34-Y35-Y48</t>
  </si>
  <si>
    <t>407/2014</t>
  </si>
  <si>
    <t>G - 000801</t>
  </si>
  <si>
    <t>EX-2018-00696917-GDEMZA-DPA#SAYOT</t>
  </si>
  <si>
    <t>COMPAÑÍA TSB S.A. - LUJAN DE CUYO -</t>
  </si>
  <si>
    <t>30-70781092-7</t>
  </si>
  <si>
    <t>Acc. Sur Ruta Nac. 40, Km 22, Lote C, Fraccion Nº 02</t>
  </si>
  <si>
    <t>dcorrea@vdntys.com.ar, dgonzaleznqn@gmail.com, fpereyra@tsbsa.com.ar</t>
  </si>
  <si>
    <t>2994413105 / 2994559265</t>
  </si>
  <si>
    <t>405/2014</t>
  </si>
  <si>
    <t>G - 000802</t>
  </si>
  <si>
    <t>EX-2018-00696893-GDEMZA-DPA#SAYOT</t>
  </si>
  <si>
    <t>COMPAÑÍA TSB S.A. MALARGÜE</t>
  </si>
  <si>
    <t>dcorrea@vdntys.com.ar, fpereyra@tsbsa.com.ar</t>
  </si>
  <si>
    <t>Y8-Y12-Y29-Y31-Y34-Y35-Y48</t>
  </si>
  <si>
    <t>142/2015</t>
  </si>
  <si>
    <t>G - 000803</t>
  </si>
  <si>
    <t>EX-2018-02575975-GDEMZA-DPA#SAYOT</t>
  </si>
  <si>
    <t>FINCA FLICHMAN S.A.</t>
  </si>
  <si>
    <t>30-52949670-9</t>
  </si>
  <si>
    <t>Munives 800</t>
  </si>
  <si>
    <t>yanimarin1984@hotmail.com, ignacio_quiroga@flichman.com.ar</t>
  </si>
  <si>
    <t>4972039 / 2616985363</t>
  </si>
  <si>
    <t>300/2014</t>
  </si>
  <si>
    <t>G - 000804</t>
  </si>
  <si>
    <t>EX-2018-02786330-GDEMZA-DPA#SAYOT</t>
  </si>
  <si>
    <t>A.S. &amp; S.A.</t>
  </si>
  <si>
    <t>33-70838865-9</t>
  </si>
  <si>
    <t>Estación de Carga de GNC</t>
  </si>
  <si>
    <t>Alem y Las Heras 43</t>
  </si>
  <si>
    <t>Av. Alem y Las Heras 43</t>
  </si>
  <si>
    <t>aldodomingosanchez@hotmail.com, carlosjbaggio@yahoo.com.ar</t>
  </si>
  <si>
    <t>0263-4421088</t>
  </si>
  <si>
    <t>012/2015</t>
  </si>
  <si>
    <t>G - 000805</t>
  </si>
  <si>
    <t>EX-2018-02780747-GDEMZA-DPA#SAYOT</t>
  </si>
  <si>
    <t>ALDO SANCHEZ</t>
  </si>
  <si>
    <t>23-08141557-9</t>
  </si>
  <si>
    <t>Av. Alem y Las Heras 30</t>
  </si>
  <si>
    <t>0263-4421088 - 2615691415</t>
  </si>
  <si>
    <t>23/2015</t>
  </si>
  <si>
    <t>G - 000807</t>
  </si>
  <si>
    <t>EX-2018-03060986-GDEMZA-DPA#SAYOT</t>
  </si>
  <si>
    <t>EMEPA S.A.</t>
  </si>
  <si>
    <t>30-65490864-4</t>
  </si>
  <si>
    <t>Servicio Petroleros - Intrervención, reparación y terminal de pozos</t>
  </si>
  <si>
    <t>Quintana 875</t>
  </si>
  <si>
    <t>bgiovaruscio@emepasa.com, mguizzo@emepasa.com</t>
  </si>
  <si>
    <t>2615080118 - 2615411748</t>
  </si>
  <si>
    <t>295/2014</t>
  </si>
  <si>
    <t>G - 000809</t>
  </si>
  <si>
    <t>EX-2018-02881462-GDEMZA-DPA#SAYOT</t>
  </si>
  <si>
    <t>SULLAIR ARGENTINA S.A.</t>
  </si>
  <si>
    <t>30-57672171-0</t>
  </si>
  <si>
    <t>Alquiler de maquinarias p/ la industria</t>
  </si>
  <si>
    <t>RODRIGUEZ PEÑA Nº 4457</t>
  </si>
  <si>
    <t>cagarcia@sullair.com.ar, cfernandez@sullair.com.ar</t>
  </si>
  <si>
    <t>011-5941 4444    (int 526)</t>
  </si>
  <si>
    <t>Y6-Y8-Y9-Y12-Y23-Y29-Y31-Y34-Y35-Y48</t>
  </si>
  <si>
    <t>329/2014</t>
  </si>
  <si>
    <t>G - 000810</t>
  </si>
  <si>
    <t>EX-2018-01547379-GDEMZA-DPA#SAYOT</t>
  </si>
  <si>
    <t>GRECOIL &amp; CIA S.A. - AREA LA BREA</t>
  </si>
  <si>
    <t>30-67221895-7</t>
  </si>
  <si>
    <t>Explor. y extrac. de petróleo y gas</t>
  </si>
  <si>
    <t>Área La Brea RN 40 s/n</t>
  </si>
  <si>
    <t>p.diaz@phoenixgr.com, i.swinnen@phoenixgr.com, flavibonet@gmail.com</t>
  </si>
  <si>
    <t>409/2014</t>
  </si>
  <si>
    <t>G - 000811</t>
  </si>
  <si>
    <t>EX-2018-01547360-GDEMZA-DPA#SAYOT</t>
  </si>
  <si>
    <t>GRECOIL &amp; CIA S.A. - AREA EL MANZANO OESTE</t>
  </si>
  <si>
    <t>Área El Manzano Oeste RN 40 s/n</t>
  </si>
  <si>
    <t>El Manzano</t>
  </si>
  <si>
    <t>pgr.mdz.notificaciones@phoenixgr.com, f.bonet@phoenixgr.com, p.diaz@phoenixgr.com</t>
  </si>
  <si>
    <t>408/2014</t>
  </si>
  <si>
    <t>G - 000813</t>
  </si>
  <si>
    <t>EX-2018-01487216-GDEMZA-DPA#SAYOT</t>
  </si>
  <si>
    <t>ALEX STEWART INTERNATIONAL ARGENTINA S.A.</t>
  </si>
  <si>
    <t>30-69901791-0</t>
  </si>
  <si>
    <t>Lab. De análisis ambientales</t>
  </si>
  <si>
    <t>EMPRESAS OPERADORAS DE RRPP - LAB. AMBIENT</t>
  </si>
  <si>
    <t>Rodriguez Peña 4904</t>
  </si>
  <si>
    <t>COQUIMBITO</t>
  </si>
  <si>
    <t>rcairo@alexstewart.com.ar, marcelotejada@alexstewart.com.ar, gestiondecalidad@alexstewart.com.ar</t>
  </si>
  <si>
    <t>2614760560 / 2615056407</t>
  </si>
  <si>
    <t>Y6-Y8-Y12-Y31-Y48</t>
  </si>
  <si>
    <t>107/2015</t>
  </si>
  <si>
    <t>G - 000815</t>
  </si>
  <si>
    <t>EX-2022-01200009-   -GDEMZA-DPA#SAYOT - TC - EX-2018-02824882-GDEMZA-DPA#SAYOT</t>
  </si>
  <si>
    <t>MAROLIO S.A.</t>
  </si>
  <si>
    <t>30-71130359-2</t>
  </si>
  <si>
    <t>Elaboracion de conservas de frutas, hortalizas y vegetales</t>
  </si>
  <si>
    <t>Godoy Cruz 339 1º piso , dpto 7</t>
  </si>
  <si>
    <t>Ruta Prov. Nº 20 s/n</t>
  </si>
  <si>
    <t>mauricioscattolon@gmail.com, arielmarques@marolio.com</t>
  </si>
  <si>
    <t xml:space="preserve"> 261 5090682</t>
  </si>
  <si>
    <t>422/2015</t>
  </si>
  <si>
    <t>G - 000816</t>
  </si>
  <si>
    <t>EX-2018-02582713-GDEMZA-DPA#SAYOT</t>
  </si>
  <si>
    <t>MF TRANSFORMADORES S.R.L.</t>
  </si>
  <si>
    <t>30-71455434-0</t>
  </si>
  <si>
    <t>Fab. y reparación de transf. de baja y alta tensión</t>
  </si>
  <si>
    <t>Cervantes 2589</t>
  </si>
  <si>
    <t>Acceso Sur Lat. E 1089</t>
  </si>
  <si>
    <t>ventas@mftransformadoressrl.com.ar</t>
  </si>
  <si>
    <t>261-5423005</t>
  </si>
  <si>
    <t>203/2015</t>
  </si>
  <si>
    <t>G - 000817</t>
  </si>
  <si>
    <t>EX-2018-01786636-GDEMZA-DPA#SAYOT</t>
  </si>
  <si>
    <t>EL MUSRI, ALEJANDRO ALI</t>
  </si>
  <si>
    <t>20-06878627-5</t>
  </si>
  <si>
    <t>Venta de combustible y lubricantes</t>
  </si>
  <si>
    <t>Estrada s/n (Ruta Nº 71)</t>
  </si>
  <si>
    <t>La Central</t>
  </si>
  <si>
    <t>aamusri@yahoo.com.ar, carlosjbaggio@yahoo.com.ar</t>
  </si>
  <si>
    <t>0263-154410877 / 261-5691415</t>
  </si>
  <si>
    <t>415/2015</t>
  </si>
  <si>
    <t>G - 000818</t>
  </si>
  <si>
    <t>EX-2018-02582763-GDEMZA-DPA#SAYOT</t>
  </si>
  <si>
    <t>JESUS HNOS S.A.</t>
  </si>
  <si>
    <t>30-71151766-5</t>
  </si>
  <si>
    <t>Lavadero de automotores</t>
  </si>
  <si>
    <t>Sarmiento 575</t>
  </si>
  <si>
    <t>Manuel Molina 179</t>
  </si>
  <si>
    <t>jesus-sa@live.com.ar</t>
  </si>
  <si>
    <t>414/2015</t>
  </si>
  <si>
    <t>G - 000819</t>
  </si>
  <si>
    <t>EX-2018-01563300-GDEMZA-DPA#SAYOT</t>
  </si>
  <si>
    <t>DISTRIBUIDORA DE GAS CUYANA S.A.</t>
  </si>
  <si>
    <t>33-65786558-9</t>
  </si>
  <si>
    <t>Distribuidora de gas</t>
  </si>
  <si>
    <t>Av. Las Tipas 2221</t>
  </si>
  <si>
    <t>ssa@ecogas.com.ar, ebarello@ecogas.com.ar</t>
  </si>
  <si>
    <t>557/2015</t>
  </si>
  <si>
    <t>G - 000820</t>
  </si>
  <si>
    <t>EX-2018-02692146-GDEMZA-DPA#SAYOT</t>
  </si>
  <si>
    <t>MAREF S.A.</t>
  </si>
  <si>
    <t>30-70709139-4</t>
  </si>
  <si>
    <t>Molienda de minerales y vegetales</t>
  </si>
  <si>
    <t>Ruta Prov. 84 nº 8400, PIM, predio Municipal F5</t>
  </si>
  <si>
    <t>PIM</t>
  </si>
  <si>
    <t>Ruta Prov. Nº 84,   al 8400- Predio Municipal F5</t>
  </si>
  <si>
    <t>njeria@maref.group, rrhh@maref.com.ar</t>
  </si>
  <si>
    <t>261-3352395 / 2615101232</t>
  </si>
  <si>
    <t>Y8-Y9-Y12-Y34-Y35-Y48</t>
  </si>
  <si>
    <t>199/2015</t>
  </si>
  <si>
    <t>G - 000821</t>
  </si>
  <si>
    <t>EX-2018-02696707-GDEMZA-DPA#SAYOT</t>
  </si>
  <si>
    <t>ESTACIÓN DE SERVICIOS LA PUNTILLA S.R.L</t>
  </si>
  <si>
    <t>30-58591813-6</t>
  </si>
  <si>
    <t>Estacion de Servicio Dual c/ lubricentro y lavad.</t>
  </si>
  <si>
    <t>Ruta Panamericana y Ugarte 5505</t>
  </si>
  <si>
    <t>eytlapuntillasrl@gmail.com</t>
  </si>
  <si>
    <t>0261-4960397</t>
  </si>
  <si>
    <t>425/2015</t>
  </si>
  <si>
    <t>G - 000822</t>
  </si>
  <si>
    <t>EX-2018-02582698-GDEMZA-DPA#SAYOT</t>
  </si>
  <si>
    <t>MANTENIMIENTO INTEGRAL CORTEZ Y ASOC. S.A.</t>
  </si>
  <si>
    <t>30-71233433-5</t>
  </si>
  <si>
    <t>Arenado y pintura de transformadores</t>
  </si>
  <si>
    <t>Tropero Sosa 1167</t>
  </si>
  <si>
    <t>Sierra Pintada 944</t>
  </si>
  <si>
    <t>martincortez@cor-group.net, lic.argento.hys@gmail.com</t>
  </si>
  <si>
    <t>Y12-Y42-Y48</t>
  </si>
  <si>
    <t>421/2015</t>
  </si>
  <si>
    <t>G - 000823</t>
  </si>
  <si>
    <t>EX-2018-01544742-GDEMZA-DPA#SAYOT</t>
  </si>
  <si>
    <t>LA PAZ S.R.L.</t>
  </si>
  <si>
    <t>30-69498659-1</t>
  </si>
  <si>
    <t>Estación de servicios de GNC</t>
  </si>
  <si>
    <t>Barcala 1917</t>
  </si>
  <si>
    <t>Ruta Nac. Nº7 -Km 901,5</t>
  </si>
  <si>
    <t>gestoriaambiental.mza@gmail.com, administracion@martini-srl.com.ar</t>
  </si>
  <si>
    <t>202/2015</t>
  </si>
  <si>
    <t>G - 000824</t>
  </si>
  <si>
    <t>EX-2018-01453652-GDEMZA-DPA#SAYOT</t>
  </si>
  <si>
    <t>GRAMAGE EDUARDO LUIS</t>
  </si>
  <si>
    <t>20-23188556-1</t>
  </si>
  <si>
    <t>Recarga de cartuchos toner</t>
  </si>
  <si>
    <t>Pelegrini 1037</t>
  </si>
  <si>
    <t>egramage@sp-informatica.com, asyhlaboral@yahoo.com.ar</t>
  </si>
  <si>
    <t>2615058697 / 2615955810</t>
  </si>
  <si>
    <t>189/2015</t>
  </si>
  <si>
    <t>G - 000826</t>
  </si>
  <si>
    <t>EX-2018-01490978-GDEMZA-DPA#SAYOT</t>
  </si>
  <si>
    <t>ACMET S.A.</t>
  </si>
  <si>
    <t>30-71224571-5</t>
  </si>
  <si>
    <t>Depósito  de material ferroso</t>
  </si>
  <si>
    <t>Rodriguez Peña 6615</t>
  </si>
  <si>
    <t>luis.dibetta@arcelormittal.com.ar, yunesmarta1974@gmail.com</t>
  </si>
  <si>
    <t xml:space="preserve">2615932472 - 4972215
</t>
  </si>
  <si>
    <t>418/2015</t>
  </si>
  <si>
    <t>G - 000827</t>
  </si>
  <si>
    <t>EX-2018-02582800-GDEMZA-DPA#SAYOT</t>
  </si>
  <si>
    <t>ORTIZ GUZMAN, SERGIO MARIO JESUS</t>
  </si>
  <si>
    <t>20-32193161-9</t>
  </si>
  <si>
    <t>Carril Rodriguez Peña 2552</t>
  </si>
  <si>
    <t>San Francisco del Monte 5167</t>
  </si>
  <si>
    <t>435/2015</t>
  </si>
  <si>
    <t>G - 000828</t>
  </si>
  <si>
    <t>EX-2019-04465203-   -GDEMZA-DPA#SAYOT TC EX-2018-01624380-GDEMZA-DPA#SAYOT</t>
  </si>
  <si>
    <t>GRUPO PEÑAFLOR S.A. - SAN RAFAEL</t>
  </si>
  <si>
    <t>Ind. Vitivinicola</t>
  </si>
  <si>
    <t>Av. Hipólito Yrigoyen 2850</t>
  </si>
  <si>
    <t xml:space="preserve">Las Paredes </t>
  </si>
  <si>
    <t>sebastian.bolanuk@grupopenaflor.com.ar</t>
  </si>
  <si>
    <t>2615134995 - 2604351275</t>
  </si>
  <si>
    <t>442/2015</t>
  </si>
  <si>
    <t>G - 000829</t>
  </si>
  <si>
    <t>EX-2018-01323144-GDEMZA-DPA#SAYOT</t>
  </si>
  <si>
    <t>PETROQUIMICA COMODORO RIVADAVIA S.A. - Yac. El Sosneado</t>
  </si>
  <si>
    <t>30-56359811-1</t>
  </si>
  <si>
    <t>Explotación de gas y petroleo</t>
  </si>
  <si>
    <t>Martinez de Rosas 86</t>
  </si>
  <si>
    <t>Ruta Nac. 40 Km 257</t>
  </si>
  <si>
    <t xml:space="preserve">daniellagos@estudioperezhualde.com, lleguizamón@pcr.energy, notilegales@pcr.energy
</t>
  </si>
  <si>
    <t>0261-4284323 /154651756</t>
  </si>
  <si>
    <t>360/2016</t>
  </si>
  <si>
    <t>G - 000831</t>
  </si>
  <si>
    <t>EX-2018-01665927-GDEMZA-DPA#SAYOT</t>
  </si>
  <si>
    <t>TOSOLINI, MARIO ALEJANDRO</t>
  </si>
  <si>
    <t>20-24447716-0</t>
  </si>
  <si>
    <t>Ozamis Sur 1652</t>
  </si>
  <si>
    <t>transtosolini@live.com</t>
  </si>
  <si>
    <t>4810731 / 2615947778</t>
  </si>
  <si>
    <t>437/2015</t>
  </si>
  <si>
    <t>G - 000832</t>
  </si>
  <si>
    <t>EX-2018-01747733-GDEMZA-DPA#SAYOT</t>
  </si>
  <si>
    <t>LITOGRAFIA MENDOCINA CONO SUR S.A.</t>
  </si>
  <si>
    <t>30-70865858-4</t>
  </si>
  <si>
    <t>Las Cañas 1450</t>
  </si>
  <si>
    <t>gestoriaambiental.mza@gmail.com, administracion@litoconosur.com.ar</t>
  </si>
  <si>
    <t>4247216/ 261-6631257 /5502453</t>
  </si>
  <si>
    <t>Y8- Y12-Y48</t>
  </si>
  <si>
    <t>558/2015</t>
  </si>
  <si>
    <t>G - 000833</t>
  </si>
  <si>
    <t>EX-2018-01784370-GDEMZA-DPA#SAYOT</t>
  </si>
  <si>
    <t>ITALIANO ESTEBAN, FELIPE y MARIO S.de H.</t>
  </si>
  <si>
    <t>30-61556340-0</t>
  </si>
  <si>
    <t>Extracción de aridos</t>
  </si>
  <si>
    <t>San Martín 3454</t>
  </si>
  <si>
    <t>Mayor Drumond</t>
  </si>
  <si>
    <t>Ruta Prov 84 (camino Penal Almafuerte)</t>
  </si>
  <si>
    <t>Cacheuta</t>
  </si>
  <si>
    <t>marioitaliano@hotmail.com, flaviofer2002@yahoo.com.ar</t>
  </si>
  <si>
    <t>0261-6951087</t>
  </si>
  <si>
    <t>509/2015</t>
  </si>
  <si>
    <t>G - 000834</t>
  </si>
  <si>
    <t>EX-2018-00162327-GDEMZA-DPA#SAYOT</t>
  </si>
  <si>
    <t>MARTINI S.R.L.</t>
  </si>
  <si>
    <t>30-62397755-9</t>
  </si>
  <si>
    <t>Constructora de Redes de Gas</t>
  </si>
  <si>
    <t>gestoriaambiental.mza@gmail.com.ar, administracion@martini-srl.com.ar</t>
  </si>
  <si>
    <t>496/2015</t>
  </si>
  <si>
    <t>G - 000835</t>
  </si>
  <si>
    <t>EX-2018-02807355-GDEMZA-DPA#SAYOT</t>
  </si>
  <si>
    <t>LUCAS SANCHEZ</t>
  </si>
  <si>
    <t>20-31618990-4</t>
  </si>
  <si>
    <t>Lavadero y lubricentro</t>
  </si>
  <si>
    <t>Murialdo 1143</t>
  </si>
  <si>
    <t>varamatias1995@gmail.com</t>
  </si>
  <si>
    <t>507/2015</t>
  </si>
  <si>
    <t>G - 000836</t>
  </si>
  <si>
    <t>EX-2018-02575923-GDEMZA-DPA#SAYOT</t>
  </si>
  <si>
    <t>MORAN MANERA y/otros</t>
  </si>
  <si>
    <t>30-67162857-4</t>
  </si>
  <si>
    <t>venta de combustibles liq y gaseosos</t>
  </si>
  <si>
    <t>Ruta Nac.143 Km 582</t>
  </si>
  <si>
    <t>alvear@moranmanera.com, alvear.moranmanera@gmail.com, raimondicarlos@yahoo.com.ar</t>
  </si>
  <si>
    <t>02625-15570111</t>
  </si>
  <si>
    <t>547/2015</t>
  </si>
  <si>
    <t>G - 000837</t>
  </si>
  <si>
    <t>EX-2018-01464313-GDEMZA-DPA#SAYOT</t>
  </si>
  <si>
    <t>LAUGERO CONSTRUCCIONES S.A.</t>
  </si>
  <si>
    <t>30-67980637-4</t>
  </si>
  <si>
    <t>Const. Obras de Ing. Civil - Planta de Asfalto</t>
  </si>
  <si>
    <t>Dorrego  45  y  25 de Mayo</t>
  </si>
  <si>
    <t>San Francisco del Monte 1908  esq.  Ponce</t>
  </si>
  <si>
    <t>info@laugero.com.ar, asyhlaboral@yahoo.com.ar, jplaugero@laugero.com.ar</t>
  </si>
  <si>
    <t xml:space="preserve">4314308 / 261-4311848 - 2616548776
</t>
  </si>
  <si>
    <t>497/2015</t>
  </si>
  <si>
    <t>G - 000838</t>
  </si>
  <si>
    <t>EX-2018-02786310-GDEMZA-DPA#SAYOT</t>
  </si>
  <si>
    <t>DELTA GNC de AMODEO PABLO</t>
  </si>
  <si>
    <t>20-11580187-3</t>
  </si>
  <si>
    <t>Exp. de GNC y lavadero</t>
  </si>
  <si>
    <t xml:space="preserve">Diamante 430 </t>
  </si>
  <si>
    <t>deltagncrp@gmail.com, amodeopablo55@gmail.com, hugo.baldin@gmail.com</t>
  </si>
  <si>
    <t>4324496 - 261-6509112</t>
  </si>
  <si>
    <t>604/2015</t>
  </si>
  <si>
    <t>G - 000839</t>
  </si>
  <si>
    <t>EX-2018-01603698-GDEMZA-DPA#SAYOT</t>
  </si>
  <si>
    <t>TASSAROLI S.A.</t>
  </si>
  <si>
    <t>30-62971795-8</t>
  </si>
  <si>
    <t>Fab. De máquinas p/ minería, const. Y viales. - Fab. Estructuras metalicas</t>
  </si>
  <si>
    <t>Mitre 3495</t>
  </si>
  <si>
    <t>gestoriaambiental.mza@gmail.com, esteban.tantera@tassaroli.com</t>
  </si>
  <si>
    <t>4442200 - 2616631257</t>
  </si>
  <si>
    <t>544/2015</t>
  </si>
  <si>
    <t>G - 000840</t>
  </si>
  <si>
    <t>EX-2018-02582817-GDEMZA-DPA#SAYOT</t>
  </si>
  <si>
    <t>SILEONI, OSCAR JOSE</t>
  </si>
  <si>
    <t>20-06835947-4</t>
  </si>
  <si>
    <t>Fundición de Hierro</t>
  </si>
  <si>
    <t>Godoy Cruz 54</t>
  </si>
  <si>
    <t>fundicionlosandes@speedy.com.ar</t>
  </si>
  <si>
    <t>4-455449</t>
  </si>
  <si>
    <t>Y13-Y48</t>
  </si>
  <si>
    <t>602/2015</t>
  </si>
  <si>
    <t>G - 000841</t>
  </si>
  <si>
    <t xml:space="preserve"> EX-2021-07162580- -GDEMZA-DPA#SAYOT TC EX-2018-02576147-GDEMZA-DPA#SAYOT</t>
  </si>
  <si>
    <t>ARCOR SAIC - SAN RAFAEL</t>
  </si>
  <si>
    <t>30-50279317-5</t>
  </si>
  <si>
    <t>Elaboración de pulpas de frutas, y hortalizas</t>
  </si>
  <si>
    <t>Mitre 1925</t>
  </si>
  <si>
    <t>Gutierrez 4050</t>
  </si>
  <si>
    <t>Rama Caida</t>
  </si>
  <si>
    <t xml:space="preserve">blopez@arcor.com </t>
  </si>
  <si>
    <t>260-4222935 / 260-4372758 / 2657-15-625797 / 260-433-1102</t>
  </si>
  <si>
    <t>214/2016</t>
  </si>
  <si>
    <t>G - 000842</t>
  </si>
  <si>
    <t>EX-2018-01621854-GDEMZA-DPA#SAYOT</t>
  </si>
  <si>
    <t>"LAVADERO PREMIUM" de BRIONES, DIEGO SALVADOR</t>
  </si>
  <si>
    <t>20-32975971-8</t>
  </si>
  <si>
    <t>lavadero de autos</t>
  </si>
  <si>
    <t>Espora 360</t>
  </si>
  <si>
    <t>Perito Moreno 1775</t>
  </si>
  <si>
    <t>Bº Parque</t>
  </si>
  <si>
    <t>juliocbriones@hotmail.com</t>
  </si>
  <si>
    <t>601/2015</t>
  </si>
  <si>
    <t>G - 000843</t>
  </si>
  <si>
    <t>EX-2018-03302312-GDEMZA-DPA#SAYOT</t>
  </si>
  <si>
    <t>PERIS HNOS S.A.</t>
  </si>
  <si>
    <t>33-69574379-9</t>
  </si>
  <si>
    <t>Depósito y vta de hierros</t>
  </si>
  <si>
    <t>Pedro del Castillo 1856</t>
  </si>
  <si>
    <t>Aristóbulo del Valle 1302</t>
  </si>
  <si>
    <t>benjaminperisehijo@speedy.com.ar</t>
  </si>
  <si>
    <t>603/2015</t>
  </si>
  <si>
    <t>G - 000844</t>
  </si>
  <si>
    <t>EX-2018-01489678-GDEMZA-DPA#SAYOT</t>
  </si>
  <si>
    <t>SERVICIO TOTAL S.R.L.</t>
  </si>
  <si>
    <t>30-70939716-4</t>
  </si>
  <si>
    <t>Serv. p/ la construcción, Redes de Agua, gas, cloacas</t>
  </si>
  <si>
    <t>Guiñazu 353</t>
  </si>
  <si>
    <t>serviciototal_srl@yahoo.com.ar, sergiopelegrina@cuyoconsultora.com.ar</t>
  </si>
  <si>
    <t>2615193297/  4980101</t>
  </si>
  <si>
    <t>Y8-Y13-Y48</t>
  </si>
  <si>
    <t>113/2016</t>
  </si>
  <si>
    <t>G - 000845</t>
  </si>
  <si>
    <t>EX-2018-01607874-GDEMZA-DPA#SAYOT</t>
  </si>
  <si>
    <t>MAGMA ANDINA S.A.</t>
  </si>
  <si>
    <t>30-70734080-7</t>
  </si>
  <si>
    <t>Alquileres y Serv. Orientados a la construcción</t>
  </si>
  <si>
    <t>Acceso Sur Lat Oeste 4930</t>
  </si>
  <si>
    <t>Gdor. Benegas</t>
  </si>
  <si>
    <t>administracion@magmaandina.com.ar, info@magmaandina.com.ar</t>
  </si>
  <si>
    <t>4390362 / 261-5469164</t>
  </si>
  <si>
    <t>187/2016</t>
  </si>
  <si>
    <t>G - 000846</t>
  </si>
  <si>
    <t>EX-2018-00165250-GDEMZA-DPA#SAYOT</t>
  </si>
  <si>
    <t>YACO TRUCKS S.A.</t>
  </si>
  <si>
    <t>30-71246315-1</t>
  </si>
  <si>
    <t>Venta de camiones y serv.  post Vta</t>
  </si>
  <si>
    <t>Rodriguez Peña 1650</t>
  </si>
  <si>
    <t>155/2016</t>
  </si>
  <si>
    <t>G - 000847</t>
  </si>
  <si>
    <t xml:space="preserve"> EX-2022-00825740- -GDEMZA-DPA#SAYOT - TC - EX-2018-02066656-GDEMZA-DPA#SAYOT</t>
  </si>
  <si>
    <t>VIBRANIUM SAS - CAPITAL -</t>
  </si>
  <si>
    <t>30-71726702-4</t>
  </si>
  <si>
    <t>Estación de Servicios Dual</t>
  </si>
  <si>
    <t>San Martin 2002</t>
  </si>
  <si>
    <t>Suipacha 701</t>
  </si>
  <si>
    <t>Cuarta Sección</t>
  </si>
  <si>
    <t>261-4222023 261-6549742 / 2615652920</t>
  </si>
  <si>
    <t>526/2017</t>
  </si>
  <si>
    <t>G - 000848</t>
  </si>
  <si>
    <t>EX-2018-01786469-GDEMZA-DPA#SAYOT</t>
  </si>
  <si>
    <t>CORK SUPPLY ARGENTINA S.A.</t>
  </si>
  <si>
    <t>30-70709321-4</t>
  </si>
  <si>
    <t>Sellado de tapones de corcho</t>
  </si>
  <si>
    <t>Acceso Sur, Lat. Este Km 17</t>
  </si>
  <si>
    <t>rbiliato@yahoo.com.ar, mfornaser@corksupply.com.ar</t>
  </si>
  <si>
    <t>2613630941 - 2614981868</t>
  </si>
  <si>
    <t>152/2016</t>
  </si>
  <si>
    <t>G - 000849</t>
  </si>
  <si>
    <t>EX-2018-02807366-GDEMZA-DPA#SAYOT</t>
  </si>
  <si>
    <t>GIMENEZ GUILLERMO</t>
  </si>
  <si>
    <t>20-32909823-1</t>
  </si>
  <si>
    <t>Colón 670</t>
  </si>
  <si>
    <t>gestoriaambiental.mza@gmail.com, graficacrear@graficarcrear.com.ar</t>
  </si>
  <si>
    <t>0261-154722727 / 261-6631257</t>
  </si>
  <si>
    <t>Y8-Y12-Y13-Y41-Y48</t>
  </si>
  <si>
    <t>160/2016</t>
  </si>
  <si>
    <t>G - 000850</t>
  </si>
  <si>
    <t>EX2019-7033375-GDEMZA-DPA#SAYOT TC EX-2018-02575884-GDEMZA-DPA#SAYOT</t>
  </si>
  <si>
    <t>CONSORCIO PUBLICO DE GESTION INTERMUNICIPAL DE RESIDUOS SOLIDOS URBANOS DE ZONA ESTE - RIVADAVIA</t>
  </si>
  <si>
    <t>33-71638227-9</t>
  </si>
  <si>
    <t>Tratamiento y disposición final de residuos sól. urbanos</t>
  </si>
  <si>
    <t>EMPRESAS OPERADORAS DE RRPP , PATOLOGICOS Y URBANOS- LAB. AMBIENT - RES</t>
  </si>
  <si>
    <t>Galigniana s/n,  camino a Vizcacheras</t>
  </si>
  <si>
    <t>Los Huarpes</t>
  </si>
  <si>
    <t>jlatorre@tecsan.com.ar; gdelgado@bra.com.ar</t>
  </si>
  <si>
    <t>(0261)153386325</t>
  </si>
  <si>
    <t>153/2016</t>
  </si>
  <si>
    <t>G - 000851</t>
  </si>
  <si>
    <t>EX2019-7033339-GDEMZA-DPA#SAYOT TC EX-2018-02575816-GDEMZA-DPA#SAYOT</t>
  </si>
  <si>
    <t>CONSORCIO PUBLICO DE GESTION INTERMUNICIPAL DE RESIDUOS SOLIDOS URBANOS DE ZONA ESTE -SAN MARTIN</t>
  </si>
  <si>
    <t>Calle Miguez y Barrera s/n</t>
  </si>
  <si>
    <t>Alto Salvador</t>
  </si>
  <si>
    <t>154/2016</t>
  </si>
  <si>
    <t>G - 000852</t>
  </si>
  <si>
    <t>EX-2018-00162232-GDEMZA-DPA#SAYOT</t>
  </si>
  <si>
    <t>INELCO S.R.L.</t>
  </si>
  <si>
    <t>30-52186839-9</t>
  </si>
  <si>
    <t>Depósito y venta de motores eléctricos</t>
  </si>
  <si>
    <t>Sarmiento 830</t>
  </si>
  <si>
    <t>gestoriaambiental.mza@gmail.com, promero@inelcosrl.com.ar</t>
  </si>
  <si>
    <t>2616631257 /2604633921</t>
  </si>
  <si>
    <t>179/2016</t>
  </si>
  <si>
    <t>G - 000853</t>
  </si>
  <si>
    <t>EX-2018-01493658-GDEMZA-DPA#SAYOT</t>
  </si>
  <si>
    <t>ICEO S.A</t>
  </si>
  <si>
    <t>30-70926212-9</t>
  </si>
  <si>
    <t>Obras de Ingenieria y constructora</t>
  </si>
  <si>
    <t>O´Higgins 51</t>
  </si>
  <si>
    <t>gavice_mza@yahoo.com.ar, adminstracionobras@iceosa.com.ar</t>
  </si>
  <si>
    <t>4221023 - 2617091609</t>
  </si>
  <si>
    <t>184/2016</t>
  </si>
  <si>
    <t>G - 000854</t>
  </si>
  <si>
    <t>EX-2018-01786407-GDEMZA-DPA#SAYOT</t>
  </si>
  <si>
    <t>COM S.A.</t>
  </si>
  <si>
    <t>30-70787634-0</t>
  </si>
  <si>
    <t>Construcción de redes de gas</t>
  </si>
  <si>
    <t>Moreno 1186</t>
  </si>
  <si>
    <t>Gral. Belgrano</t>
  </si>
  <si>
    <t>Grl. Belgrano</t>
  </si>
  <si>
    <t>comsagas10@gmail.com</t>
  </si>
  <si>
    <t>4457876 / 2615160617</t>
  </si>
  <si>
    <t>181/2016</t>
  </si>
  <si>
    <t>G - 000855</t>
  </si>
  <si>
    <t>EX-2018-00163243-GDEMZA-DPA#SAYOT</t>
  </si>
  <si>
    <t>HUGO DEL CARMEN OJEDA S.A.</t>
  </si>
  <si>
    <t>30-62949550-5</t>
  </si>
  <si>
    <t>Carril Rodriguez Peña 3350</t>
  </si>
  <si>
    <t>gestoriaambiental.mza@gmail.com, ignacio.ojeda@hcosa.com.ar</t>
  </si>
  <si>
    <t>4931515 - 2616631257</t>
  </si>
  <si>
    <t>194/2016</t>
  </si>
  <si>
    <t>G - 000856</t>
  </si>
  <si>
    <t>EX-2018-01781994-GDEMZA-DPA#SAYOT</t>
  </si>
  <si>
    <t>GRIPPI - LUNA CONSTRUCCIONES CIVILES S.R.L.</t>
  </si>
  <si>
    <t>30-70949893-9</t>
  </si>
  <si>
    <t>Construcción de redes de gas, agua, etc</t>
  </si>
  <si>
    <t>Ruta Prov. N° 50 Km 1026</t>
  </si>
  <si>
    <t xml:space="preserve">Palmira </t>
  </si>
  <si>
    <t>info@grippi-lunaccsrl.com, consultingsafework2021@gmail.com</t>
  </si>
  <si>
    <t>261-5449418</t>
  </si>
  <si>
    <t>180/2016</t>
  </si>
  <si>
    <t>G - 000857</t>
  </si>
  <si>
    <t>EX-2018-01493453-GDEMZA-DPA#SAYOT</t>
  </si>
  <si>
    <t>BAEZ, DIEGO ANTONIO</t>
  </si>
  <si>
    <t>20-26041510-8</t>
  </si>
  <si>
    <t>Soler 301</t>
  </si>
  <si>
    <t>Ramón de Campoamor N° 922</t>
  </si>
  <si>
    <t>db_534@hotmail.com, davidfbart@gmail.com</t>
  </si>
  <si>
    <t>261-671-0333/ 2615075182</t>
  </si>
  <si>
    <t>Y8 - Y48</t>
  </si>
  <si>
    <t>355/2016</t>
  </si>
  <si>
    <t>G - 000858</t>
  </si>
  <si>
    <t>EX-2018-00258127-GDEMZA-DPA#SAYOT</t>
  </si>
  <si>
    <t>RUAN S.A.</t>
  </si>
  <si>
    <t>30-71588505-7</t>
  </si>
  <si>
    <t>Trabajos en Redes de Gas</t>
  </si>
  <si>
    <t>Falucho 200 esq.  Alem</t>
  </si>
  <si>
    <t xml:space="preserve">Maipu </t>
  </si>
  <si>
    <t>Maipu</t>
  </si>
  <si>
    <t>ruanservice_@hotmail.com</t>
  </si>
  <si>
    <t>4975184 /2615885508</t>
  </si>
  <si>
    <t>454/2016</t>
  </si>
  <si>
    <t>G - 000859</t>
  </si>
  <si>
    <t>EX-2018-01660654-GDEMZA-DPA#SAYOT</t>
  </si>
  <si>
    <t>SOIN S.R.L</t>
  </si>
  <si>
    <t>33-71106430-9</t>
  </si>
  <si>
    <t>Trabajos de Obra de Gas</t>
  </si>
  <si>
    <t>Cadetes Chilenos 354</t>
  </si>
  <si>
    <t>soinsrl@gmail.com, gos66@hotmail.com, edgarmluna@yahoo.com.ar</t>
  </si>
  <si>
    <t>263-4571507</t>
  </si>
  <si>
    <t>182/2016</t>
  </si>
  <si>
    <t>G - 000860</t>
  </si>
  <si>
    <t>EX-2018-01621858-GDEMZA-DPA#SAYOT</t>
  </si>
  <si>
    <t>GUAYCOCHEA SALSA, MARINA</t>
  </si>
  <si>
    <t>27-27595696-7</t>
  </si>
  <si>
    <t>Liniers 1477</t>
  </si>
  <si>
    <t>Alberdi 787</t>
  </si>
  <si>
    <t>marinaguaycochea@yahoo.com, carmeloi@hotmail.com.ar</t>
  </si>
  <si>
    <t>261-156346424 7 261-156346422</t>
  </si>
  <si>
    <t>183/2016</t>
  </si>
  <si>
    <t>G - 000861</t>
  </si>
  <si>
    <t>EX-2018-02071529-GDEMZA-DPA#SAYOT</t>
  </si>
  <si>
    <t>ZENOBI EDUARDO FABIAN</t>
  </si>
  <si>
    <t>20-21038629-8</t>
  </si>
  <si>
    <t>Santa Mara 33</t>
  </si>
  <si>
    <t>Islas Vírgenes 4060</t>
  </si>
  <si>
    <t>2604591081 - 2613050927</t>
  </si>
  <si>
    <t>126/2017</t>
  </si>
  <si>
    <t>G - 000862</t>
  </si>
  <si>
    <t>EX-2018-00168633-GDEMZA-DPA#SAYOT</t>
  </si>
  <si>
    <t>MARTIN PIZARRO</t>
  </si>
  <si>
    <t>20-21863943-8</t>
  </si>
  <si>
    <t>Silvano Rodriguez 6028</t>
  </si>
  <si>
    <t>mpizarroreig@gmail.com, licmartinaguero@gmail.com, martin_pizarro@yahoo.com.ar, compras@multipiping.com</t>
  </si>
  <si>
    <t>191/2016</t>
  </si>
  <si>
    <t>G - 000863</t>
  </si>
  <si>
    <t>EX-2018-02071495-GDEMZA-DPA#SAYOT</t>
  </si>
  <si>
    <t>BORTEL S.A.</t>
  </si>
  <si>
    <t>30-71003955-7</t>
  </si>
  <si>
    <t>Los Piminetos1089 Calle N° 15 s/n</t>
  </si>
  <si>
    <t>La Cieneguita</t>
  </si>
  <si>
    <t>452/2016</t>
  </si>
  <si>
    <t>G - 000864</t>
  </si>
  <si>
    <t>EX-2018-01660777-GDEMZA-DPA#SAYOT</t>
  </si>
  <si>
    <t>ROBRAS CONSTRUCCIONES E INSTALACIONES S.R.L.</t>
  </si>
  <si>
    <t>30-71511768-8</t>
  </si>
  <si>
    <t>J.M. Estrada 237, 1P Dpto 7</t>
  </si>
  <si>
    <t>Av. el Libertador 404</t>
  </si>
  <si>
    <t>ro_bras@yahoo.com.ar, mauricio.baldo@hotmail.com</t>
  </si>
  <si>
    <t>192/2016</t>
  </si>
  <si>
    <t>G - 000865</t>
  </si>
  <si>
    <t>EX-2018-01786355-GDEMZA-DPA#SAYOT</t>
  </si>
  <si>
    <t>WINE GAS S.A. - LAVALLE</t>
  </si>
  <si>
    <t>30-71008242-8</t>
  </si>
  <si>
    <t>Estación de Servicio dual</t>
  </si>
  <si>
    <t>Bandera de los Andes 3330</t>
  </si>
  <si>
    <t xml:space="preserve">Ruta Nac Nº 40 y Ruta Prov. Nº 34 </t>
  </si>
  <si>
    <t>Jocolí Viejo</t>
  </si>
  <si>
    <t>winegasypf@gmail.com, aspromza2@hotmail.com, cocoreyesb@yahoo.com.ar</t>
  </si>
  <si>
    <t>2612418833 - 2614543175</t>
  </si>
  <si>
    <t>177/2016</t>
  </si>
  <si>
    <t>G - 000866</t>
  </si>
  <si>
    <t>EX-2018-01464527-GDEMZA-DPA#SAYOT</t>
  </si>
  <si>
    <t>TECNICORP S.A.</t>
  </si>
  <si>
    <t>30-67638864-4</t>
  </si>
  <si>
    <t>Construcción de redes de gas, agua y cloaca</t>
  </si>
  <si>
    <t xml:space="preserve">Peru Nº 58 </t>
  </si>
  <si>
    <t>tecnicorpsr@yahoo.com.ar, jose_l_astorga@yahoo.com.ar</t>
  </si>
  <si>
    <t>2604421127 / 2604546238</t>
  </si>
  <si>
    <t>253/2016</t>
  </si>
  <si>
    <t>G - 000867</t>
  </si>
  <si>
    <t>EX-2018-01782210-GDEMZA-DPA#SAYOT</t>
  </si>
  <si>
    <t>RUIZ, JOSE LUIS</t>
  </si>
  <si>
    <t>23-23059363-9</t>
  </si>
  <si>
    <t>Gutierrez 314</t>
  </si>
  <si>
    <t>Gutierrez 315</t>
  </si>
  <si>
    <t>ruizservis@yahoo.com.ar, leiiruiz@yahoo.com</t>
  </si>
  <si>
    <t>261-2586082/2634318888</t>
  </si>
  <si>
    <t>193/2016</t>
  </si>
  <si>
    <t>G - 000868</t>
  </si>
  <si>
    <t>EX-2018-01464458-GDEMZA-DPA#SAYOT</t>
  </si>
  <si>
    <t>CATALCON S.A.</t>
  </si>
  <si>
    <t>33-70872692-9</t>
  </si>
  <si>
    <t>Iº de Mayo 1446</t>
  </si>
  <si>
    <t>hugoarrieta@catalcon.com.ar, wgomezf@hotmail.com</t>
  </si>
  <si>
    <t>2615653711/ 4271755</t>
  </si>
  <si>
    <t>449/2016</t>
  </si>
  <si>
    <t>G - 000871</t>
  </si>
  <si>
    <t>EX-2018-01782003-GDEMZA-DPA#SAYOT</t>
  </si>
  <si>
    <t>TECNICA INTEGRAL de DI SALLO, NORMA ESTER</t>
  </si>
  <si>
    <t>27-10647562-3</t>
  </si>
  <si>
    <t>Manuel Ruibal (Este)  910</t>
  </si>
  <si>
    <t>tecnicaintegralsrl@yahoo.com.ar</t>
  </si>
  <si>
    <t xml:space="preserve">0260-4471135 / 2604598451
</t>
  </si>
  <si>
    <t>190/2016</t>
  </si>
  <si>
    <t>G - 000874</t>
  </si>
  <si>
    <t>EX-2018-02582245-GDEMZA-DPA#SAYOT</t>
  </si>
  <si>
    <t>MANUFACTURA TRUE ARGENTINA S.A.</t>
  </si>
  <si>
    <t>30-71408357-7</t>
  </si>
  <si>
    <t>Reparación y fab.de piletas de fibra de vidrio</t>
  </si>
  <si>
    <t>Venezuela 434</t>
  </si>
  <si>
    <t>trueargentina2013@yahoo.com.ar</t>
  </si>
  <si>
    <t>4317964/3845</t>
  </si>
  <si>
    <t>303/2016</t>
  </si>
  <si>
    <t>G - 000875</t>
  </si>
  <si>
    <t>EX-2018-01401746-GDEMZA-DPA#SAYOT</t>
  </si>
  <si>
    <t>CUYO PLACAS S.A. - Planta de Aglomerados-</t>
  </si>
  <si>
    <t>Fab. de Tableros aglomerados</t>
  </si>
  <si>
    <t>Ruta Nac. Nº 40 - Km 24,5</t>
  </si>
  <si>
    <t xml:space="preserve">Y8-Y9-Y31-Y48 </t>
  </si>
  <si>
    <t>281/2016</t>
  </si>
  <si>
    <t>G - 000876</t>
  </si>
  <si>
    <t>EX-2018-02881460-GDEMZA-DPA#SAYOT</t>
  </si>
  <si>
    <t>ECOMETANO S.A.</t>
  </si>
  <si>
    <t>30-70820651-9</t>
  </si>
  <si>
    <t>Expendio de  GNC y lavadero automático</t>
  </si>
  <si>
    <t>Brasil 341</t>
  </si>
  <si>
    <t>hugo.baldin@gmail.com; ecometano.sa@gmail.com</t>
  </si>
  <si>
    <t>4242247/ 2616509112</t>
  </si>
  <si>
    <t>305/2016</t>
  </si>
  <si>
    <t>G - 000877</t>
  </si>
  <si>
    <t>EX-2018-01739627-GDEMZA-DPA#SAYOT</t>
  </si>
  <si>
    <t>WINE GAS S.A. - LUJAN DE CUYO</t>
  </si>
  <si>
    <t>Ruta Prov. 82 Panamericana s/n - Lat. O</t>
  </si>
  <si>
    <t>299/2016</t>
  </si>
  <si>
    <t>G - 000878</t>
  </si>
  <si>
    <t>EX-2018-01464348-GDEMZA-DPA#SAYOT</t>
  </si>
  <si>
    <t>TALLERES SAN ANTONIO S.A.</t>
  </si>
  <si>
    <t>30-70971909-9</t>
  </si>
  <si>
    <t>Taller mecánico de máquinas, lubricentro, lavadero</t>
  </si>
  <si>
    <t>Roca Nº 4246</t>
  </si>
  <si>
    <t>jlvenier@speedy.com.ar, j.l.venier@hotmail.com</t>
  </si>
  <si>
    <t>308/2016</t>
  </si>
  <si>
    <t>G - 000879</t>
  </si>
  <si>
    <t>EX-2018-01471025-GDEMZA-DPA#SAYOT</t>
  </si>
  <si>
    <t>BGP S.A.</t>
  </si>
  <si>
    <t>30-70823101-7</t>
  </si>
  <si>
    <t>Construcción de redes de gas, agua y electricidad</t>
  </si>
  <si>
    <t>Zárate 267</t>
  </si>
  <si>
    <t>Zarate 267</t>
  </si>
  <si>
    <t>bgpconstrucciones@gmail.com</t>
  </si>
  <si>
    <t>275/2016</t>
  </si>
  <si>
    <t>G - 000882</t>
  </si>
  <si>
    <t>EX-2018-01791304-GDEMZA-DPA#SAYOT</t>
  </si>
  <si>
    <t>CITROANDES S.A.</t>
  </si>
  <si>
    <t>30-71167904-5</t>
  </si>
  <si>
    <t>Venta y serv. Post vta de vehiculos</t>
  </si>
  <si>
    <t>R.E. de San Martín 1999</t>
  </si>
  <si>
    <t>cristian.flores@citroandes.com.ar</t>
  </si>
  <si>
    <t>280/2016</t>
  </si>
  <si>
    <t>G - 000883</t>
  </si>
  <si>
    <t>EX-2018-0696058-GDEMZA-DPA#SAYOT</t>
  </si>
  <si>
    <t>PETROANDES MENDOZA S.A.</t>
  </si>
  <si>
    <t>30-71562090-8</t>
  </si>
  <si>
    <t>Depósito mayorista de combustible, lubricantes y fertilizantes</t>
  </si>
  <si>
    <t>cesquivel@grupoclop.com.ar, beltran@rcc.com.ar, hysriveros@gmail.com</t>
  </si>
  <si>
    <t>2604578074 - 2614921003</t>
  </si>
  <si>
    <t>276/2016</t>
  </si>
  <si>
    <t>G - 000884</t>
  </si>
  <si>
    <t>EX-2018-03061012-GDEMZA-DPA#SAYOT</t>
  </si>
  <si>
    <t>CHAVEZ, RAMON PEDRO</t>
  </si>
  <si>
    <t>20-13328057-0</t>
  </si>
  <si>
    <t>Desarmadero de autos</t>
  </si>
  <si>
    <t>Neuquen Nº 37</t>
  </si>
  <si>
    <t xml:space="preserve">Acceso Este Km 1025 - Lat. Sur </t>
  </si>
  <si>
    <t>263-4434265</t>
  </si>
  <si>
    <t>307/2016</t>
  </si>
  <si>
    <t>G - 000885</t>
  </si>
  <si>
    <t>EX-2018-01354949-GDEMZA-DPA#SAYOT</t>
  </si>
  <si>
    <t>BAKER HUGHES ARGENTINA S.R.L. - Div. Drilling Services</t>
  </si>
  <si>
    <t>Mantenimiento y reparación de herramientas de registro</t>
  </si>
  <si>
    <t>Alem 1281</t>
  </si>
  <si>
    <t>Acceso Sur, Lateral Este y Anchorena</t>
  </si>
  <si>
    <t>261-4413000 / 261-6393896 / 261-5095511</t>
  </si>
  <si>
    <t>210/2016</t>
  </si>
  <si>
    <t>G - 000886</t>
  </si>
  <si>
    <t>EX-2018-00165392-GDEMZA-DPA#SAYOT</t>
  </si>
  <si>
    <t>QUIROGA, CRISTOBAL DAMIAN</t>
  </si>
  <si>
    <t>20-28341149-5</t>
  </si>
  <si>
    <t>Belgrano 650</t>
  </si>
  <si>
    <t>252/2016</t>
  </si>
  <si>
    <t>G - 000888</t>
  </si>
  <si>
    <t>EX-2018-02582286-GDEMZA-DPA#SAYOT</t>
  </si>
  <si>
    <t>MATEM S.A.</t>
  </si>
  <si>
    <t>30-71446427-9</t>
  </si>
  <si>
    <t>Fab. , rep y mantenimiento de transformadores</t>
  </si>
  <si>
    <t>Independencia 857</t>
  </si>
  <si>
    <t>matemsa1@gmail.com</t>
  </si>
  <si>
    <t>324/2016</t>
  </si>
  <si>
    <t>G - 000889</t>
  </si>
  <si>
    <t>EX-2018-00164423-GDEMZA-DPA#SAYOT</t>
  </si>
  <si>
    <t>RICHARD SERVICE S.R.L.</t>
  </si>
  <si>
    <t>30-70989905-4</t>
  </si>
  <si>
    <t>Extensiones de redes de gas natural</t>
  </si>
  <si>
    <t>Bº KOBE  Manz. "E" Casa 14</t>
  </si>
  <si>
    <t>Cerro Morado N° 1559</t>
  </si>
  <si>
    <t>richardservice@live.com.ar, lic.lfgutierrez@gmail.com</t>
  </si>
  <si>
    <t>4979292 / 261-5504832 / 261-4549694 / 261-6685319</t>
  </si>
  <si>
    <t>278/2016</t>
  </si>
  <si>
    <t>G - 000890</t>
  </si>
  <si>
    <t>EX-2018-02881468-GDEMZA-DPA#SAYOT</t>
  </si>
  <si>
    <t>EMILIO TERZI S.A.</t>
  </si>
  <si>
    <t>30-70762740-5</t>
  </si>
  <si>
    <t>Vta por mayorde derivados de petróleo</t>
  </si>
  <si>
    <t>9 de Julio 891 M"B" L2</t>
  </si>
  <si>
    <t>tdfgroupdt@gmail.com, carlosjbaggio@yahoo.com.ar, info@tdjgroup.com.ar</t>
  </si>
  <si>
    <t>261-5885555 / 4255592</t>
  </si>
  <si>
    <t>315/2016</t>
  </si>
  <si>
    <t>G - 000892</t>
  </si>
  <si>
    <t>EX-2018-00162318-GDEMZA-DPA#SAYOT</t>
  </si>
  <si>
    <t>SALDAÑA, NURI CLAUDIA</t>
  </si>
  <si>
    <t>27-13998135-4</t>
  </si>
  <si>
    <t>Patricias Mendocinas 485</t>
  </si>
  <si>
    <t>2616631257 /  2615502453</t>
  </si>
  <si>
    <t>Y8-Y41-Y48</t>
  </si>
  <si>
    <t>302/2016</t>
  </si>
  <si>
    <t>G - 000893</t>
  </si>
  <si>
    <t>EX-2018-02275009-GDEMZA-DPA#SAYOT</t>
  </si>
  <si>
    <t>GRUAS ARGENTINAS S.A.</t>
  </si>
  <si>
    <t>30-70945338-2</t>
  </si>
  <si>
    <t>Alquiler y mantenimiento de gruas</t>
  </si>
  <si>
    <t>Primitivo de la Reta 225</t>
  </si>
  <si>
    <t>info@gruasargentinassa.com.ar, diego.yancarelli@gmail.com</t>
  </si>
  <si>
    <t>2616804001 - 2615120645</t>
  </si>
  <si>
    <t>300/2016</t>
  </si>
  <si>
    <t>G - 000894</t>
  </si>
  <si>
    <t>EX-2018-01787976-GDEMZA-DPA#SAYOT</t>
  </si>
  <si>
    <t>GRIS S.A.</t>
  </si>
  <si>
    <t>30-71141683-4</t>
  </si>
  <si>
    <t>Estación de Servicio c/ lavadero</t>
  </si>
  <si>
    <t>Sarmiento 1865</t>
  </si>
  <si>
    <t>carlos_e_schneider@hotmail.com, gris_estacion@yahoo.com.ar</t>
  </si>
  <si>
    <t>2613901337 - 2615456925</t>
  </si>
  <si>
    <t>309/2016</t>
  </si>
  <si>
    <t>G - 000895</t>
  </si>
  <si>
    <t>EX-2018-01786576- -GDEMZA-DPA#SAYOT</t>
  </si>
  <si>
    <t>CEPEDA JOSE ANGEL</t>
  </si>
  <si>
    <t>20-13396404-6</t>
  </si>
  <si>
    <t>Acceso Sur Lat.E  1815</t>
  </si>
  <si>
    <t>tlospamperos@hotmail.com</t>
  </si>
  <si>
    <t>301/2016</t>
  </si>
  <si>
    <t>G - 000896</t>
  </si>
  <si>
    <t>EX-2018-01738857-GDEMZA-DPA#SAYOT</t>
  </si>
  <si>
    <t>J.C.TUDELA y CIA S.A.</t>
  </si>
  <si>
    <t>30-59443731-0</t>
  </si>
  <si>
    <t>Fab. de adhesivos ind. y aditivos p/ alimentación</t>
  </si>
  <si>
    <t>M.Torrontegui Nº 469</t>
  </si>
  <si>
    <t>geoeg.consultora@gmail.com, pablo@jctudela.com.ar, info@jctudela.com.ar</t>
  </si>
  <si>
    <t>261-4910304 /261-5604099</t>
  </si>
  <si>
    <t>Y9-Y13-Y34-Y48</t>
  </si>
  <si>
    <t>381/2016</t>
  </si>
  <si>
    <t>G - 000897</t>
  </si>
  <si>
    <t>EX-2018-01561546-GDEMZA-DPA#SAYOT</t>
  </si>
  <si>
    <t>ITALO ALFONSO GUERRERO</t>
  </si>
  <si>
    <t>20-081158970-5</t>
  </si>
  <si>
    <t>Los Viñedos 335</t>
  </si>
  <si>
    <t>gestoriaambiental.mza@gmail.com, claudiaaguerrero@hotmail.com</t>
  </si>
  <si>
    <t>2616631257 -2615502453</t>
  </si>
  <si>
    <t>297/2016</t>
  </si>
  <si>
    <t>G - 000899</t>
  </si>
  <si>
    <t>EX -2018-00162216-GDEMZA-DPA#SAYOT</t>
  </si>
  <si>
    <t>KRAFT CONSTRUCTORA S.R.L.</t>
  </si>
  <si>
    <t>30-71061741-0</t>
  </si>
  <si>
    <t>Construcción de Obras de Ing. Civil</t>
  </si>
  <si>
    <t>San Francisco del Monte 2401</t>
  </si>
  <si>
    <t>gestoriaambiental.mza@gmail.com, kraft@kraftsrl.com.ar</t>
  </si>
  <si>
    <t>26116631257 / 2614679789</t>
  </si>
  <si>
    <t>321/2016</t>
  </si>
  <si>
    <t>G - 000900</t>
  </si>
  <si>
    <t>EX -2018-00162534-GDEMZA-DPA#SAYOT</t>
  </si>
  <si>
    <t>COLORADA TRECE S.A. - TUPUNGATO</t>
  </si>
  <si>
    <t>30-71135943-1</t>
  </si>
  <si>
    <t xml:space="preserve">Matheu Nº  1735 </t>
  </si>
  <si>
    <t>T. Benegas</t>
  </si>
  <si>
    <t>La Gloria Nº 1813 y Amín</t>
  </si>
  <si>
    <t>anticipar3@gmail.com, coloradatrece@hotmail.com</t>
  </si>
  <si>
    <t>2613058503 - 2622470248</t>
  </si>
  <si>
    <t>294/2016</t>
  </si>
  <si>
    <t>G - 000901</t>
  </si>
  <si>
    <t>EX-2018-00168642-GDEMZA-DPA#SAYOT</t>
  </si>
  <si>
    <t>I.I.P. S.A.</t>
  </si>
  <si>
    <t>30-70788042-9</t>
  </si>
  <si>
    <t>Ruta Nac. N° 40, Km 105</t>
  </si>
  <si>
    <t>anticipar3@gmail.com, sara@iipsa.com.ar</t>
  </si>
  <si>
    <t>02622-451388</t>
  </si>
  <si>
    <t>372/2016</t>
  </si>
  <si>
    <t>G - 000902</t>
  </si>
  <si>
    <t>EX-2018-01603696-GDEMZA-DPA#SAYOT</t>
  </si>
  <si>
    <t>MANATRIZIO, NOELIA y MANATRIZIO, VANESA S.H.</t>
  </si>
  <si>
    <t>30-71423003-0</t>
  </si>
  <si>
    <t>Ignacio Molina 181</t>
  </si>
  <si>
    <t>vbravomellado@gmail.com, anabelmc12@hotmail.com, itala_02@hotmail.com</t>
  </si>
  <si>
    <t>2616976004 - 261-5537517</t>
  </si>
  <si>
    <t>399/2016</t>
  </si>
  <si>
    <t>G - 000904</t>
  </si>
  <si>
    <t>EX-2018-01488399-GDEMZA-DPA#SAYOT</t>
  </si>
  <si>
    <t>HORIZON HIGH REACH LIMITED</t>
  </si>
  <si>
    <t>30-70547049-5</t>
  </si>
  <si>
    <t>mantenimiento de equipos de elEvacion</t>
  </si>
  <si>
    <t>Rodriguez Peña 1926</t>
  </si>
  <si>
    <t>infocuyo@horizonsudamericana.com; sergioespejo@hotmail.com</t>
  </si>
  <si>
    <t>379/2016</t>
  </si>
  <si>
    <t>G - 000909</t>
  </si>
  <si>
    <t>EX -2018-01547307-GDEMZA-DPA#SAYOT</t>
  </si>
  <si>
    <t>LABEL SOLUTIONS S.R.L. - MAIPU -</t>
  </si>
  <si>
    <t>Fabricación de Cápsulas</t>
  </si>
  <si>
    <t>Carril Rodriguez Peña 6192</t>
  </si>
  <si>
    <t>4249001 /  2615095511</t>
  </si>
  <si>
    <t>Y8-Y12-Y42-Y48</t>
  </si>
  <si>
    <t>361/2016</t>
  </si>
  <si>
    <t>G - 000910</t>
  </si>
  <si>
    <t>EX -2018-01591268-GDEMZA-DPA#SAYOT</t>
  </si>
  <si>
    <t>NAIR LA STAZIONE S.A.</t>
  </si>
  <si>
    <t>30-71127866-0</t>
  </si>
  <si>
    <t>Rivadavia 38  esq. San Martín</t>
  </si>
  <si>
    <t>nazarenosanchez08@hotmail.com, anticipar3@gmail.com</t>
  </si>
  <si>
    <t>02623-494188 - 2613058503</t>
  </si>
  <si>
    <t>382/2016</t>
  </si>
  <si>
    <t>G - 000911</t>
  </si>
  <si>
    <t>EX -2018-02274964-GDEMZA-DPA#SAYOT</t>
  </si>
  <si>
    <t>GUEVARA, CARLOS y OROZCO, EDUARDO DANIEL S.H</t>
  </si>
  <si>
    <t>30-71422405-7</t>
  </si>
  <si>
    <t>Olavarría 32</t>
  </si>
  <si>
    <t>carlosguevara477@yahoo.com.ar, nelsongenna68@gmail.com</t>
  </si>
  <si>
    <t>261-4238808</t>
  </si>
  <si>
    <t>138/2017</t>
  </si>
  <si>
    <t>G - 000912</t>
  </si>
  <si>
    <t>EX-2024-05769791-   -GDEMZA-DPA#SAYOT - TC - EX -2018-01561532-GDEMZA-DPA#SAYOT</t>
  </si>
  <si>
    <t>GRUPO BC SA</t>
  </si>
  <si>
    <t>30-71826442-8</t>
  </si>
  <si>
    <t>Comercialización de aceites lubricantes</t>
  </si>
  <si>
    <t>Carril Godoy Cruz 1467</t>
  </si>
  <si>
    <t>administracionmza@lubricantesmalaisi.com.ar, flavibonet@gmail.com, gerenciamza@lubricantesmalaisi.com.ar</t>
  </si>
  <si>
    <t>436/2016</t>
  </si>
  <si>
    <t>G - 000913</t>
  </si>
  <si>
    <t>EX -2018-03061052-GDEMZA-DPA#SAYOT</t>
  </si>
  <si>
    <t>BODEGAS ESMERALDA S.A. - JUNIN -</t>
  </si>
  <si>
    <t>30-50258442-8</t>
  </si>
  <si>
    <t>Elaboración de Vino</t>
  </si>
  <si>
    <t>Martinez s/n</t>
  </si>
  <si>
    <t>pgutierrez@bodegasesmeralda.com.ar, lkuschnaroff@catenazapata.com, jbustos@bodegasesmeralda.com.ar</t>
  </si>
  <si>
    <t>261-4629100</t>
  </si>
  <si>
    <t>438/2016</t>
  </si>
  <si>
    <t>G - 000914</t>
  </si>
  <si>
    <t>EX -2018-03061067-GDEMZA-DPA#SAYOT</t>
  </si>
  <si>
    <t>BODEGAS ESMERALDA S.A. - TUNUYÁN -</t>
  </si>
  <si>
    <t>Ruta Prov. 92 Km. 19</t>
  </si>
  <si>
    <t xml:space="preserve">Vista Flores </t>
  </si>
  <si>
    <t>pgutierrez@bodegasesmeralda.com.ar, lkuschnaroff@catenazapata.com, lviaeretti@bodegasesmeralda.com.ar, ms.alonso@yahoo.com.ar</t>
  </si>
  <si>
    <t>435/2016</t>
  </si>
  <si>
    <t>G - 000915</t>
  </si>
  <si>
    <t>EX -2018-01793162-GDEMZA-DPA#SAYOT</t>
  </si>
  <si>
    <t>FRANCIA REPUESTOS y SERVICIOS S.R.L.</t>
  </si>
  <si>
    <t>30-71401588-1</t>
  </si>
  <si>
    <t>Servicios de Mecánica y Repuestos</t>
  </si>
  <si>
    <t>Francia 471</t>
  </si>
  <si>
    <t>franciamecanica@gmail.com, vani4matcovich@gmail.com, luismatcovich@gmail.com</t>
  </si>
  <si>
    <t>4245084 - 2616652759</t>
  </si>
  <si>
    <t>437/2016</t>
  </si>
  <si>
    <t>G - 000917</t>
  </si>
  <si>
    <t>EX -2018-01464326-GDEMZA-DPA#SAYOT</t>
  </si>
  <si>
    <t>SEGURA LEANDRO ARIEL</t>
  </si>
  <si>
    <t>23-33461003-9</t>
  </si>
  <si>
    <t>Ceretti 231 /229</t>
  </si>
  <si>
    <t>leoseguraa18@gmail.com</t>
  </si>
  <si>
    <t>450/2016</t>
  </si>
  <si>
    <t>G - 000918</t>
  </si>
  <si>
    <t>EX -2018-3061119-GDEMZA-DPA#SAYOT</t>
  </si>
  <si>
    <t>FERRER JOSÉ</t>
  </si>
  <si>
    <t>23-14428005-9</t>
  </si>
  <si>
    <t>Pedro Molina 133</t>
  </si>
  <si>
    <t>gestoriaambiental.mza@gmail.com, ferrer40@yahoo.com.ar</t>
  </si>
  <si>
    <t>135/2017</t>
  </si>
  <si>
    <t>G - 000919</t>
  </si>
  <si>
    <t>EX2020-641540-GDEMZA-DPA#SAYOT - TC- EX -2018-00162302-GDEMZA-DPA#SAYOT</t>
  </si>
  <si>
    <t>HARIN SAS</t>
  </si>
  <si>
    <t>30-71670523-0</t>
  </si>
  <si>
    <t>Taller de chapería y pintura</t>
  </si>
  <si>
    <t>Sarmiento  Nº 70</t>
  </si>
  <si>
    <t>gestoriaambiental.mza@gmail.com, tallerrenovart@gmail.com</t>
  </si>
  <si>
    <t>2616631257/ 2615556732</t>
  </si>
  <si>
    <t>446/2016</t>
  </si>
  <si>
    <t>G - 000920</t>
  </si>
  <si>
    <t>EX -2018-03061093-GDEMZA-DPA#SAYOT</t>
  </si>
  <si>
    <t>FLEXPRESS S.A.</t>
  </si>
  <si>
    <t>30-71173546-8</t>
  </si>
  <si>
    <t>Fotocromía</t>
  </si>
  <si>
    <t>Montecseros 1863</t>
  </si>
  <si>
    <t>Y16-Y48</t>
  </si>
  <si>
    <t>217/2017</t>
  </si>
  <si>
    <t>G - 000921</t>
  </si>
  <si>
    <t>EX-2025-01523702-   -GDEMZA-DPA#SAYOT - TC - EX -2018-02274902-GDEMZA-DPA#SAYOT</t>
  </si>
  <si>
    <t>ADMA S.A.</t>
  </si>
  <si>
    <t>33-71540749-9</t>
  </si>
  <si>
    <t>Estación de servicio  dual</t>
  </si>
  <si>
    <t>Juan Isidro Maza y Acceso Este</t>
  </si>
  <si>
    <t>emilianobocchi@gmail.com, gmantonetti@yahoo.com.ar, santiagoarayaaccion@gmail.com</t>
  </si>
  <si>
    <t>207/2017</t>
  </si>
  <si>
    <t>G - 000922</t>
  </si>
  <si>
    <t>EX -2018-03061138-GDEMZA-DPA#SAYOT</t>
  </si>
  <si>
    <t>FENIX S.A.</t>
  </si>
  <si>
    <t>30-67224214-9</t>
  </si>
  <si>
    <t>Fab. de pures, simples y desecados,  de frutas y hortalizas</t>
  </si>
  <si>
    <t>Ruta 188 Km 800</t>
  </si>
  <si>
    <t>mroldan@fenixarg.com.ar, mperon@fenixarg.com.ar, jmnacar78@gmail.com</t>
  </si>
  <si>
    <t>132/2017</t>
  </si>
  <si>
    <t>G - 000923</t>
  </si>
  <si>
    <t>EX -2018-03327297-GDEMZA-DPA#SAYOT</t>
  </si>
  <si>
    <t>MANDISOVI S.R.L.</t>
  </si>
  <si>
    <t>30-65247316-0</t>
  </si>
  <si>
    <t>Estación de Servicios dual con lavadero</t>
  </si>
  <si>
    <t>Urquiza 2599</t>
  </si>
  <si>
    <t>carlos_e_schneider@hotmail.com, mandisovisrl@gmail.com</t>
  </si>
  <si>
    <t xml:space="preserve">2615659020 - 2615456925
</t>
  </si>
  <si>
    <t>209/2017</t>
  </si>
  <si>
    <t>G - 000924</t>
  </si>
  <si>
    <t>EX -2018-02066648-GDEMZA-DPA#SAYOT</t>
  </si>
  <si>
    <t>PARIS JOSE ALBERTO- Depósito Nº 2</t>
  </si>
  <si>
    <t>Miguel Cané s/n</t>
  </si>
  <si>
    <t>VillaNueva</t>
  </si>
  <si>
    <t>154150320 - 02615980649</t>
  </si>
  <si>
    <t>148/2017</t>
  </si>
  <si>
    <t>G - 000925</t>
  </si>
  <si>
    <t>EX -2018-02095456-GDEMZA-DPA#SAYOT</t>
  </si>
  <si>
    <t>PARIS JOSE ALBERTO - Depósito Nº 1</t>
  </si>
  <si>
    <t>chcaritaparisautopartes@hotmail.com, consulgreenmendoza@gmail.com</t>
  </si>
  <si>
    <t xml:space="preserve">154150320 - 0261-5980649
</t>
  </si>
  <si>
    <t>133/2017</t>
  </si>
  <si>
    <t>G - 000926</t>
  </si>
  <si>
    <t>EX -2018-03307559-GDEMZA-DPA#SAYOT</t>
  </si>
  <si>
    <t>ORTIZ, JORGE RAÚL</t>
  </si>
  <si>
    <t>20-13061887-2</t>
  </si>
  <si>
    <t>Sarmiento 220</t>
  </si>
  <si>
    <t>j_ortizgambino@hotmail.com</t>
  </si>
  <si>
    <t>125/2017</t>
  </si>
  <si>
    <t>G - 000927</t>
  </si>
  <si>
    <t>EX -2018-03307561-GDEMZA-DPA#SAYOT</t>
  </si>
  <si>
    <t>BADABING S.A.</t>
  </si>
  <si>
    <t>30-71535296-2</t>
  </si>
  <si>
    <t>desarmadero- guarda de vehiculos</t>
  </si>
  <si>
    <t>Tomas Godoy Cruz 373</t>
  </si>
  <si>
    <t xml:space="preserve"> GUAYMALLEN</t>
  </si>
  <si>
    <t>136/2017</t>
  </si>
  <si>
    <t>G - 000928</t>
  </si>
  <si>
    <t>EX -2018-03327284-GDEMZA-DPA#SAYOT</t>
  </si>
  <si>
    <t>CEREZO FRANCISCO ALBERTO</t>
  </si>
  <si>
    <t>23-11609416-9</t>
  </si>
  <si>
    <t>Elaboración y fraccionamiento de productos de limpieza</t>
  </si>
  <si>
    <t>Pasteur 710</t>
  </si>
  <si>
    <t>Alvarez Condarco 2020</t>
  </si>
  <si>
    <t>fralberto988@hotmail.com</t>
  </si>
  <si>
    <t>Y34-Y35-Y48</t>
  </si>
  <si>
    <t>116/2017</t>
  </si>
  <si>
    <t>G - 000929</t>
  </si>
  <si>
    <t>EX -2018-03307563-GDEMZA-DPA#SAYOT</t>
  </si>
  <si>
    <t>RU COL LUBRICENTRO de COLA MARIA LAURA</t>
  </si>
  <si>
    <t>27-28111156-1</t>
  </si>
  <si>
    <t>Paso de Los Andes 560</t>
  </si>
  <si>
    <t>marialauracola@gmail.com</t>
  </si>
  <si>
    <t>193/2017</t>
  </si>
  <si>
    <t>G - 000930</t>
  </si>
  <si>
    <t>EX -2018-02881464-GDEMZA-DPA#SAYOT</t>
  </si>
  <si>
    <t>TECSAN de SANCHEZ GABRIEL DARIO</t>
  </si>
  <si>
    <t>23-32980621-9</t>
  </si>
  <si>
    <t>Mantenimiento y reparación de Transformadores eléctricos</t>
  </si>
  <si>
    <t>Felix Suarez 1618</t>
  </si>
  <si>
    <t>9 de Julio s/n</t>
  </si>
  <si>
    <t>gaby-sanchez88@hotmail.com</t>
  </si>
  <si>
    <t>190/2017</t>
  </si>
  <si>
    <t>G - 000931</t>
  </si>
  <si>
    <t>EX -2018-01747791-GDEMZA-DPA#SAYOT</t>
  </si>
  <si>
    <t>DIAZ MARIA CRISTINA</t>
  </si>
  <si>
    <t>23-11809420-4</t>
  </si>
  <si>
    <t>Venta de baterias</t>
  </si>
  <si>
    <t>Moldes 1432</t>
  </si>
  <si>
    <t>gestoriaambiental.mza@gmail.com, info@bateriasgarcia.com.ar</t>
  </si>
  <si>
    <t>2615502453 - 2616631257</t>
  </si>
  <si>
    <t>Y8-Y34-Y48</t>
  </si>
  <si>
    <t>161/2017</t>
  </si>
  <si>
    <t>G - 000932</t>
  </si>
  <si>
    <t>EX -2018-01738737-GDEMZA-DPA#SAYOT</t>
  </si>
  <si>
    <t>SDP S.A.</t>
  </si>
  <si>
    <t>30-69027958-0</t>
  </si>
  <si>
    <t>Maza 3029 esq. Bruno Moron</t>
  </si>
  <si>
    <t>sdpsa1gulf@gmail.com, emilambertucci@hotmail.com</t>
  </si>
  <si>
    <t>4932167 / 261-5273461</t>
  </si>
  <si>
    <t>134/2017</t>
  </si>
  <si>
    <t>G - 000933</t>
  </si>
  <si>
    <t>EX -2018-01543079-GDEMZA-DPA#SAYOT</t>
  </si>
  <si>
    <t>GALVAMEN S.A.</t>
  </si>
  <si>
    <t>30-69580613-9</t>
  </si>
  <si>
    <t>Metalurgica y galvanoplastia</t>
  </si>
  <si>
    <t>Juan G. Godoy 127</t>
  </si>
  <si>
    <t>compras@galvamen.com</t>
  </si>
  <si>
    <t>Y8-Y33-Y34-Y35-Y48</t>
  </si>
  <si>
    <t>249/2017</t>
  </si>
  <si>
    <t>G - 000935</t>
  </si>
  <si>
    <t>EX-2024-05610690- -GDEMZA-DPA#SAYOT - TC - EX -2018-02072422-GDEMZA-DPA#SAYOT</t>
  </si>
  <si>
    <t>ANARA SA</t>
  </si>
  <si>
    <t>30-71118137-3</t>
  </si>
  <si>
    <t>Ruta 40 km 23,5</t>
  </si>
  <si>
    <t>hsemza@gmail.com, nerina.ruggeri@hotmail.com</t>
  </si>
  <si>
    <t>511/2017</t>
  </si>
  <si>
    <t>G - 000936</t>
  </si>
  <si>
    <t>EX -2018-02274946-GDEMZA-DPA#SAYOT</t>
  </si>
  <si>
    <t>TRANSPORTES MORTALONI S.R.L.</t>
  </si>
  <si>
    <t>30-67201633-5</t>
  </si>
  <si>
    <t>Transporte de cargas general,  local e internacional</t>
  </si>
  <si>
    <t>Benavente  5745</t>
  </si>
  <si>
    <t>Julio A. Roca 1989</t>
  </si>
  <si>
    <t>ycapellozza@gmail.com</t>
  </si>
  <si>
    <t xml:space="preserve">2614213921 /2616244666 </t>
  </si>
  <si>
    <t>154/2017</t>
  </si>
  <si>
    <t>1034395- 1084249</t>
  </si>
  <si>
    <t>G - 000937</t>
  </si>
  <si>
    <t>EX -2018-03061180-GDEMZA-DPA#SAYOT</t>
  </si>
  <si>
    <t>TECNO REDES Y OBRAS S.R.L.</t>
  </si>
  <si>
    <t>30-71024342-1</t>
  </si>
  <si>
    <t xml:space="preserve">Obras de Red de Gas Natural </t>
  </si>
  <si>
    <t>Acceso Este Lat. Sur  6247</t>
  </si>
  <si>
    <t>Jesús nazareno</t>
  </si>
  <si>
    <t>Ruta Prov. 13 y Bariloche</t>
  </si>
  <si>
    <t>info@tecnoredesyobras.com.ar, gmvlopez@speedy.com.ar</t>
  </si>
  <si>
    <t>Y8- Y48</t>
  </si>
  <si>
    <t>142/2017</t>
  </si>
  <si>
    <t>G - 000938</t>
  </si>
  <si>
    <t>EX -2018-2881456-GDEMZA-DPA#SAYOT</t>
  </si>
  <si>
    <t>BROBOBECK CLAUDIO ALBERTO</t>
  </si>
  <si>
    <t>20-24207812-9</t>
  </si>
  <si>
    <t>Lavadero de autos</t>
  </si>
  <si>
    <t>Salta 445</t>
  </si>
  <si>
    <t>claudioabrobobeck@yahoo.com</t>
  </si>
  <si>
    <t>156/2017</t>
  </si>
  <si>
    <t>G - 000939</t>
  </si>
  <si>
    <t>EX -2018-03060212-GDEMZA-DPA#SAYOT</t>
  </si>
  <si>
    <t>ZARATE JUAN FRANCISCO</t>
  </si>
  <si>
    <t>20-24860999-1</t>
  </si>
  <si>
    <t>Cervantes 1345</t>
  </si>
  <si>
    <t>153/2017</t>
  </si>
  <si>
    <t>G - 000940</t>
  </si>
  <si>
    <t>EX -2018-01464393-GDEMZA-DPA#SAYOT</t>
  </si>
  <si>
    <t>PALDEN S.A.</t>
  </si>
  <si>
    <t>30-70813969-2</t>
  </si>
  <si>
    <t>Estación de Servicios -GNC</t>
  </si>
  <si>
    <t>Callea Correa Nº 505</t>
  </si>
  <si>
    <t>dariosilva@paldensa.com.ar, nelsongenna68@gmail.com</t>
  </si>
  <si>
    <t>223/2017</t>
  </si>
  <si>
    <t>G - 000941</t>
  </si>
  <si>
    <t>EX -2018-02518667-GDEMZA-DPA#SAYOT</t>
  </si>
  <si>
    <t>MAG S.R.L.</t>
  </si>
  <si>
    <t>30-61840588-1</t>
  </si>
  <si>
    <t>Vta., fraccionamiento y distribución de produectos qcos</t>
  </si>
  <si>
    <t>Rodriguez Peña 2390</t>
  </si>
  <si>
    <t>mauro.g.trotta@gmail.com, fsalvi@magsrl.com.ar, nsalvi@magsrl.com.ar</t>
  </si>
  <si>
    <t>2615389983 - 2615079327</t>
  </si>
  <si>
    <t>221/2017</t>
  </si>
  <si>
    <t>G - 000942</t>
  </si>
  <si>
    <t>EX -2018-02274925-GDEMZA-DPA#SAYOT</t>
  </si>
  <si>
    <t>ALTO BARRIALES S.A.</t>
  </si>
  <si>
    <t>30-71421119-2</t>
  </si>
  <si>
    <t xml:space="preserve">San Martín 3586 </t>
  </si>
  <si>
    <t>Libertador San Martín 1124</t>
  </si>
  <si>
    <t>Los Barriales</t>
  </si>
  <si>
    <t>anticipar3@gmail.com, estaciondinamica@yahoo.com.ar</t>
  </si>
  <si>
    <t>0261-4952289/  4965222</t>
  </si>
  <si>
    <t>515/2017</t>
  </si>
  <si>
    <t>G - 000943</t>
  </si>
  <si>
    <t>EX-2018--01658970-GDEMZA-DPA#SAYOT</t>
  </si>
  <si>
    <t>DENVER S.A. - GODOY CRUZ -</t>
  </si>
  <si>
    <t>Concesionaria de automóviles</t>
  </si>
  <si>
    <t>Rodriguez Peña Nº 2225</t>
  </si>
  <si>
    <t>aldialcaraz@gmail.com, mcucchy@autogsm.com.ar</t>
  </si>
  <si>
    <t>0263-4427565 /6  0261-4320320</t>
  </si>
  <si>
    <t>522/2017</t>
  </si>
  <si>
    <t>G - 000944</t>
  </si>
  <si>
    <t>EX-2018--03061198-GDEMZA-DPA#SAYOT</t>
  </si>
  <si>
    <t>DACAR GNC S.A.</t>
  </si>
  <si>
    <t>33-69494404-9</t>
  </si>
  <si>
    <t>Expendio de GNC</t>
  </si>
  <si>
    <t>Chañar 12  y San Luis</t>
  </si>
  <si>
    <t>dacargnc2sa@gmail.com, hugo.baldin@gmail.com</t>
  </si>
  <si>
    <t>263-4253231 / 261-4549363</t>
  </si>
  <si>
    <t>524/2017</t>
  </si>
  <si>
    <t>G - 000945</t>
  </si>
  <si>
    <t>EX-2018--01491228-GDEMZA-DPA#SAYOT</t>
  </si>
  <si>
    <t>LEMIRO PABLO PIETROBONI S.A.</t>
  </si>
  <si>
    <t>30-53300416-0</t>
  </si>
  <si>
    <t>Construcción - mantenimiento de Rutas</t>
  </si>
  <si>
    <t>Av. Mitre 1939 Dpto. 2 Planta alta</t>
  </si>
  <si>
    <t>Mendoza</t>
  </si>
  <si>
    <t>Ruta Nacional  Nº 143 Km 511</t>
  </si>
  <si>
    <t>cferreira@lppietroboni.com.ar, higiene.seguridad.sr@gmail.com</t>
  </si>
  <si>
    <t>442525  / 0260 154693811</t>
  </si>
  <si>
    <t>219/ 2017</t>
  </si>
  <si>
    <t>G - 000946</t>
  </si>
  <si>
    <t>EX-2018--01680281-GDEMZA-DPA#SAYOT</t>
  </si>
  <si>
    <t>G7 S.A.</t>
  </si>
  <si>
    <t>30-71489237-8</t>
  </si>
  <si>
    <t>Estación de Servicio de GNC</t>
  </si>
  <si>
    <t>San Martín 1106</t>
  </si>
  <si>
    <t>gestoria ambientalmza@gmail.com</t>
  </si>
  <si>
    <t>2616631257 /5502457</t>
  </si>
  <si>
    <t>226/2017</t>
  </si>
  <si>
    <t>G - 000948</t>
  </si>
  <si>
    <t>EX-2018-01324932-GDEMZA-DPA#SAYOT</t>
  </si>
  <si>
    <t>PEREZ, LIDIA HAYDEE</t>
  </si>
  <si>
    <t>27-13556781-2</t>
  </si>
  <si>
    <t>VTA DE LUBRICANTES Y REPUESTOS</t>
  </si>
  <si>
    <t>Mariano Moreno 1446</t>
  </si>
  <si>
    <t xml:space="preserve">Vistalba </t>
  </si>
  <si>
    <t>tramiteslucero2016@gmail.com, lubricentrovr@gmail.com</t>
  </si>
  <si>
    <t>208/2017</t>
  </si>
  <si>
    <t>G - 000949</t>
  </si>
  <si>
    <t>EX-2018-02881466-GDEMZA-DPA#SAYOT</t>
  </si>
  <si>
    <t>VERTICE S.R.L.</t>
  </si>
  <si>
    <t>30-56363838-5</t>
  </si>
  <si>
    <t>San Martín 678, 5º PISO  (ENACON- Dr. Bortidi)</t>
  </si>
  <si>
    <t>Av Juan Bautista Alberdi 465</t>
  </si>
  <si>
    <t>administración@verticesrl.com.ar, cristiancollazo@hotmail.com</t>
  </si>
  <si>
    <t>204/2017</t>
  </si>
  <si>
    <t>G - 000950</t>
  </si>
  <si>
    <t>EX-2018-01489427-GDEMZA-DPA#SAYOT</t>
  </si>
  <si>
    <t>RED CORDOBA S.A.</t>
  </si>
  <si>
    <t>30-71000185-1</t>
  </si>
  <si>
    <t>Construcción y reparación de edificios no residenciales y estructuras metálicas</t>
  </si>
  <si>
    <t>Ruta 15 Km. 38 s/n</t>
  </si>
  <si>
    <t>Parque Industrial Municipal - lote G-7</t>
  </si>
  <si>
    <t>ocampos@redcordobasa.com.ar, hscordoba@redcordobasa.com.ar, dcordoba@redcordobasa.com.ar</t>
  </si>
  <si>
    <t>527/2017</t>
  </si>
  <si>
    <t>G - 000951</t>
  </si>
  <si>
    <t>EX-2018-03327254-GDEMZA-DPA#SAYOT</t>
  </si>
  <si>
    <t>TIERRA DEL SUD S.A</t>
  </si>
  <si>
    <t>30-70853904-6</t>
  </si>
  <si>
    <t>Venta de madera - Impregnación</t>
  </si>
  <si>
    <t>Carlos W. Lencinas 1030</t>
  </si>
  <si>
    <t>Acceso Sur, Lat. O y Olavarría</t>
  </si>
  <si>
    <t>info@terradelsud.com.ar</t>
  </si>
  <si>
    <t>Y5-Y8-Y48</t>
  </si>
  <si>
    <t>541/2017</t>
  </si>
  <si>
    <t>G - 000952</t>
  </si>
  <si>
    <t>EX-2018-01738792-GDEMZA-DPA#SAYOT</t>
  </si>
  <si>
    <t>PETROLERA ALVEAR S.R.L.</t>
  </si>
  <si>
    <t>30-54529098-3</t>
  </si>
  <si>
    <t>Transporte de cargas generales</t>
  </si>
  <si>
    <t>Alsina 2092</t>
  </si>
  <si>
    <t>Av. Alvear Este 1099</t>
  </si>
  <si>
    <t>logistica@petroleraalvearsrl.com.ar, sergiolarregola@hotmail.com, raimondicarlos@yahoo.com.ar</t>
  </si>
  <si>
    <t>2625425200 - 2625511051</t>
  </si>
  <si>
    <t>213/2017</t>
  </si>
  <si>
    <t>G - 000953</t>
  </si>
  <si>
    <t>EX-2022-01395141-   -GDEMZA-DPA#SAYOT - TC - EX-2018-02066654-GDEMZA-DPA#SAYOT</t>
  </si>
  <si>
    <t>VIBRANIUM SAS</t>
  </si>
  <si>
    <t>Joaquín V. Gonzalez 1285</t>
  </si>
  <si>
    <t>anticipar3@gmail.com, copectrapiche@yahoo.com.ar</t>
  </si>
  <si>
    <t>212/2017</t>
  </si>
  <si>
    <t>G - 000954</t>
  </si>
  <si>
    <t>EX-2018-00164391-GDEMZA-DPA#SAYOT</t>
  </si>
  <si>
    <t>ZUCCAR ANGEL</t>
  </si>
  <si>
    <t>20-08023924-7</t>
  </si>
  <si>
    <t>Construcción de redes de gas y conexiones domiciliarios</t>
  </si>
  <si>
    <t xml:space="preserve">Jose Manuel Estrada Nº 165 </t>
  </si>
  <si>
    <t>2º CALLEJON MORALES Nº 31</t>
  </si>
  <si>
    <t>zuccarhnos@yahoo.com.ar; licmartinaguero@gmail.com</t>
  </si>
  <si>
    <t>200/2017</t>
  </si>
  <si>
    <t>G - 000955</t>
  </si>
  <si>
    <t>EX-2018-02518681-GDEMZA-DPA#SAYOT</t>
  </si>
  <si>
    <t>ATS AUDITORIAS S.A.</t>
  </si>
  <si>
    <t>30-71118954-4</t>
  </si>
  <si>
    <t>Taller de rehabilitación de tques  fijos y móviles para gas licuado</t>
  </si>
  <si>
    <t>Lamadrid 241</t>
  </si>
  <si>
    <t xml:space="preserve">Parcela "B" Sector 7 </t>
  </si>
  <si>
    <t>atsauditoria@gmail.com</t>
  </si>
  <si>
    <t>G - 000956</t>
  </si>
  <si>
    <t>EX-2018-02582835-GDEMZA-DPA#SAYOT</t>
  </si>
  <si>
    <t>MALLEA LUCAS GUSTAVO</t>
  </si>
  <si>
    <t>20-37622175-0</t>
  </si>
  <si>
    <t>Lubricentro y casa de repuestos</t>
  </si>
  <si>
    <t>Las Palmeras 3131</t>
  </si>
  <si>
    <t>lucasgustavomallea@outlook.com</t>
  </si>
  <si>
    <t>227/2017</t>
  </si>
  <si>
    <t>G - 000957</t>
  </si>
  <si>
    <t>EX-2018-03060198-GDEMZA-DPA#SAYOT</t>
  </si>
  <si>
    <t>TWO BROTHERS S.A.</t>
  </si>
  <si>
    <t>30-70973398-9</t>
  </si>
  <si>
    <t>EESS vta de GNC</t>
  </si>
  <si>
    <t>Chile y Moreno s/n</t>
  </si>
  <si>
    <t xml:space="preserve">ndgarro2004@gmail.com, marcelavidela075@gmail.com, </t>
  </si>
  <si>
    <t xml:space="preserve">2616313791 - 2615687909
</t>
  </si>
  <si>
    <t>262/2017</t>
  </si>
  <si>
    <t>G - 000958</t>
  </si>
  <si>
    <t>EX-2018-03060161-GDEMZA-DPA#SAYOT</t>
  </si>
  <si>
    <t>CONCORD GAS S.A.</t>
  </si>
  <si>
    <t>30-70317110-5</t>
  </si>
  <si>
    <t>EESS  GNC</t>
  </si>
  <si>
    <t>Tropero Sosa 1290 esq. Barcala</t>
  </si>
  <si>
    <t>concordgas@yahoo.com.ar, hugo.baldin@gmail.com</t>
  </si>
  <si>
    <t>4310587 / 261-5690552</t>
  </si>
  <si>
    <t>404/2017</t>
  </si>
  <si>
    <t>G - 000960</t>
  </si>
  <si>
    <t>EX-2023-01643940-   -GDEMZA-DPA#SAYOT - TC - EX-2018-01593772-GDEMZA-DPA#SAYOT</t>
  </si>
  <si>
    <t>CABRERA SONIA GABRIELA</t>
  </si>
  <si>
    <t>27-26297715-9</t>
  </si>
  <si>
    <t>Paso de los Andes 1830</t>
  </si>
  <si>
    <t>consulgreenmendoza@gmail.com, bartolomeogustavo@gmail.com, diegoescayol@hotmail.com</t>
  </si>
  <si>
    <t>231/2017</t>
  </si>
  <si>
    <t>G - 000961</t>
  </si>
  <si>
    <t>EX-2018-03060175-GDEMZA-DPA#SAYOT</t>
  </si>
  <si>
    <t>MATILDE S.A.A.G.</t>
  </si>
  <si>
    <t>30-61062429-0</t>
  </si>
  <si>
    <t>Joaquin V. Gonzalez 599 y Salvador Civit</t>
  </si>
  <si>
    <t>agustinacrs@gmail.com, carlosjbaggio@yahoo.com.ar</t>
  </si>
  <si>
    <t>0261-4351086 - 4527451</t>
  </si>
  <si>
    <t>232/2017</t>
  </si>
  <si>
    <t>G - 000962</t>
  </si>
  <si>
    <t>EX-2018-01452564-GDEMZA-DPA#SAYOT</t>
  </si>
  <si>
    <t>BOGGIA LUIS LORENZO</t>
  </si>
  <si>
    <t>20-17171807-5</t>
  </si>
  <si>
    <t>Cervantes 1605</t>
  </si>
  <si>
    <t>luisboggia22@gmail.com, tramiteslucero2016@gmail.com</t>
  </si>
  <si>
    <t>424/2017</t>
  </si>
  <si>
    <t>G - 000963</t>
  </si>
  <si>
    <t>CAR GAS S.R.L.</t>
  </si>
  <si>
    <t>30-69943647-6</t>
  </si>
  <si>
    <t>Benavente 5745 Capilla del Rosario</t>
  </si>
  <si>
    <t>Hipólito Yrigoyen 1975</t>
  </si>
  <si>
    <t xml:space="preserve"> j.l.venier@hotmail.com, cargassrl@infovia.com.ar</t>
  </si>
  <si>
    <t>261-4213921 261-6244666</t>
  </si>
  <si>
    <t>528/2017</t>
  </si>
  <si>
    <t>G - 000964</t>
  </si>
  <si>
    <t>EX-2018-01747690-GDEMZA-DPA#SAYOT</t>
  </si>
  <si>
    <t>ISLA GRANDE S.R.L.</t>
  </si>
  <si>
    <t>30-70816643-6</t>
  </si>
  <si>
    <t>Ruta 60 y Callejón Gadella s/n</t>
  </si>
  <si>
    <t>Isla Grande San Roque</t>
  </si>
  <si>
    <t>islagrande@hotmail.com.ar, lic.verdaguer@hotmail.com</t>
  </si>
  <si>
    <t>02634-622964</t>
  </si>
  <si>
    <t>534/2017</t>
  </si>
  <si>
    <t>G - 000965</t>
  </si>
  <si>
    <t>EX-2018-03302289-GDEMZA-DPA#SAYOT</t>
  </si>
  <si>
    <t>PUNTO MITRE S.R.L.</t>
  </si>
  <si>
    <t>33-70751001-9</t>
  </si>
  <si>
    <t>Mitre 699</t>
  </si>
  <si>
    <t>Mitre 699 esq. Italia</t>
  </si>
  <si>
    <t xml:space="preserve"> j.l.venier@hotmail.com, jlvenier@speedy.com.ar, puntomitre@gmail.com</t>
  </si>
  <si>
    <t>530/2017</t>
  </si>
  <si>
    <t>G - 000968</t>
  </si>
  <si>
    <t>EX-2022-01408809- -GDEMZA-DPA#SAYOT - TC - EX-2018-01787924-GDEMZA-DPA#SAYOT</t>
  </si>
  <si>
    <t>EMPRENDIMIENTO LEVI SAS</t>
  </si>
  <si>
    <t>33-71711564-9</t>
  </si>
  <si>
    <t>Auto lavado de automotores</t>
  </si>
  <si>
    <t>Bandera de los Andes 1156</t>
  </si>
  <si>
    <t>2616631257- 2615502453</t>
  </si>
  <si>
    <t>420/2017</t>
  </si>
  <si>
    <t>G - 000969</t>
  </si>
  <si>
    <t>EX-2018-01621864-GDEMZA-DPA#SAYOT</t>
  </si>
  <si>
    <t>FORNER S.R.L.</t>
  </si>
  <si>
    <t>30-60546425-0</t>
  </si>
  <si>
    <t>reparación y vta de equipos electromecanicos</t>
  </si>
  <si>
    <t>Rodriguez Peña 820</t>
  </si>
  <si>
    <t>daniela.forner@fornersrl.com.ar, gabriel.forner@fornersrl.com.ar, lopezandreadaniela87@gmail.com</t>
  </si>
  <si>
    <t>4978550 - 2615890477</t>
  </si>
  <si>
    <t>425/2017</t>
  </si>
  <si>
    <t>G - 000970</t>
  </si>
  <si>
    <t>EX-2024-01488053-   -GDEMZA-DPA#SAYOT - TC -  EX-2021-01489126- -GDEMZA-DPA#SAYOT TC EX-2018-02257357-GDEMZA-DPA#SAYOT</t>
  </si>
  <si>
    <t>DULCOR SA</t>
  </si>
  <si>
    <t>30-547759682-6</t>
  </si>
  <si>
    <t>Elaboración de pasta de frutas y verduras</t>
  </si>
  <si>
    <t>San Martín 1580</t>
  </si>
  <si>
    <t>manuel.mikleg@dulcor.com.ar, molmendo@yahoo.com.ar</t>
  </si>
  <si>
    <t>02622-492262 / 261155116189</t>
  </si>
  <si>
    <t>Y8-Y12-Y29-Y34-Y35-Y42-Y48</t>
  </si>
  <si>
    <t>545/2017</t>
  </si>
  <si>
    <t>G - 000971</t>
  </si>
  <si>
    <t>EX-2018-02811979-GDEMZA-DPA#SAYOT</t>
  </si>
  <si>
    <t>HUMBERTO MORILLAS S.A.</t>
  </si>
  <si>
    <t>30-71123596-1</t>
  </si>
  <si>
    <t>Tratamientos de residuos Peligrosos</t>
  </si>
  <si>
    <t>Don Quijote de la Mancha 2657</t>
  </si>
  <si>
    <t>Calle 3 s/n</t>
  </si>
  <si>
    <t>gabriela.morillas@alfaservice.com.ar, gabymorillas@gmail.com, produccion@alfaservice.com.ar</t>
  </si>
  <si>
    <t>Y8-Y9-Y34-Y48</t>
  </si>
  <si>
    <t>547/2017</t>
  </si>
  <si>
    <t>G - 000972</t>
  </si>
  <si>
    <t>EX-2018-01470938-GDEMZA-DPA#SAYOT</t>
  </si>
  <si>
    <t>CLEME S.A.</t>
  </si>
  <si>
    <t>30-68416212-4</t>
  </si>
  <si>
    <t>Distribuidor diesel</t>
  </si>
  <si>
    <t>Acceso Este y Carril Los Alamos</t>
  </si>
  <si>
    <t>Av. Lateral Acceso Sur s/n entre Olavarria y Quintana / ACCESO SUR LATERAL ESTE Y CALLEJON MALDONADO</t>
  </si>
  <si>
    <t>525/2017</t>
  </si>
  <si>
    <t>G - 000973</t>
  </si>
  <si>
    <t>EX-2018-02881454-GDEMZA-DPA#SAYOT</t>
  </si>
  <si>
    <t>CHIARA MOTORS S.A.</t>
  </si>
  <si>
    <t>30-71481169-6</t>
  </si>
  <si>
    <t>Venta de Motocicletas- Servicio de postventa</t>
  </si>
  <si>
    <t>409/2017</t>
  </si>
  <si>
    <t>G - 000974</t>
  </si>
  <si>
    <t>EX-2018-02692240-GDEMZA-DPA#SAYOT</t>
  </si>
  <si>
    <t>YACOPINI SUD S.A. - Concesionario VW -</t>
  </si>
  <si>
    <t>30-70915918-2</t>
  </si>
  <si>
    <t>Compra y vta de automóviles nuevos y usados.  Servicio de postventa</t>
  </si>
  <si>
    <t>gaston.fougere@gmail.com, daniel.barberio@yacopini.com.ar</t>
  </si>
  <si>
    <t>0261-4424951 - 2614184227</t>
  </si>
  <si>
    <t>405/2017</t>
  </si>
  <si>
    <t>G - 000975</t>
  </si>
  <si>
    <t>EX-2018-01464593-GDEMZA-DPA#SAYOT</t>
  </si>
  <si>
    <t>ALDO TOLIN</t>
  </si>
  <si>
    <t>20-12783054-2</t>
  </si>
  <si>
    <t>Taller de vta., rep. De maquinarias agropec.</t>
  </si>
  <si>
    <t>Acceso Sur 7580</t>
  </si>
  <si>
    <t>admin@aldotolin.com</t>
  </si>
  <si>
    <t>4361332
 - 261-4361332</t>
  </si>
  <si>
    <t>423/2017</t>
  </si>
  <si>
    <t>G - 000976</t>
  </si>
  <si>
    <t>EX-2018-01534592-GDEMZA-DPA#SAYOT</t>
  </si>
  <si>
    <t>SUR FRANCE S.A. - Calle Victor Hugo -</t>
  </si>
  <si>
    <t>San Martin 540</t>
  </si>
  <si>
    <t>Victor Hugo 187</t>
  </si>
  <si>
    <t>435/2017</t>
  </si>
  <si>
    <t>G - 000978</t>
  </si>
  <si>
    <t>EX-2018-01621839-GDEMZA-DPA#SAYOT</t>
  </si>
  <si>
    <t>MARCELO FABIAN PRECIOSO</t>
  </si>
  <si>
    <t>20-20115134-2</t>
  </si>
  <si>
    <t>Rawson 480</t>
  </si>
  <si>
    <t>Rawson Nº 480 esq. Cervantes</t>
  </si>
  <si>
    <t>2616631257  /  5502453</t>
  </si>
  <si>
    <t>456/2017</t>
  </si>
  <si>
    <t>G - 000979</t>
  </si>
  <si>
    <t>EX-2018-02518653-GDEMZA-DPA#SAYOT</t>
  </si>
  <si>
    <t>COINGSA S.A.</t>
  </si>
  <si>
    <t>30-59048752-6</t>
  </si>
  <si>
    <t>construcción y reparación  de  caminos</t>
  </si>
  <si>
    <t>Julio Lemos 2984</t>
  </si>
  <si>
    <t>Ruta 40 Km 3313</t>
  </si>
  <si>
    <t>El Borbollon</t>
  </si>
  <si>
    <t>flaviovignera@coingsa.com.ar</t>
  </si>
  <si>
    <t>490/2017</t>
  </si>
  <si>
    <t>G - 000980</t>
  </si>
  <si>
    <t>EX-2018-01561550-GDEMZA-DPA#SAYOT</t>
  </si>
  <si>
    <t>COOP. TRAB. TRANSMETAL LTDA.</t>
  </si>
  <si>
    <t>33-67695724-9</t>
  </si>
  <si>
    <t>Transformadores eléctricos</t>
  </si>
  <si>
    <t xml:space="preserve">Rodriguez Peña 2396 </t>
  </si>
  <si>
    <t>2616631257 /2615502453</t>
  </si>
  <si>
    <t>573/2017</t>
  </si>
  <si>
    <t>G - 000982</t>
  </si>
  <si>
    <t>EX-2018-02728452-GDEMZA-DPA#SAYOT</t>
  </si>
  <si>
    <t>SAMPONI MARTIN OSCAR</t>
  </si>
  <si>
    <t>23-34012273-9</t>
  </si>
  <si>
    <t>taler de rectificaciones</t>
  </si>
  <si>
    <t>Independencia 227</t>
  </si>
  <si>
    <t>pariente.hugo@gmail.com</t>
  </si>
  <si>
    <t>261-154547871</t>
  </si>
  <si>
    <t>460/2017</t>
  </si>
  <si>
    <t>G - 000983</t>
  </si>
  <si>
    <t>EX-2019-6167707- -GDEMZA-DPA#SAYOT TC  EX-2018-01504107-GDEMZA-DPA#SAYOT</t>
  </si>
  <si>
    <t>CENCOSUD S.A. - Acc. Este y Concordia</t>
  </si>
  <si>
    <t>Alamcenamiento, distribución y logistica</t>
  </si>
  <si>
    <t>Acceso Este Lat. Norte y Concordia</t>
  </si>
  <si>
    <t>maria.fontana@cencosud.com.ar, administracion@geimsa.com.ar</t>
  </si>
  <si>
    <t>44998700/ 4919001</t>
  </si>
  <si>
    <t>Y8-Y9-Y12-Y29-Y31-Y34-Y41-Y48</t>
  </si>
  <si>
    <t>500/2017</t>
  </si>
  <si>
    <t>G - 000984</t>
  </si>
  <si>
    <t>EX-2018-01793137-GDEMZA-DPA#SAYOT</t>
  </si>
  <si>
    <t>SANCHEZ CARLOS ALBERTO y SANCHEZ OSCAR ROBERTO</t>
  </si>
  <si>
    <t>30-67637212-8</t>
  </si>
  <si>
    <t>Vta por mayor y menor de combustibles</t>
  </si>
  <si>
    <t>Dr. Moreno 284</t>
  </si>
  <si>
    <t>Colón y Belgrano s/n</t>
  </si>
  <si>
    <t>estacionshell@cossan.com.ar, jagaliano01@gmail.com</t>
  </si>
  <si>
    <t>436/2017</t>
  </si>
  <si>
    <t>G - 000986</t>
  </si>
  <si>
    <t xml:space="preserve"> EX-2018-00165213-GDEMZA-DPA#SAYOT</t>
  </si>
  <si>
    <t>MASCARELL, CRISTIAN GUSTAVO</t>
  </si>
  <si>
    <t>20-29745999-7</t>
  </si>
  <si>
    <t>Taller mecánica y rectificadora</t>
  </si>
  <si>
    <t>Pellegrini Nº 1285</t>
  </si>
  <si>
    <t>2616631257 - 2615502453</t>
  </si>
  <si>
    <t>Y8-Y9-Y49</t>
  </si>
  <si>
    <t>542/2017</t>
  </si>
  <si>
    <t>G - 000987</t>
  </si>
  <si>
    <t xml:space="preserve"> EX-2018-02586854-GDEMZA-DPA#SAYOT</t>
  </si>
  <si>
    <t>JOVAL S.A.</t>
  </si>
  <si>
    <t>30-71522361-5</t>
  </si>
  <si>
    <t>Construcción de Redes de  Gas y gasoductos</t>
  </si>
  <si>
    <t>LOS TAMARINDOS 1080</t>
  </si>
  <si>
    <t>Bº Las Pircas M-E C-2 Calle BoulogneSur Mer 1006</t>
  </si>
  <si>
    <t>adobras.jovalsa@gmail.com, jovalsa.mza@gmail.com</t>
  </si>
  <si>
    <t>261 -155278510</t>
  </si>
  <si>
    <t>406/2017</t>
  </si>
  <si>
    <t>G - 000988</t>
  </si>
  <si>
    <t xml:space="preserve"> EX-2018-01452635-GDEMZA-DPA#SAYOT</t>
  </si>
  <si>
    <t>SANS, MANUEL PABLO</t>
  </si>
  <si>
    <t>20-14759422-5</t>
  </si>
  <si>
    <t>Belgrano 107</t>
  </si>
  <si>
    <t>consulgreenmendoza@gmail.com, sansm8234@gmail.com</t>
  </si>
  <si>
    <t>261-155065576</t>
  </si>
  <si>
    <t>543/2017</t>
  </si>
  <si>
    <t>G - 000989</t>
  </si>
  <si>
    <t xml:space="preserve"> EX-2018-01452607-GDEMZA-DPA#SAYOT</t>
  </si>
  <si>
    <t>CEBALLOS, BEATRIZ</t>
  </si>
  <si>
    <t>27-23596320-0</t>
  </si>
  <si>
    <t>Joaquin V Gonzalez 156</t>
  </si>
  <si>
    <t>consulgreenmendoza@gmail.com, arielspecora@hotmail.com</t>
  </si>
  <si>
    <t>261-155165150</t>
  </si>
  <si>
    <t>452/2017</t>
  </si>
  <si>
    <t>G - 000990</t>
  </si>
  <si>
    <t xml:space="preserve"> EX-2018-02586781-GDEMZA-DPA#SAYOT</t>
  </si>
  <si>
    <t>MERLETTI, RAUL RAMON</t>
  </si>
  <si>
    <t>20-11396000-1</t>
  </si>
  <si>
    <t>Av. Tucumán 693</t>
  </si>
  <si>
    <t>261-6543400</t>
  </si>
  <si>
    <t>451/2017</t>
  </si>
  <si>
    <t>G - 000991</t>
  </si>
  <si>
    <t xml:space="preserve"> EX-2018-02280175-GDEMZA-DPA#SAYOT</t>
  </si>
  <si>
    <t>AUTOMOTORES GRAL. SAN MARTIN S.A. - Guaymallén -</t>
  </si>
  <si>
    <t xml:space="preserve">Av. 25 de Mayo Nº 5555  </t>
  </si>
  <si>
    <t>0263-4427565/6  0261-4133700</t>
  </si>
  <si>
    <t>421/2017</t>
  </si>
  <si>
    <t>G - 000992</t>
  </si>
  <si>
    <t xml:space="preserve"> EX-2024-790942- -GDEMZA-DPA#SAYOT - TC - EX-2018-03302186-GDEMZA-DPA#SAYOT</t>
  </si>
  <si>
    <t>PUENINCA SA</t>
  </si>
  <si>
    <t>30-71377550-5</t>
  </si>
  <si>
    <t>mantenimiento y recarga de matafuegos</t>
  </si>
  <si>
    <t xml:space="preserve">Predio 49 </t>
  </si>
  <si>
    <t>sig@pueninca.com.ar, administracion@pueninca.com.ar</t>
  </si>
  <si>
    <t>566/2017</t>
  </si>
  <si>
    <t>G - 000994</t>
  </si>
  <si>
    <t xml:space="preserve"> EX-2018-01782220-GDEMZA-DPA#SAYOT</t>
  </si>
  <si>
    <t>ELECTROMECANICA SIEM S.A.</t>
  </si>
  <si>
    <t>30-71192387-6</t>
  </si>
  <si>
    <t>Reparación y servicios eléctricos</t>
  </si>
  <si>
    <t>Calle Nueva 520</t>
  </si>
  <si>
    <t>edomingo@siemelectrico.com.ar, tramiteslucero2016@gmail.com</t>
  </si>
  <si>
    <t>4990107 - 2615110008</t>
  </si>
  <si>
    <t>568/2017</t>
  </si>
  <si>
    <t>G - 000996</t>
  </si>
  <si>
    <t xml:space="preserve"> EX-2018-03060113-GDEMZA-DPA#SAYOT</t>
  </si>
  <si>
    <t>PATER ET FILIUS S.A</t>
  </si>
  <si>
    <t>30-70989837-6</t>
  </si>
  <si>
    <t>Industrial y metalurgica</t>
  </si>
  <si>
    <t>Cº Santa Elena s/n (PIP)</t>
  </si>
  <si>
    <t xml:space="preserve">Perdriel </t>
  </si>
  <si>
    <t>Calle Pública Nº 2 - PIP</t>
  </si>
  <si>
    <t>564/2017</t>
  </si>
  <si>
    <t>G - 000997</t>
  </si>
  <si>
    <t xml:space="preserve"> EX-2018-03307554-GDEMZA-DPA#SAYOT</t>
  </si>
  <si>
    <t>GIMENEZ, MARIA EUGENIA</t>
  </si>
  <si>
    <t>27-25091869-6</t>
  </si>
  <si>
    <t>Lubricentro - Gomería</t>
  </si>
  <si>
    <t>Alberdi 528 / 562</t>
  </si>
  <si>
    <t>565/2017</t>
  </si>
  <si>
    <t>OFICIO</t>
  </si>
  <si>
    <t>G - 000998</t>
  </si>
  <si>
    <t xml:space="preserve"> EX-2018-001143634-GDEMZA-DPA#SAYOT</t>
  </si>
  <si>
    <t>HAZERA, ESTEBAN ALEJANDRO - Calle Cervantes -</t>
  </si>
  <si>
    <t>20-32760477-6</t>
  </si>
  <si>
    <t>Lavadero de autos y lubricentro</t>
  </si>
  <si>
    <t>Cervantes 1374</t>
  </si>
  <si>
    <t>multiautopartssas@gmail.com</t>
  </si>
  <si>
    <t>532/2017</t>
  </si>
  <si>
    <t>G - 000999</t>
  </si>
  <si>
    <t xml:space="preserve"> EX-2018-001143632-GDEMZA-DPA#SAYOT</t>
  </si>
  <si>
    <t>HAZERA, ESTEBAN ALEJANDRO - Calle Bernardo Ortiz</t>
  </si>
  <si>
    <t>Bernardo Ortiz 861</t>
  </si>
  <si>
    <t>tramiteslucero2016@gmail.com, centerws@hotmail.com</t>
  </si>
  <si>
    <t xml:space="preserve">2613476085 -2616147757 </t>
  </si>
  <si>
    <t>499/2017</t>
  </si>
  <si>
    <t>G - 001000</t>
  </si>
  <si>
    <t xml:space="preserve"> EX-2018-01621866-GDEMZA-DPA#SAYOT</t>
  </si>
  <si>
    <t>CAPILLITAS S.A - G.C. San Martín 901 -</t>
  </si>
  <si>
    <t>Servicio Mecánica Ligera</t>
  </si>
  <si>
    <t>San Martín Sur 901</t>
  </si>
  <si>
    <t>raulventurin@gmil.com, ngarcia@mediterraneo.com.ar</t>
  </si>
  <si>
    <t>407/2017</t>
  </si>
  <si>
    <t>G - 001001</t>
  </si>
  <si>
    <t xml:space="preserve"> EX-2017-00212203-GDEMZA-DPA#SAYOT</t>
  </si>
  <si>
    <t>EGEM S.A</t>
  </si>
  <si>
    <t>30-70897565-2</t>
  </si>
  <si>
    <t>Guarda de camiones</t>
  </si>
  <si>
    <t>Anchorena 3323</t>
  </si>
  <si>
    <t>Carril Barrancas s/n (Ruta Prov. Nº 14)</t>
  </si>
  <si>
    <t>Las Barrancas</t>
  </si>
  <si>
    <t>f.caneva@griffouliere.com, guillermovizcaino@gmail.com</t>
  </si>
  <si>
    <t>4975074  /5638806</t>
  </si>
  <si>
    <t>132/2018</t>
  </si>
  <si>
    <t>G - 001002</t>
  </si>
  <si>
    <t>EX-2017-00215746-GDEMZA-DPA#SAYOT</t>
  </si>
  <si>
    <t>JOSE NUCETE E HIJOS S.A.</t>
  </si>
  <si>
    <t>30-50404234-7</t>
  </si>
  <si>
    <t>Elaboración de aceitunas y fab. De encurtidos</t>
  </si>
  <si>
    <t>La Purísima 1345</t>
  </si>
  <si>
    <t xml:space="preserve"> mercedes@malaguenaolives.com</t>
  </si>
  <si>
    <t>067/2018</t>
  </si>
  <si>
    <t>G - 001003</t>
  </si>
  <si>
    <t>EX-2018-03060131-GDEMZA-DPA#SAYOT</t>
  </si>
  <si>
    <t>MEGAFORMATO S.A.</t>
  </si>
  <si>
    <t>30-71255908-6</t>
  </si>
  <si>
    <t>Deposito de materiales (chacarita)</t>
  </si>
  <si>
    <t>Rodriguez Peña 1311</t>
  </si>
  <si>
    <t xml:space="preserve"> licmartinaguero@gmail.com</t>
  </si>
  <si>
    <t>Y8-Y22-Y24-Y26-Y29-Y31-Y34-Y36-Y48</t>
  </si>
  <si>
    <t>455/2017</t>
  </si>
  <si>
    <t>G - 001004</t>
  </si>
  <si>
    <t xml:space="preserve"> EX-2017-00215743-GDEMZA-DPA#SAYOT</t>
  </si>
  <si>
    <t>GONZALEZ E HIJOS S.R.L.</t>
  </si>
  <si>
    <t>30-70780815-9</t>
  </si>
  <si>
    <t>Servicio Integral del automotor</t>
  </si>
  <si>
    <t>Coronel Ramirez 2664</t>
  </si>
  <si>
    <t>administracion@osamec.com.ar</t>
  </si>
  <si>
    <t>4307933 / 2615453844</t>
  </si>
  <si>
    <t>071/2018</t>
  </si>
  <si>
    <t>G - 001005</t>
  </si>
  <si>
    <t>EX-2017-00209905-GDEMZA-DPA#SAYOT</t>
  </si>
  <si>
    <t>YESOS VALLE NEVADO S.R.L.</t>
  </si>
  <si>
    <t>30-71421354-3</t>
  </si>
  <si>
    <t>Ext.  y procesamiento de sulfato de calcio</t>
  </si>
  <si>
    <t>Juan XXIII 770</t>
  </si>
  <si>
    <t>yvnsrl@gmail.com, ecosolutionscon@gmail.com</t>
  </si>
  <si>
    <t>2604427250 - 2604044649</t>
  </si>
  <si>
    <t xml:space="preserve">066/2018 </t>
  </si>
  <si>
    <t>G - 001006</t>
  </si>
  <si>
    <t xml:space="preserve"> EX-2017-00209915-GDEMZA-DPA#SAYOT</t>
  </si>
  <si>
    <t>TRANSAPELT S.A.</t>
  </si>
  <si>
    <t>30-61242995-9</t>
  </si>
  <si>
    <t>Servicio de transporte automotor de cargas</t>
  </si>
  <si>
    <t>Alsina 2065</t>
  </si>
  <si>
    <t>vbravomellado@gmail.com, lorenadelmas@transapelt.com</t>
  </si>
  <si>
    <t>4315777 - 2614689152</t>
  </si>
  <si>
    <t>136/2018</t>
  </si>
  <si>
    <t>G - 001007</t>
  </si>
  <si>
    <t>EX-2017-00209939-GDEMZA-DPA#SAYOT</t>
  </si>
  <si>
    <t>CAR SUR S.A.</t>
  </si>
  <si>
    <t>30-70316711-6</t>
  </si>
  <si>
    <t>Vta automotores y servicio de post vta</t>
  </si>
  <si>
    <t>Av. San Martín 540</t>
  </si>
  <si>
    <t>064/2018</t>
  </si>
  <si>
    <t>G - 001008</t>
  </si>
  <si>
    <t>EX-2017-00209967-GDEMZA-DPA#SAYOT</t>
  </si>
  <si>
    <t>HEMISFERIO SUR SERVICE S.A.</t>
  </si>
  <si>
    <t>30-71100550-8</t>
  </si>
  <si>
    <t>Venta de grupos electrogenos - Guarda de camiones</t>
  </si>
  <si>
    <t>Lat Este Acc. Sur  4389</t>
  </si>
  <si>
    <t>foliveratransol@yahoo.com.ar, rodostorelli@gmail.com</t>
  </si>
  <si>
    <t>4987149 / 261-3372769</t>
  </si>
  <si>
    <t>092/2018</t>
  </si>
  <si>
    <t>G - 001009</t>
  </si>
  <si>
    <t>EX-2017-00209932-GDEMZA-DPA#SAYOT</t>
  </si>
  <si>
    <t>JORGE PIASENTINI y MANUEL FRANCISCO SOTO S. H.</t>
  </si>
  <si>
    <t>30-57295624-1</t>
  </si>
  <si>
    <t>Taller Mecánico Diesel</t>
  </si>
  <si>
    <t>Independencia 995</t>
  </si>
  <si>
    <t xml:space="preserve">piasentinysoto@hotmail.com, piasentinysoto@speedy.com.ar </t>
  </si>
  <si>
    <t>063/2018</t>
  </si>
  <si>
    <t>G - 001010</t>
  </si>
  <si>
    <t>EX-2018-00401635-GDEMZA-DPA#SAYOT, tramitación conjunta con EX-2017-00209943-GDEMZA-DPA#SAYOT</t>
  </si>
  <si>
    <t>MORAD VALERIA YAMILE CATALINA - Paso de Los Andes 198</t>
  </si>
  <si>
    <t>27-31716047-5</t>
  </si>
  <si>
    <t>AUTOPARTES</t>
  </si>
  <si>
    <t>TOBARES 0.1</t>
  </si>
  <si>
    <t>Paso de los Andes 198</t>
  </si>
  <si>
    <t>desarmaderoelturco@hayoo.com.ar, consulgreenmendoza@gmail.com</t>
  </si>
  <si>
    <t>121/2018</t>
  </si>
  <si>
    <t>G - 001011</t>
  </si>
  <si>
    <t xml:space="preserve"> EX-2017-00209979-GDEMZA-DPA#SAYOT</t>
  </si>
  <si>
    <t>CAYETANO CARUSO S.A.</t>
  </si>
  <si>
    <t>30-54626201-0</t>
  </si>
  <si>
    <t>Lisandro de la Torre 277</t>
  </si>
  <si>
    <t>Lisandro de la Torre 250</t>
  </si>
  <si>
    <t>centralargentinomendoza@gmail.com, gjmolinelli@gmail.com</t>
  </si>
  <si>
    <t>4247269/ 155730005</t>
  </si>
  <si>
    <t>065/2018</t>
  </si>
  <si>
    <t>G - 001012</t>
  </si>
  <si>
    <t>EX2023-1324668-GDEMZA-DPA#SAYOT - TC - EX-2017-00209999-GDEMZA-DPA#SAYOT</t>
  </si>
  <si>
    <t>QA GESTION SOCIEDAD ANÓNIMA</t>
  </si>
  <si>
    <t>30-71608518-6</t>
  </si>
  <si>
    <t>Maza 4086 esq. Rodriguez Peña</t>
  </si>
  <si>
    <t>anticipar3@gmail.com, carlos.astie@abingenieria.com.ar</t>
  </si>
  <si>
    <t>2614978419 - 2613058503</t>
  </si>
  <si>
    <t>062/2018</t>
  </si>
  <si>
    <t>G - 001013</t>
  </si>
  <si>
    <t>EX-2018-02575777-GDEMZA-DPA#SAYOT</t>
  </si>
  <si>
    <t>COMISION NACIONAL DE ENERGIA ATOMICA - Complejo Minero Fabril San Rafael-</t>
  </si>
  <si>
    <t>30-54666021-0</t>
  </si>
  <si>
    <t>Mineria del Uranio</t>
  </si>
  <si>
    <t>Azopardo 313</t>
  </si>
  <si>
    <t>Complejo Minero Fabril San Rafael</t>
  </si>
  <si>
    <t>veronicairaola@cnea.gov.ar, marpaez@cnea.gov.ar</t>
  </si>
  <si>
    <t>021614220796   /0260-4430833/ 4430087-6223</t>
  </si>
  <si>
    <t>Y8-Y9-Y10-Y12-Y14-Y21-Y26-Y29-Y31-Y32-Y33-Y34-Y35-Y36-Y37-Y41-Y42-Y48</t>
  </si>
  <si>
    <t>439/2017</t>
  </si>
  <si>
    <t>G - 001014</t>
  </si>
  <si>
    <t>EX-2017-00214887-GDEMZA-DPA#SAYOT</t>
  </si>
  <si>
    <t>JUCAMAR S.A.</t>
  </si>
  <si>
    <t>30-70917300-2</t>
  </si>
  <si>
    <t xml:space="preserve">Alquiler de vehículos </t>
  </si>
  <si>
    <t>San Francisco del Monte 500</t>
  </si>
  <si>
    <t>sraiti.asociados@gmail.com, carinagrandia@yahoo.com.ar</t>
  </si>
  <si>
    <t>43909722 / 2614685408</t>
  </si>
  <si>
    <t>131/2018</t>
  </si>
  <si>
    <t>G - 001015</t>
  </si>
  <si>
    <t>EX-2017-00214895-GDEMZA-DPA#SAYOT</t>
  </si>
  <si>
    <t>ESCAYOL ENRIQUE BERNARDO</t>
  </si>
  <si>
    <t>20-10036903-7</t>
  </si>
  <si>
    <t xml:space="preserve">Taller Mecánico </t>
  </si>
  <si>
    <t>Amengual 1453</t>
  </si>
  <si>
    <t>diegoescayol@hotmail.com</t>
  </si>
  <si>
    <t>4274697/ 2615787314</t>
  </si>
  <si>
    <t>070/2018</t>
  </si>
  <si>
    <t>G - 001016</t>
  </si>
  <si>
    <t>EX-2017-00212189-GDEMZA-DPA#SAYOT</t>
  </si>
  <si>
    <t>ASFALIA S.A.</t>
  </si>
  <si>
    <t>30-70997484-6</t>
  </si>
  <si>
    <t>Estación de Servicios</t>
  </si>
  <si>
    <t xml:space="preserve">Bandera de Los Andes Nº 2781 y  Sarmiento </t>
  </si>
  <si>
    <t>mendozaveronoe49@hotmail.com, yunesmarta1974@gmail.com</t>
  </si>
  <si>
    <t>2614262025 - 2612167724</t>
  </si>
  <si>
    <t>130/2018</t>
  </si>
  <si>
    <t>G - 001017</t>
  </si>
  <si>
    <t xml:space="preserve"> EX-2022-00998598- -GDEMZA-DPA#SAYOT - TC - EX-2017-00214915-GDEMZA-DPA#SAYOT</t>
  </si>
  <si>
    <t>JUAN MAURIN NAVARRO 807 -</t>
  </si>
  <si>
    <t>VILLA NUEVA</t>
  </si>
  <si>
    <t xml:space="preserve">GUAYMALLEN </t>
  </si>
  <si>
    <t>San Martín 2002</t>
  </si>
  <si>
    <t>anticipar3@gmail.com</t>
  </si>
  <si>
    <t>2615652920 261-3058503</t>
  </si>
  <si>
    <t>119/2018</t>
  </si>
  <si>
    <t>G - 001018</t>
  </si>
  <si>
    <t>EX-2017-00209990-GDEMZA-DPA#SAYOT</t>
  </si>
  <si>
    <t>IMOLA S.A.</t>
  </si>
  <si>
    <t>30-70730869-5</t>
  </si>
  <si>
    <t>Taller mecánico , chapería, pintura, lavado</t>
  </si>
  <si>
    <t>Mitre  1342</t>
  </si>
  <si>
    <t>Y9-Y8-Y12-Y48</t>
  </si>
  <si>
    <t>199/2018</t>
  </si>
  <si>
    <t>G - 001019</t>
  </si>
  <si>
    <t xml:space="preserve"> EX-2017-00214906-GDEMZA-DPA#SAYOT</t>
  </si>
  <si>
    <t>AZULES S.A. - GNC</t>
  </si>
  <si>
    <t>Estación de servicios GNC y lavadero de autos</t>
  </si>
  <si>
    <t xml:space="preserve">Carril Godoy Cruz 3730 </t>
  </si>
  <si>
    <t>169/2018</t>
  </si>
  <si>
    <t>G - 001020</t>
  </si>
  <si>
    <t xml:space="preserve"> EX 2017-00194498-GDEMZA-DPA#SAYOT</t>
  </si>
  <si>
    <t>BENASSAI, SEBASTIAN OSVALDO</t>
  </si>
  <si>
    <t>20-23225914-1</t>
  </si>
  <si>
    <t>Mecánica y Electricidad del Automotor</t>
  </si>
  <si>
    <t>Tiburcio Benegas 343</t>
  </si>
  <si>
    <t>gustavoeduardofollis@gmail.com, tramiteslucero2016@gmail.com</t>
  </si>
  <si>
    <t>2616294410 - 2615389922</t>
  </si>
  <si>
    <t>123/2018</t>
  </si>
  <si>
    <t>G - 001023</t>
  </si>
  <si>
    <t>EX-2017-00203267-GDEMZA-DPA#SAYOT</t>
  </si>
  <si>
    <t>TORRES, LEONARDO RAÚL</t>
  </si>
  <si>
    <t>20-28044023-0</t>
  </si>
  <si>
    <t>Alem 1548</t>
  </si>
  <si>
    <t>167/25018</t>
  </si>
  <si>
    <t>G - 001025</t>
  </si>
  <si>
    <t>EX-2017-00214880-GDEMZA-DPA#SAYOT</t>
  </si>
  <si>
    <t>FRENOS OESTE S.A.</t>
  </si>
  <si>
    <t>30-70971600-6</t>
  </si>
  <si>
    <t>Acceso Sur, Lat O, Nº  7380</t>
  </si>
  <si>
    <t>clulic@frenosoeste.com.ar</t>
  </si>
  <si>
    <t>4360959 7 261-3171777</t>
  </si>
  <si>
    <t>085/2018</t>
  </si>
  <si>
    <t>G - 001026</t>
  </si>
  <si>
    <t>EX-2017-00214900-GDEMZA-DPA#SAYOT</t>
  </si>
  <si>
    <t>TRANSPORTADORA DE GAS DEL NORTE S.A.</t>
  </si>
  <si>
    <t>30-65786305-6</t>
  </si>
  <si>
    <t>Transporte de Gas por Gasoductos</t>
  </si>
  <si>
    <t>25 de Mayo 1295 (Fundación Capacitarse)</t>
  </si>
  <si>
    <t>Calle Ancha y Boggero s/n</t>
  </si>
  <si>
    <t>ambiente@tgn.com.ar, eduardo.dicostanzo@tgn.com.ar,marcelo.ajamil@tgn.com.ar</t>
  </si>
  <si>
    <t>1140082000 - 1140299058</t>
  </si>
  <si>
    <t>Y8-Y9-Y12-Y29-Y31-Y34-Y48</t>
  </si>
  <si>
    <t>133/2018 y rect.  Nº390/2018</t>
  </si>
  <si>
    <t>G - 001027</t>
  </si>
  <si>
    <t>EX-2019-6160774- -GDEMZA-DPA#SAYOT TC EX-2017-00215166-GDEMZA-DPA#SAYOT</t>
  </si>
  <si>
    <t>CENCOSUD S.A. - Ignacio Molina 325</t>
  </si>
  <si>
    <t>Supermercado</t>
  </si>
  <si>
    <t>261-4498700 / 261-5110522 / 261-2053239</t>
  </si>
  <si>
    <t>120/2018</t>
  </si>
  <si>
    <t>G - 001028</t>
  </si>
  <si>
    <t>EX2021-01324450-GDEMZA- -DPA#SAYOT TC EX-2017-00215775-GDEMZA-DPA#SAYOT</t>
  </si>
  <si>
    <t>ROMERO OSVALDO ANDRES</t>
  </si>
  <si>
    <t>20-23387729-9</t>
  </si>
  <si>
    <t>Primero de Mayo 1989</t>
  </si>
  <si>
    <t>Paso de Los Andes N° 2234</t>
  </si>
  <si>
    <t>osvaldoandresromero@gmail.com</t>
  </si>
  <si>
    <t>091/2018</t>
  </si>
  <si>
    <t>G - 001029</t>
  </si>
  <si>
    <t>EX-2017-00214866-GDEMZA-DPA#SAYOT</t>
  </si>
  <si>
    <t>QUIMICUY S.A.C.I.A.</t>
  </si>
  <si>
    <t>33-54250673-9</t>
  </si>
  <si>
    <t>Fab. y vta  de tierras filtrantes</t>
  </si>
  <si>
    <t>Los Jazmines 1030</t>
  </si>
  <si>
    <t>mgottardini@quimicuy.com.ar</t>
  </si>
  <si>
    <t>087/2018</t>
  </si>
  <si>
    <t>G - 001030</t>
  </si>
  <si>
    <t>EX-2017-00228263-GDEMZA-DPA#SAYOT</t>
  </si>
  <si>
    <t>BULLONES, ZENON ARMANDO</t>
  </si>
  <si>
    <t>20-05468341-4</t>
  </si>
  <si>
    <t>Explotación de cantera de áridos</t>
  </si>
  <si>
    <t>Pedro Molina 461,  4º piso - Of. "A"</t>
  </si>
  <si>
    <t>Ruta Nac. Nº 7, km 1088</t>
  </si>
  <si>
    <t>armando.paz.25@gmail.com</t>
  </si>
  <si>
    <t>122/2018</t>
  </si>
  <si>
    <t>G - 001031</t>
  </si>
  <si>
    <t>EX-2017-00214860-GDEMZA-DPA#SAYOT</t>
  </si>
  <si>
    <t>FICIARA, DAVID SALVADOR</t>
  </si>
  <si>
    <t>23-13998037-9</t>
  </si>
  <si>
    <t>Pascual Segura 1054</t>
  </si>
  <si>
    <t>086/2018</t>
  </si>
  <si>
    <t>G - 001032</t>
  </si>
  <si>
    <t>EX-2017-00212185-GDEMZA-DPA#SAYOT</t>
  </si>
  <si>
    <t>ALESSANDRELLO, CAYETANO</t>
  </si>
  <si>
    <t>20-06892778-2</t>
  </si>
  <si>
    <t>LAVADERO DE CAMIONES</t>
  </si>
  <si>
    <t xml:space="preserve">Acc. Sur Km. 20,5 </t>
  </si>
  <si>
    <t>alessandrellovale17@gmail.com</t>
  </si>
  <si>
    <t>082/2018</t>
  </si>
  <si>
    <t>G - 001033</t>
  </si>
  <si>
    <t>EX-2017-00215160-GDEMZA-DPA#SAYOT</t>
  </si>
  <si>
    <t>VK S.R.L. - Obrador Calle Santa Fe, Gral. Alvear -</t>
  </si>
  <si>
    <t>30-70965600-3</t>
  </si>
  <si>
    <t>Mov. De Suelos -</t>
  </si>
  <si>
    <t>Peltier 50,  Of. 21</t>
  </si>
  <si>
    <t xml:space="preserve">Calle Santa Fé, entre calles 5 y 7 </t>
  </si>
  <si>
    <t>mauricio.vksrl@gmail.com, andresvavrik@gmail.com, raimondicarlos@yahoo.com.ar</t>
  </si>
  <si>
    <t>2625-661405 / 2625-527456 /514470</t>
  </si>
  <si>
    <t>083/2018</t>
  </si>
  <si>
    <t>G - 001034</t>
  </si>
  <si>
    <t>EX-2017-00230791-GDEMZA-DPA#SAYOT</t>
  </si>
  <si>
    <t>BORROMEI Y VILLANUEVA S.R.L. (planta CONCREMIX)</t>
  </si>
  <si>
    <t>30-52118579-8</t>
  </si>
  <si>
    <t>Empresa Constructora</t>
  </si>
  <si>
    <t>Martinez de Rosas 1918</t>
  </si>
  <si>
    <t>Rodriguez Peña 810</t>
  </si>
  <si>
    <t>San francisco del Monte</t>
  </si>
  <si>
    <t>info@concremix.com.ar, matiascoletto@yahoo.com.ar</t>
  </si>
  <si>
    <t>084/2018</t>
  </si>
  <si>
    <t>G - 001036</t>
  </si>
  <si>
    <t>EX-2017-00214869-GDEMZA-DPA#SAYOT</t>
  </si>
  <si>
    <t>LEUCI, DANIEL IGNACIO</t>
  </si>
  <si>
    <t>20-32169382-3</t>
  </si>
  <si>
    <t>Mitre 766</t>
  </si>
  <si>
    <t>Diaz Velez 2345</t>
  </si>
  <si>
    <t>leucidaniel@hotmail.com</t>
  </si>
  <si>
    <t>090/2018</t>
  </si>
  <si>
    <t>G - 001037</t>
  </si>
  <si>
    <t>EX-2017-00220220-GDEMZA-DPA#SAYOT</t>
  </si>
  <si>
    <t>MOTORSPORT S.A</t>
  </si>
  <si>
    <t>30-70738749-8</t>
  </si>
  <si>
    <t>Venta de autos, camionetas y utilitarios</t>
  </si>
  <si>
    <t>Rodriguez Peña 2643</t>
  </si>
  <si>
    <t>mreinoso@redmeschini.com.ar</t>
  </si>
  <si>
    <t>089/2018</t>
  </si>
  <si>
    <t>G - 001039</t>
  </si>
  <si>
    <t>EX-2017-00212194-GDEMZA-DPA#SAYOT</t>
  </si>
  <si>
    <t>AGRINDA S.A.</t>
  </si>
  <si>
    <t>30-61302813-3</t>
  </si>
  <si>
    <t>Boulogne Sur Mer 550</t>
  </si>
  <si>
    <t>105/2018</t>
  </si>
  <si>
    <t>G - 001040</t>
  </si>
  <si>
    <t>EX-2017-00215750-GDEMZA-DPA#SAYOT</t>
  </si>
  <si>
    <t>30-710032168-6</t>
  </si>
  <si>
    <t xml:space="preserve">Ballofet 845 </t>
  </si>
  <si>
    <t xml:space="preserve">261-6509112 -02623462108 </t>
  </si>
  <si>
    <t>101/2018</t>
  </si>
  <si>
    <t>G - 001041</t>
  </si>
  <si>
    <t>EX-2017-00243088-GDEMZA-DPA#SAYOT</t>
  </si>
  <si>
    <t>DIQUE POTRERILLOS S.A.</t>
  </si>
  <si>
    <t>30-71154517-0</t>
  </si>
  <si>
    <t>Fabricación de concreto de asfalto</t>
  </si>
  <si>
    <t>Martín Zapata 346</t>
  </si>
  <si>
    <t>Acceso Sur, Lat. E, Nº 4425</t>
  </si>
  <si>
    <t>diquepotrerillossa@gmail.com; lflopezblanco@yahoo.com.ar</t>
  </si>
  <si>
    <t>069/2018</t>
  </si>
  <si>
    <t>G - 001042</t>
  </si>
  <si>
    <t>EX-2023-02752457- -GDEMZA-DPA#SAYOT - TC - EX-2018-00001464-GDEMZA-DPA#SAYOT</t>
  </si>
  <si>
    <t>YAMEXE S.H.</t>
  </si>
  <si>
    <t>30-71750864-1</t>
  </si>
  <si>
    <t>España 4607</t>
  </si>
  <si>
    <t>Ruta 40 km 121</t>
  </si>
  <si>
    <t>yamiinahim@gmail.com</t>
  </si>
  <si>
    <t>02622-493001</t>
  </si>
  <si>
    <t>100/2018</t>
  </si>
  <si>
    <t>G - 001043</t>
  </si>
  <si>
    <t>EX-2017-00272696-GDEMZA-DPA#SAYOT</t>
  </si>
  <si>
    <t>CRISTIAN CEFERINO TELLO</t>
  </si>
  <si>
    <t>20-24115125-6</t>
  </si>
  <si>
    <t>Servicio Integral del automotor - Lubricentro y Gomería</t>
  </si>
  <si>
    <t>SAN MARTIN 4458</t>
  </si>
  <si>
    <t>MAYOR DRUMMOND</t>
  </si>
  <si>
    <t>melu.demola03@gmail.com, tcristianceferino@yahoo.com.ar</t>
  </si>
  <si>
    <t>056/2018</t>
  </si>
  <si>
    <t>G - 001045</t>
  </si>
  <si>
    <t>EX-2017-00272797-GDEMZA-DPA#SAYOT</t>
  </si>
  <si>
    <t>YACOBUCCI, LEANDRO DANIEL</t>
  </si>
  <si>
    <t>20-33661934-0</t>
  </si>
  <si>
    <t>Mantenimiento y reparaciónDel motor</t>
  </si>
  <si>
    <t>Rivadavia 61</t>
  </si>
  <si>
    <t>rominalucianaromero@hotmail.com, leandroyacobucci@gmail.com</t>
  </si>
  <si>
    <t>171/2018</t>
  </si>
  <si>
    <t>G - 001046</t>
  </si>
  <si>
    <t>EX-2018-00004803-GDEMZA-DPA#SAYOT</t>
  </si>
  <si>
    <t>LASA ARGENTINA S.A.</t>
  </si>
  <si>
    <t>30-71039184-6</t>
  </si>
  <si>
    <t>Servicios de apoyo para la extracción de petroleo y gas natural</t>
  </si>
  <si>
    <t>Julio A. Roca y La Argentina s/n</t>
  </si>
  <si>
    <t>Tunuyan</t>
  </si>
  <si>
    <t>TUNUYAN</t>
  </si>
  <si>
    <t xml:space="preserve">Julio A. Roca y La Argentina </t>
  </si>
  <si>
    <t>cpena@lasaargentinasa.com.ar, psalaya@lasaargentinasa.com.ar</t>
  </si>
  <si>
    <t>170/2018</t>
  </si>
  <si>
    <t>G - 001048</t>
  </si>
  <si>
    <t>EX-2018-00050256-GDEMZA-DPA#SAYOT</t>
  </si>
  <si>
    <t>HYDROMECANIKA S.A.</t>
  </si>
  <si>
    <t>30-71011506-7</t>
  </si>
  <si>
    <t>Metalmecánica y taller de sistemas hidraúlicos</t>
  </si>
  <si>
    <t>9 de julio 553</t>
  </si>
  <si>
    <t>gestoriaambiental.mza@gmail.com, info@hydromecanika.com</t>
  </si>
  <si>
    <t>2616631257  /2614179019</t>
  </si>
  <si>
    <t>058/2018</t>
  </si>
  <si>
    <t>G - 001049</t>
  </si>
  <si>
    <t>EX-2017-00266639-GDEMZA-DPA#SAYOT</t>
  </si>
  <si>
    <t>TINTO LABELS S.A.</t>
  </si>
  <si>
    <t>30-71032248-8</t>
  </si>
  <si>
    <t>Imprenta, Serigrafía, etc</t>
  </si>
  <si>
    <t>GOBERNADOR GABRIELLI 2130</t>
  </si>
  <si>
    <t>smaldonado@tinto.com.ar, gpalumbo@tinto.com.ar, diego.yancarelli@gmail.com</t>
  </si>
  <si>
    <t>261-6962638 /261-6962541 / 261-3648459</t>
  </si>
  <si>
    <t>106/2018</t>
  </si>
  <si>
    <t>G - 001051</t>
  </si>
  <si>
    <t>EX-2017-00236314-GDEMZA-DPA#SAYOT</t>
  </si>
  <si>
    <t>MARICH, FERNANDO ANIBAL</t>
  </si>
  <si>
    <t>20-23387042-1</t>
  </si>
  <si>
    <t>Taller Mecánico</t>
  </si>
  <si>
    <t>25 de Mayo 732</t>
  </si>
  <si>
    <t>gestoriaambiental.mza@gmail.com, fernandoanibalmarich@gmail.com</t>
  </si>
  <si>
    <t>2616631257 /2615 18-4101</t>
  </si>
  <si>
    <t>088/2018</t>
  </si>
  <si>
    <t>G - 001052</t>
  </si>
  <si>
    <t>EX-2017-00243097-GDEMZA-DPA#SAYOT</t>
  </si>
  <si>
    <t>AGROQUIMICOS EL DIAMANTE S.R.L.</t>
  </si>
  <si>
    <t>30-64051804-5</t>
  </si>
  <si>
    <t>Venta de combustibles y afines</t>
  </si>
  <si>
    <t>Peatonal Sarmiento 127 4º piso Of. "C"</t>
  </si>
  <si>
    <t>Av. Alberdi 1200</t>
  </si>
  <si>
    <t>sergio.aed@yahoo.com.ar</t>
  </si>
  <si>
    <t>0260-4423300</t>
  </si>
  <si>
    <t>148/2018</t>
  </si>
  <si>
    <t>G - 001053</t>
  </si>
  <si>
    <t>EX-2017-00259932-GDEMZA-DPA#SAYOT</t>
  </si>
  <si>
    <t>PISCINAS PREMIUM S.A.</t>
  </si>
  <si>
    <t>30-71133878-7</t>
  </si>
  <si>
    <t>Fab. de productos plásticos en formas básicas</t>
  </si>
  <si>
    <t>Alvarez Condarco 2060</t>
  </si>
  <si>
    <t>gmanino@piscinasipc.com, oguzman@piscinasipc.com</t>
  </si>
  <si>
    <t>2615339238 / 2616559989</t>
  </si>
  <si>
    <t>Y8-Y9-Y12-Y13-Y29-Y31-Y48</t>
  </si>
  <si>
    <t>107/2018</t>
  </si>
  <si>
    <t>G - 001055</t>
  </si>
  <si>
    <t>EX-2017-00232936-GDEMZA-DPA#SAYOT</t>
  </si>
  <si>
    <t>LOS SAUCES S.R.L.</t>
  </si>
  <si>
    <t>30-67218048-8</t>
  </si>
  <si>
    <t xml:space="preserve">EE SS dual </t>
  </si>
  <si>
    <t>9 de julio 627</t>
  </si>
  <si>
    <t>Av. Ballofet  627</t>
  </si>
  <si>
    <t xml:space="preserve"> jlvenier@speedy.com.ar, j.l.venier@hotmail.com, lossauces@infovia.com.ar</t>
  </si>
  <si>
    <t>261-4213924 261-6244666</t>
  </si>
  <si>
    <t>143/2018</t>
  </si>
  <si>
    <t>G - 001056</t>
  </si>
  <si>
    <t>EX-2017-00243093-GDEMZA-DPA#SAYOT</t>
  </si>
  <si>
    <t>PERNOD RICARD ARGENTINA S.R.L. - (Bodega MUMM)</t>
  </si>
  <si>
    <t>30-50071050-7</t>
  </si>
  <si>
    <t>Jensen 900</t>
  </si>
  <si>
    <t>higiniogarciaacosta@gmail.com</t>
  </si>
  <si>
    <t>0260 4430027/ 4420001</t>
  </si>
  <si>
    <t>142/2018</t>
  </si>
  <si>
    <t>G - 001057</t>
  </si>
  <si>
    <t>EX-2018-00677467-GDEMZA-DPA#SAYOT</t>
  </si>
  <si>
    <t>LOGISTICA LA SERENISIMA S.A.</t>
  </si>
  <si>
    <t>30-70721038-5</t>
  </si>
  <si>
    <t>Almacenamiento y Distribucion de prod. Alimenticios</t>
  </si>
  <si>
    <t>Rodriguez Peña 1325</t>
  </si>
  <si>
    <t>constanza.depedri@danone.com, yanimarin1984@hotmail.com</t>
  </si>
  <si>
    <t>261-6079181 - 01162580335</t>
  </si>
  <si>
    <t>365/2018</t>
  </si>
  <si>
    <t>G - 001058</t>
  </si>
  <si>
    <t>EX-2017-00215770-GDEMZA-DPA#SAYOT</t>
  </si>
  <si>
    <t>GUIZZARDI, TULIO, SERGIO Y CARLOS S.H.</t>
  </si>
  <si>
    <t>30-63898714-3</t>
  </si>
  <si>
    <t>Rio Negro 250</t>
  </si>
  <si>
    <t>Real del Padre</t>
  </si>
  <si>
    <t>349/2018</t>
  </si>
  <si>
    <t>G - 001059</t>
  </si>
  <si>
    <t>EX-2017-00215761-GDEMZA-DPA#SAYOT</t>
  </si>
  <si>
    <t>LOS FILTROS S.A.</t>
  </si>
  <si>
    <t>30-71156692-5</t>
  </si>
  <si>
    <t>Estación de Servicios  dual (comb. Liquidos y GNC)</t>
  </si>
  <si>
    <t>Mitre 2249</t>
  </si>
  <si>
    <t>petromax.losfiltrossa@yahoo.com.ar, laborales.prevencion@gmail.com</t>
  </si>
  <si>
    <t>260-4424426 - 2604682030</t>
  </si>
  <si>
    <t>222/2018</t>
  </si>
  <si>
    <t>G - 001060</t>
  </si>
  <si>
    <t>EX-2017-00215764-GDEMZA-DPA#SAYOT</t>
  </si>
  <si>
    <t>AZCURRA ANTONIO SANTIAGO</t>
  </si>
  <si>
    <t>20-26829495-4</t>
  </si>
  <si>
    <t>Taller de rep. de máquinas</t>
  </si>
  <si>
    <t>Mitre 1258</t>
  </si>
  <si>
    <t>aleromero198028@gmail.com</t>
  </si>
  <si>
    <t>230/2018</t>
  </si>
  <si>
    <t>G - 001063</t>
  </si>
  <si>
    <t>EX-2017-00228268-GDEMZA-DPA#SAYOT</t>
  </si>
  <si>
    <t>PEDEMONTE S.R.L.</t>
  </si>
  <si>
    <t>30-71022854-6</t>
  </si>
  <si>
    <t>Estación de Servicio GNC</t>
  </si>
  <si>
    <t>Azcuenaga 745</t>
  </si>
  <si>
    <t>sebastian@manitta.com.ar, hugo.baldin@gmail.com</t>
  </si>
  <si>
    <t>4981285 / 261-4178087 / 261-6509112</t>
  </si>
  <si>
    <t>389/2018</t>
  </si>
  <si>
    <t>G - 001064</t>
  </si>
  <si>
    <t>EX-2018-01209218-GDEMZA-DPA#SAYOT</t>
  </si>
  <si>
    <t>CONSTRUCTORA SAN JOSE S.R.L. ( Cantera Candeloro)</t>
  </si>
  <si>
    <t>30-69498833-0</t>
  </si>
  <si>
    <t>cantera de Áridos</t>
  </si>
  <si>
    <t>USHUAIA S/N</t>
  </si>
  <si>
    <t xml:space="preserve">SAN MARTIN </t>
  </si>
  <si>
    <t>GALIGNIANA SUR S/N</t>
  </si>
  <si>
    <t>LOS CAMPAMENTOS</t>
  </si>
  <si>
    <t>carielcandeloro@yahoo.com.ar, fcardenas.sj@outlook.com</t>
  </si>
  <si>
    <t>380/2018</t>
  </si>
  <si>
    <t>G - 001065</t>
  </si>
  <si>
    <t>EX-2018-00505100-GDEMZA-DPA#SAYOT</t>
  </si>
  <si>
    <t>EFE ARGENTINA S.A.</t>
  </si>
  <si>
    <t>30-70968842-8</t>
  </si>
  <si>
    <t>9 de Julio 891 M"B" L10</t>
  </si>
  <si>
    <t>luis@efeargentina.com, administracion@efeargentina.com</t>
  </si>
  <si>
    <t>4381981/ 84</t>
  </si>
  <si>
    <t>Y12-Y41-Y48</t>
  </si>
  <si>
    <t>346/2018</t>
  </si>
  <si>
    <t>G - 001066</t>
  </si>
  <si>
    <t>EX-2018-00536817-GDEMZA-DPA#SAYOT</t>
  </si>
  <si>
    <t>TRAFOMEN S.A.</t>
  </si>
  <si>
    <t>30-71557337-3</t>
  </si>
  <si>
    <t>Fabricación y reparación de transformadores</t>
  </si>
  <si>
    <t>RODRIGUEZ PEÑA 4973</t>
  </si>
  <si>
    <t>info@trafomen.com.ar, info.trafomen@gmail.com</t>
  </si>
  <si>
    <t xml:space="preserve">2616270118 - 2616079181
</t>
  </si>
  <si>
    <t>374/2018</t>
  </si>
  <si>
    <t>G - 001067</t>
  </si>
  <si>
    <t>EX-2018-00101089-GDEMZA-DPA#SAYOT</t>
  </si>
  <si>
    <t>YACOPINI MIRAI S.A</t>
  </si>
  <si>
    <t>30-71574494-1</t>
  </si>
  <si>
    <t>Compra venta de autos y serv. post venta</t>
  </si>
  <si>
    <t>San Martín Sur 719</t>
  </si>
  <si>
    <t>4220077 / 2614222848</t>
  </si>
  <si>
    <t>356/2018</t>
  </si>
  <si>
    <t>G - 001068</t>
  </si>
  <si>
    <t>EX-2018-00415763-GDEMZA-DPA#SAYOT</t>
  </si>
  <si>
    <t>AEB ARGENTINA S.A.</t>
  </si>
  <si>
    <t>30-68293668-8</t>
  </si>
  <si>
    <t>Fab. prod. p/ Ind. Alimenticia y de detergentes ind.</t>
  </si>
  <si>
    <t>Carril Rodriguez Peña 4084 Frac. A</t>
  </si>
  <si>
    <t>Carril Rodriguez Peña 4084, Fracción A</t>
  </si>
  <si>
    <t xml:space="preserve">administracion@firstsafety.com.ar, jchaud@aebargentina.com.ar, </t>
  </si>
  <si>
    <t>2616773920 / 4979144</t>
  </si>
  <si>
    <t>Y8-Y12-Y34-Y35-Y48</t>
  </si>
  <si>
    <t>382/2018</t>
  </si>
  <si>
    <t>G - 001069</t>
  </si>
  <si>
    <t>EX-2018-00297277-GDEMZA-DPA#SAYOT</t>
  </si>
  <si>
    <t>GEOPARK ARGENTINA LIMITED</t>
  </si>
  <si>
    <t>30-64255527-4</t>
  </si>
  <si>
    <t xml:space="preserve">Extracción de petroleo crudo y gas natural </t>
  </si>
  <si>
    <t>Area CN-V</t>
  </si>
  <si>
    <t xml:space="preserve">Bardas Blancas </t>
  </si>
  <si>
    <t>javier.klita@gmail.com</t>
  </si>
  <si>
    <t>0260-154591677</t>
  </si>
  <si>
    <t>364/2018</t>
  </si>
  <si>
    <t>G - 001070</t>
  </si>
  <si>
    <t>EX-2018-00220190-GDEMZA-DPA#SAYOT</t>
  </si>
  <si>
    <t>ARISPON, AUGUSTO NICOLAS</t>
  </si>
  <si>
    <t>20-26557276-7</t>
  </si>
  <si>
    <t>Tres Arroyos 1197</t>
  </si>
  <si>
    <t>Bouchard 25</t>
  </si>
  <si>
    <t>nicoarispon@hotmail.com</t>
  </si>
  <si>
    <t>362/2018</t>
  </si>
  <si>
    <t>G - 001071</t>
  </si>
  <si>
    <t>EX-2018-00633454-GDEMZA-DPA#SAYOT</t>
  </si>
  <si>
    <t>ROBLES, HUGO ANGEL</t>
  </si>
  <si>
    <t>20-24192783-1</t>
  </si>
  <si>
    <t>Vta de motos, piezas y accesorios, servcio de mantenimiento y rep.</t>
  </si>
  <si>
    <t>Paso Nº 50, Bº Huerto Privado, Casa 23</t>
  </si>
  <si>
    <t>Brasil 387</t>
  </si>
  <si>
    <t>servimotoarg@gmail.com</t>
  </si>
  <si>
    <t>361/2018</t>
  </si>
  <si>
    <t>G - 001072</t>
  </si>
  <si>
    <t>EX-2018-00220327-GDEMZA-DPA#SAYOT</t>
  </si>
  <si>
    <t>ESTABLECIMIENTO LA GIOCONDA S.A.</t>
  </si>
  <si>
    <t>30-71541571-9</t>
  </si>
  <si>
    <t>Ind. Alimenticia, elaboracion de conservas</t>
  </si>
  <si>
    <t>Colon 423 - Piso 1, Dpto. 1</t>
  </si>
  <si>
    <t>Av. Mitre 2567</t>
  </si>
  <si>
    <t>alopez@lagioconda.com.ar, higiene.seguridad.sr@gmail.com</t>
  </si>
  <si>
    <t>363/2018</t>
  </si>
  <si>
    <t>G - 001073</t>
  </si>
  <si>
    <t>EX-2018-00820717-GDEMZA-DPA#SAYOT</t>
  </si>
  <si>
    <t>HORMISERV S.R.L.</t>
  </si>
  <si>
    <t>30-68164173-0</t>
  </si>
  <si>
    <t>Vta de Hormigón elaborado</t>
  </si>
  <si>
    <t>Primitivo de la Reta 540</t>
  </si>
  <si>
    <t>formuladora.creditos@gmail.com, lic.verdaguer@hotmail.com</t>
  </si>
  <si>
    <t>347/2018</t>
  </si>
  <si>
    <t>G - 001074</t>
  </si>
  <si>
    <t>EX-2018-00566979-GDEMZA-DPA#SAYOT</t>
  </si>
  <si>
    <t>DELFER S.R.L.</t>
  </si>
  <si>
    <t>30-64573340-</t>
  </si>
  <si>
    <t>Vta y alquiler de equipos viales, servicios mecánicos</t>
  </si>
  <si>
    <t>Rodriguez Peña 2650</t>
  </si>
  <si>
    <t>261-4978879</t>
  </si>
  <si>
    <t>348/2018</t>
  </si>
  <si>
    <t>G - 001075</t>
  </si>
  <si>
    <t>EX-2018-01188466-GDEMZA-DPA#SAYOT</t>
  </si>
  <si>
    <t>PORCILIO CESAR DAVID</t>
  </si>
  <si>
    <t>20-11937816-9</t>
  </si>
  <si>
    <t>Extracción  y transporte de áridos</t>
  </si>
  <si>
    <t>Av. Roque Saenz Peña 2358</t>
  </si>
  <si>
    <t>Ruta Prov. Nº 84</t>
  </si>
  <si>
    <t>cantera-porcilio@hotmail.com, mariosanchez_ingqco@hotmail.com, jessie_lis@yahoo.com.ar</t>
  </si>
  <si>
    <t>4986618 - 2615016388</t>
  </si>
  <si>
    <t>342/2018</t>
  </si>
  <si>
    <t>G - 001076</t>
  </si>
  <si>
    <t>EX-2018-01113470-GDEMZA-DPA#SAYOT</t>
  </si>
  <si>
    <t>ORELLANO, JOSE ANGEL</t>
  </si>
  <si>
    <t>20-18080855-9</t>
  </si>
  <si>
    <t>Pellegrini 1438</t>
  </si>
  <si>
    <t xml:space="preserve">Villa Hipódromo </t>
  </si>
  <si>
    <t>angeljao91@gmail.com</t>
  </si>
  <si>
    <t>360/2018</t>
  </si>
  <si>
    <t>G - 001077</t>
  </si>
  <si>
    <t>EX-2018-01143649-GDEMZA-DPA#SAYOT</t>
  </si>
  <si>
    <t>SEALAND S.A.</t>
  </si>
  <si>
    <t>30-71065786-2</t>
  </si>
  <si>
    <t>Transporte de Camiones</t>
  </si>
  <si>
    <t>Rodriguez Peña 6311</t>
  </si>
  <si>
    <t>329/2018</t>
  </si>
  <si>
    <t>G - 001078</t>
  </si>
  <si>
    <t>EX-2018-01113327-GDEMZA-DPA#SAYOT</t>
  </si>
  <si>
    <t>PELETAY, ANGEL RICARDO</t>
  </si>
  <si>
    <t>20-10907273-8</t>
  </si>
  <si>
    <t xml:space="preserve">Picheuta 610 </t>
  </si>
  <si>
    <t>VILLA HIPODROMO</t>
  </si>
  <si>
    <t>tramiteslucero2016@gmail.com, peletayandres@gmail.com</t>
  </si>
  <si>
    <t>335/2018</t>
  </si>
  <si>
    <t>G - 001079</t>
  </si>
  <si>
    <t>EX-2018-00676883-GDEMZA-DPA#SAYOT</t>
  </si>
  <si>
    <t>SOSA, LEANDRO JAVIER</t>
  </si>
  <si>
    <t>20-30889355-4</t>
  </si>
  <si>
    <t>Cervantes 1563</t>
  </si>
  <si>
    <t>leandro_333@hotmail.com, tramiteslucero2016@gmail.com</t>
  </si>
  <si>
    <t>336/2018</t>
  </si>
  <si>
    <t>G - 001080</t>
  </si>
  <si>
    <t>EX-2018-01273026-GDEMZA-DPA#SAYOT</t>
  </si>
  <si>
    <t>NADGAN S.A.</t>
  </si>
  <si>
    <t>30-68933210-9</t>
  </si>
  <si>
    <t>Vta de comb. líquidos</t>
  </si>
  <si>
    <t>Paso de los Andes 2901</t>
  </si>
  <si>
    <t>estacionnagdan@gmail.com, tramiteslucero2016@gmail.com</t>
  </si>
  <si>
    <t>4234565 - 2612194445</t>
  </si>
  <si>
    <t>499/2018</t>
  </si>
  <si>
    <t>G - 001081</t>
  </si>
  <si>
    <t>EX-2018-01068683-GDEMZA-DPA#SAYOT</t>
  </si>
  <si>
    <t>COLORADA TRECE S.A. - LA CONSULTA</t>
  </si>
  <si>
    <t>Sasso Nº 35   y   San Martín Nº 315</t>
  </si>
  <si>
    <t>anticipar3@gmail.com, coloradatrece315@hotmail.com</t>
  </si>
  <si>
    <t>2613058503 / 02622487113</t>
  </si>
  <si>
    <t>496/2018</t>
  </si>
  <si>
    <t>G - 001082</t>
  </si>
  <si>
    <t>EX-2018-0820255-GDEMZA-DPA#SAYOT</t>
  </si>
  <si>
    <t>MATADERO FRIGORIFICO MARIA DEL CARMEN S.A.C.I.G.A.</t>
  </si>
  <si>
    <t>30-53959267-6</t>
  </si>
  <si>
    <t xml:space="preserve">matadero -frigorifico. Elaboración de grasas ind.,  sebos  - saladero </t>
  </si>
  <si>
    <t>Francisco de La Reta 1080</t>
  </si>
  <si>
    <t>Severo del Castillo 8372</t>
  </si>
  <si>
    <t>Pte. De Hierro</t>
  </si>
  <si>
    <t>frigorificomdelc@gmail.com, wgomezf@hotmail.com</t>
  </si>
  <si>
    <t>4455232 / 261-5653711</t>
  </si>
  <si>
    <t>498/2018</t>
  </si>
  <si>
    <t>G - 001083</t>
  </si>
  <si>
    <t>EX-2024-01520239-   -GDEMZA-DPA#SAYOT - TC - EX-2018-01068687-GDEMZA-DPA#SAYOT</t>
  </si>
  <si>
    <t>GALILEO TECHNOLOGIES SA</t>
  </si>
  <si>
    <t>30-61608546-4</t>
  </si>
  <si>
    <t>Generación - Central Térmica</t>
  </si>
  <si>
    <t>Ruta Nac. Nº 40, Km 48</t>
  </si>
  <si>
    <t>Anchoris</t>
  </si>
  <si>
    <t>pablo.torres@methaxar.com, ignacio.sorrosal@galileoar.com</t>
  </si>
  <si>
    <t xml:space="preserve">2612308898
</t>
  </si>
  <si>
    <t>500/2018</t>
  </si>
  <si>
    <t>G - 001084</t>
  </si>
  <si>
    <t>EX-2018-01680400-GDEMZA-DPA#SAYOT</t>
  </si>
  <si>
    <t>MORAD VICENTE ANGEL - JUNIN-</t>
  </si>
  <si>
    <t>Guarda de vehiculos para desarme</t>
  </si>
  <si>
    <t>Tobares s/n</t>
  </si>
  <si>
    <t>Algarrobo Grande</t>
  </si>
  <si>
    <t>507/2018</t>
  </si>
  <si>
    <t>G - 001085</t>
  </si>
  <si>
    <t>EX-2022-00425957- -GDEMZA-DPA#SAYOT - TC - EX-2018-03178607-GDEMZA-DPA#SAYOT</t>
  </si>
  <si>
    <t>PROLUBE CITY SAS</t>
  </si>
  <si>
    <t>30-71677109-8</t>
  </si>
  <si>
    <t>Brasil 498 y Pedro B Palacios</t>
  </si>
  <si>
    <t>vbravomellado@gmail.com, costanera@prolube.com.ar</t>
  </si>
  <si>
    <t>549/2018</t>
  </si>
  <si>
    <t>G - 001086</t>
  </si>
  <si>
    <t>EX-2018-02840662-GDEMZA-DPA#SAYOT</t>
  </si>
  <si>
    <t>DIVORATO MAIRA EUGENIA</t>
  </si>
  <si>
    <t>27-37521225-6</t>
  </si>
  <si>
    <t>Sarmiento Nº 175</t>
  </si>
  <si>
    <t>2616631257  -       2614729421</t>
  </si>
  <si>
    <t>508/2018</t>
  </si>
  <si>
    <t>G - 001088</t>
  </si>
  <si>
    <t>EX-2018-01471630-GDEMZA-DPA#SAYOT</t>
  </si>
  <si>
    <t>MORALES HUGO ALBERTO</t>
  </si>
  <si>
    <t>20-11234253-3</t>
  </si>
  <si>
    <t>Cubillos 1615</t>
  </si>
  <si>
    <t>gestoriaambiental.mza@gmail.com, hidraulicamorales100@gmail.con</t>
  </si>
  <si>
    <t xml:space="preserve">4156144 - 2616631257
</t>
  </si>
  <si>
    <t>497/2018</t>
  </si>
  <si>
    <t>G - 001089</t>
  </si>
  <si>
    <t>EX-2018-01970802-GDEMZA-DPA#SAYOT</t>
  </si>
  <si>
    <t>YACOPINI SUD S.A.</t>
  </si>
  <si>
    <t>Concesionaria de automoviles - Servicio de post vta</t>
  </si>
  <si>
    <t>San Martín Nº 600</t>
  </si>
  <si>
    <t>Av. Mitre 721</t>
  </si>
  <si>
    <t>4424851 / 2604424951</t>
  </si>
  <si>
    <t>582/2018</t>
  </si>
  <si>
    <t>G - 001090</t>
  </si>
  <si>
    <t>EX-2018-01784388-GDEMZA-DPA#SAYOT</t>
  </si>
  <si>
    <t>PDF S.A.</t>
  </si>
  <si>
    <t>30-71001049-4</t>
  </si>
  <si>
    <t>Lavadero de camiones</t>
  </si>
  <si>
    <t>Acceso Sur, Lat E, Nº 4287</t>
  </si>
  <si>
    <t>583/2018</t>
  </si>
  <si>
    <t>G - 001091</t>
  </si>
  <si>
    <t>EX-2018-01486660-GDEMZA-DPA#SAYOT</t>
  </si>
  <si>
    <t>WESTENWAGEN S.A.</t>
  </si>
  <si>
    <t>30-71504025-1</t>
  </si>
  <si>
    <t>Concesionaria de VEHICULOS</t>
  </si>
  <si>
    <t>Independencia 721</t>
  </si>
  <si>
    <t>Los Viñedos 700</t>
  </si>
  <si>
    <t>b.vera@avconsultora.com, info@vestencamiones.com.ar, gabrielhernadezbloch@gmail.com</t>
  </si>
  <si>
    <t>261 553-1087</t>
  </si>
  <si>
    <t>616/2018</t>
  </si>
  <si>
    <t>G - 001092</t>
  </si>
  <si>
    <t>EX-2018-01880861-GDEMZA-DPA#SAYOT</t>
  </si>
  <si>
    <t>PETROLERA EL TREBOL S. A. - Área Río Atuel - Malargüe</t>
  </si>
  <si>
    <t>Exploración  y explotación de hidrocarburos</t>
  </si>
  <si>
    <t xml:space="preserve">Área Río Atuel - Rut. Nac. Nº 40 </t>
  </si>
  <si>
    <t>pgr.mdz.notificaciones@phoenixgr.com, e.muller@phoenixgr.com, f.bonet@phoenixgr.com</t>
  </si>
  <si>
    <t xml:space="preserve">261-3480500 / 2994594552 </t>
  </si>
  <si>
    <t>611/2018</t>
  </si>
  <si>
    <t>G - 001094</t>
  </si>
  <si>
    <t>EX-2018-0242452-GDEMZA-DPA#SAYOT</t>
  </si>
  <si>
    <t>ANDRES MERINO PINTURERIAS S.A.</t>
  </si>
  <si>
    <t>30-70859144-7</t>
  </si>
  <si>
    <t>Comercialiación de pinturas</t>
  </si>
  <si>
    <t>Brasil 162</t>
  </si>
  <si>
    <t>Bandera de Los Andes 4023</t>
  </si>
  <si>
    <t>belen@andres-merino.com.ar, tramiteslucero2016@gmail.com</t>
  </si>
  <si>
    <t>609/2018</t>
  </si>
  <si>
    <t>G - 001095</t>
  </si>
  <si>
    <t>EX-2018-02674951-GDEMZA-DPA#SAYOT</t>
  </si>
  <si>
    <t>MARADONA, ALEJANDRO MÁXIMO</t>
  </si>
  <si>
    <t>20-6873076-8</t>
  </si>
  <si>
    <t>Taller mecánico del autómovil</t>
  </si>
  <si>
    <t>cmaradona2013@gmail.com</t>
  </si>
  <si>
    <t>594/2018</t>
  </si>
  <si>
    <t>G - 001096</t>
  </si>
  <si>
    <t>EX-2018-001811541-GDEMZA-DPA#SAYOT</t>
  </si>
  <si>
    <t>PETERSEN THIELE Y CRUZ S.A.C. y M. - "Obrador Remodelación Av. Costanera"-</t>
  </si>
  <si>
    <t>30-50127388-7</t>
  </si>
  <si>
    <t>Obras de Infraestructura  para el transporte</t>
  </si>
  <si>
    <t xml:space="preserve">Alem 52 </t>
  </si>
  <si>
    <t>Gob. Videla entre J. Jufré y Matienzo</t>
  </si>
  <si>
    <t>l.luna@grupopetersen.com.ar</t>
  </si>
  <si>
    <t>4502386 / 2531</t>
  </si>
  <si>
    <t>589/2018</t>
  </si>
  <si>
    <t>G - 001097</t>
  </si>
  <si>
    <t>EX-2018-02729655-GDEMZA-DPA#SAYOT</t>
  </si>
  <si>
    <t>JOSE CARTELLONE CONSTRUC. CIVILES S.A. - "Obrador Variante Palmira" -</t>
  </si>
  <si>
    <t>Rodriguez Peña 4447</t>
  </si>
  <si>
    <t>Sarmiento s/n</t>
  </si>
  <si>
    <t>vbravo@cartellone.com.ar, martinezr@cartellone.com.ar</t>
  </si>
  <si>
    <t>4819000 int. 4372 / 2613601260</t>
  </si>
  <si>
    <t>588/2018</t>
  </si>
  <si>
    <t>G - 001098</t>
  </si>
  <si>
    <t>EX-2018-02287104-GDEMZA-DPA#SAYOT</t>
  </si>
  <si>
    <t>AMBROSIO FABRICIO AMADEO</t>
  </si>
  <si>
    <t>20-22214721-3</t>
  </si>
  <si>
    <t>Lubricentro y vta . De Accesorios Automotor</t>
  </si>
  <si>
    <t>Ugarte 426</t>
  </si>
  <si>
    <t xml:space="preserve">Brasil 341 -local 4- </t>
  </si>
  <si>
    <t>fambrosio4@gmail.com</t>
  </si>
  <si>
    <t>544/2018</t>
  </si>
  <si>
    <t>G - 001099</t>
  </si>
  <si>
    <t>EX-2018-03380447-GDEMZA-DPA#SAYOT</t>
  </si>
  <si>
    <t>AVILA, OSVALDO CEFERINO</t>
  </si>
  <si>
    <t>20-28156639-4</t>
  </si>
  <si>
    <t>Servicio Técnico de motos</t>
  </si>
  <si>
    <t>Urquiza 1925</t>
  </si>
  <si>
    <t>marinievas81@hotmail.com</t>
  </si>
  <si>
    <t>543/2018</t>
  </si>
  <si>
    <t>G - 001100</t>
  </si>
  <si>
    <t>EX-2018-02210305-GDEMZA-DPA#SAYOT</t>
  </si>
  <si>
    <t>BUONO SERVICE S.R.L.</t>
  </si>
  <si>
    <t>30-71051406-9</t>
  </si>
  <si>
    <t>Mecánica  General</t>
  </si>
  <si>
    <t>General Paz 75</t>
  </si>
  <si>
    <t>tramiteslucero2016@gmail.com, ivangel1@hotmail.com</t>
  </si>
  <si>
    <t>537/2018</t>
  </si>
  <si>
    <t>G - 001101</t>
  </si>
  <si>
    <t>EX-2018-02486084-GDEMZA-DPA#SAYOT</t>
  </si>
  <si>
    <t>RIOS MOYANO MARIO EMILIANO</t>
  </si>
  <si>
    <t>20-35877729-6</t>
  </si>
  <si>
    <t>Brasil 207</t>
  </si>
  <si>
    <t>emi.rios.7@hotmail.com</t>
  </si>
  <si>
    <t>539/2018</t>
  </si>
  <si>
    <t>G - 001102</t>
  </si>
  <si>
    <t>EX-2018-02258102-GDEMZA-DPA#SAYOT</t>
  </si>
  <si>
    <t>ROBERTS CRISTIAN JAVIER</t>
  </si>
  <si>
    <t>20-23993388-3</t>
  </si>
  <si>
    <t>Santiago del Estero 1802</t>
  </si>
  <si>
    <t xml:space="preserve">Villa del Parque </t>
  </si>
  <si>
    <t>gestoriaambiental.mza@gmail.com, cristianjroberts@hotmail.com</t>
  </si>
  <si>
    <t>2616631257 /2616674749</t>
  </si>
  <si>
    <t>559/2018</t>
  </si>
  <si>
    <t>G - 001103</t>
  </si>
  <si>
    <t>EX-2018-00914874-GDEMZA-DPA#SAYOT</t>
  </si>
  <si>
    <t>MANTENIMIENTO Y SERVICIOS S.A.</t>
  </si>
  <si>
    <t>30-71087292-5</t>
  </si>
  <si>
    <t>Mecánica automotriz - Repuestos</t>
  </si>
  <si>
    <t>Velez Sarfield 1042</t>
  </si>
  <si>
    <t>joserballarini@gmail.com, info@ballariniservicios.com.ar</t>
  </si>
  <si>
    <t xml:space="preserve">4520943 / 261-5410264 </t>
  </si>
  <si>
    <t>557/2018</t>
  </si>
  <si>
    <t>G - 001104</t>
  </si>
  <si>
    <t>EX-2018-01256744-GDEMZA-DPA#SAYOT</t>
  </si>
  <si>
    <t>BARCELO, MIGUEL SEBASTIAN</t>
  </si>
  <si>
    <t>20-11155102-3</t>
  </si>
  <si>
    <t>Taller de mecánica ligera del automotor</t>
  </si>
  <si>
    <t>Francia 1386</t>
  </si>
  <si>
    <t>miguelbarcelo28@gmail.com, migebarcelo28@gmail.com</t>
  </si>
  <si>
    <t>4283041 7 261-4857777</t>
  </si>
  <si>
    <t>536/2018</t>
  </si>
  <si>
    <t>G - 001105</t>
  </si>
  <si>
    <t>EX-2018-01143646-GDEMZA-DPA#SAYOT</t>
  </si>
  <si>
    <t>VENTA DE MOTOS LAVALLE S.A.</t>
  </si>
  <si>
    <t>30-71035654-4</t>
  </si>
  <si>
    <t>Vta de motos, servcio de mantenimiento y rep.</t>
  </si>
  <si>
    <t>Almirante Brown 1096, Dpto 5</t>
  </si>
  <si>
    <t xml:space="preserve">Adolfo Calle 795 </t>
  </si>
  <si>
    <t>Postventa@andesmotors.com.ar</t>
  </si>
  <si>
    <t>540/2018</t>
  </si>
  <si>
    <t>G - 001106</t>
  </si>
  <si>
    <t>EX-2018-01127753-GDEMZA-DPA#SAYOT</t>
  </si>
  <si>
    <t>ALEJANDRO PIMENIDES</t>
  </si>
  <si>
    <t>20-13335073</t>
  </si>
  <si>
    <t>Renato Della Santa 2019</t>
  </si>
  <si>
    <t>pimenidesport@hotmail.com, vbravomellado@gmail.com</t>
  </si>
  <si>
    <t>02615754842 - 8017957</t>
  </si>
  <si>
    <t>529/2018</t>
  </si>
  <si>
    <t>G - 001108</t>
  </si>
  <si>
    <t>EX-2018-01659541-GDEMZA-DPA#SAYOT</t>
  </si>
  <si>
    <t>ADRIANA MARIOTTI Y SERGIO MARIOTTI</t>
  </si>
  <si>
    <t>30-69581067-5</t>
  </si>
  <si>
    <t>taller de chapería y pintura</t>
  </si>
  <si>
    <t>Juan Gualberto Godoy 170</t>
  </si>
  <si>
    <t>info@taller-mariotti.com.ar, b.vera@avconsultora.com</t>
  </si>
  <si>
    <t>554/2018</t>
  </si>
  <si>
    <t>G - 001109</t>
  </si>
  <si>
    <t>EX-2018-01652108-GDEMZA-DPA#SAYOT</t>
  </si>
  <si>
    <t>SANFURGO, FABIAN DARIO</t>
  </si>
  <si>
    <t>20-25291307-7</t>
  </si>
  <si>
    <t>Lubricentro y taller mecánico</t>
  </si>
  <si>
    <t>Figueroa Alcorta 527</t>
  </si>
  <si>
    <t>topfc2018@hotmail.com, tramiteslucero2016@gmail.com</t>
  </si>
  <si>
    <t>580/2018</t>
  </si>
  <si>
    <t>G - 001110</t>
  </si>
  <si>
    <t>EX-2018-01683903-GDEMZA-DPA#SAYOT</t>
  </si>
  <si>
    <t>GRUPO PEÑAFLOR S.A. - OPERACIÓN SAN MARTÍN -</t>
  </si>
  <si>
    <t>Belgrano 280</t>
  </si>
  <si>
    <t>SAN MARTIN</t>
  </si>
  <si>
    <t>Alsina 709</t>
  </si>
  <si>
    <t>german.erario@grupopenaflor.com.ar, diego.pastor@grupopenaflor.com.ar, carla.compagnoni@grupopenaflor.com.ar</t>
  </si>
  <si>
    <t xml:space="preserve">2634539690   /2617623955
</t>
  </si>
  <si>
    <t>Y8-Y12-Y29-Y31-Y48</t>
  </si>
  <si>
    <t>558/2018</t>
  </si>
  <si>
    <t>G - 001111</t>
  </si>
  <si>
    <t>EX-2018-01710156-GDEMZA-DPA#SAYOT</t>
  </si>
  <si>
    <t>OBRAS ANDINAS S.A. - Las Heras</t>
  </si>
  <si>
    <t>30-70943571-6</t>
  </si>
  <si>
    <t>Peltier 50</t>
  </si>
  <si>
    <t>Alvarez Condarco s/n</t>
  </si>
  <si>
    <t>hmansalve@obrasandinas.com, hmarchessi@obrasandinas.com, jaguinaga@obrasandinas.com</t>
  </si>
  <si>
    <t>4249110/9550</t>
  </si>
  <si>
    <t>556/2018</t>
  </si>
  <si>
    <t>G - 001112</t>
  </si>
  <si>
    <t>EX-2018-01807604-GDEMZA-DPA#SAYOT</t>
  </si>
  <si>
    <t>ANGEL M. ESPIÑO e HIJOS S.A.I.C.</t>
  </si>
  <si>
    <t>30-50433395-3</t>
  </si>
  <si>
    <t xml:space="preserve">Elaboración de vinos y otras bebidas alcohólicas </t>
  </si>
  <si>
    <t>San Martín 2186</t>
  </si>
  <si>
    <t>rrhh@bodegaespino.com.ar</t>
  </si>
  <si>
    <t>545/2018</t>
  </si>
  <si>
    <t>G - 001113</t>
  </si>
  <si>
    <t>EX-2018-02110753-GDEMZA-DPA#SAYOT</t>
  </si>
  <si>
    <t>COLORADA TRECE S.A. - EUGENIO BUSTOS</t>
  </si>
  <si>
    <t>Ruta Nac. Nº 40 y Bº Quiroga</t>
  </si>
  <si>
    <t>anticipar3@gmail.com, coloradatrece2@hotmail.com</t>
  </si>
  <si>
    <t>542/2018</t>
  </si>
  <si>
    <t>G - 001114</t>
  </si>
  <si>
    <t>EX-2018-02670974-GDEMZA-DPA#SAYOT</t>
  </si>
  <si>
    <t>GULINO, SERGIO ORLANDO</t>
  </si>
  <si>
    <t>20-20111849-3</t>
  </si>
  <si>
    <t>Garcia Lorca 1610</t>
  </si>
  <si>
    <t>fordmendozaford@gmail.com</t>
  </si>
  <si>
    <t>555/2018</t>
  </si>
  <si>
    <t>G - 001115</t>
  </si>
  <si>
    <t>EX-2018-02807633-GDEMZA-DPA#SAYOT</t>
  </si>
  <si>
    <t>MANONI CRISTIAN NICOLAS</t>
  </si>
  <si>
    <t>20-27453268-9</t>
  </si>
  <si>
    <t>Taller de Chaperia  y pintura</t>
  </si>
  <si>
    <t>Cubillos 1775</t>
  </si>
  <si>
    <t>cristianmanoni@hotmail.com</t>
  </si>
  <si>
    <t>538/2018</t>
  </si>
  <si>
    <t>G - 001116</t>
  </si>
  <si>
    <t>EX-2018-03157326-GDEMZA-DPA#SAYOT</t>
  </si>
  <si>
    <t>RIERA, LUCIA MABEL</t>
  </si>
  <si>
    <t>27-10205720-7</t>
  </si>
  <si>
    <t>Carril Ponce y Elpidio Gonzalez</t>
  </si>
  <si>
    <t>anticipar3@gmail.com, estacionelsol@gmail.com</t>
  </si>
  <si>
    <t>590/2018</t>
  </si>
  <si>
    <t>G - 001117</t>
  </si>
  <si>
    <t>EX-2018-03179429-GDEMZA-DPA#SAYOT</t>
  </si>
  <si>
    <t>S-TRAIN ARGENTINA S.A.</t>
  </si>
  <si>
    <t>30-70903934-9</t>
  </si>
  <si>
    <t>Transp. de cargas,  Vta y alquiler de maquinas viales</t>
  </si>
  <si>
    <t>Juan Manuel Fangio Nº 70</t>
  </si>
  <si>
    <t xml:space="preserve">adminmza@s-train.com.ar, j.l.venier@hotmail.com
</t>
  </si>
  <si>
    <t>606/2018</t>
  </si>
  <si>
    <t>G - 001118</t>
  </si>
  <si>
    <t>EX-2018-03464262-GDEMZA-DPA#SAYOT</t>
  </si>
  <si>
    <t>DANIEL MARENGO y MARTÍN MARENGO S.H.</t>
  </si>
  <si>
    <t>30-71485134-5</t>
  </si>
  <si>
    <t>Fab. De Pinturas y accesorios para línea artística</t>
  </si>
  <si>
    <t>Parque Ind. Minero Eje Norte,   Manz. "R" Lote 17</t>
  </si>
  <si>
    <t>dmarengo@pinturasaranjuez.com.ar, leonardomolinasl@gmail.com</t>
  </si>
  <si>
    <t>4473093 - 2645653987</t>
  </si>
  <si>
    <t>527/2018</t>
  </si>
  <si>
    <t>G - 001119</t>
  </si>
  <si>
    <t>EX-2018-01852192-GDEMZA-DPA#SAYOT</t>
  </si>
  <si>
    <t>PETROSUR S.A.</t>
  </si>
  <si>
    <t>30-71029317-8</t>
  </si>
  <si>
    <t>Paso de Los Andes y Maza 1149</t>
  </si>
  <si>
    <t>estacionpetrosur@gmail.com, ndgarro2004@gmail.com</t>
  </si>
  <si>
    <t>553/2018</t>
  </si>
  <si>
    <t>G - 001120</t>
  </si>
  <si>
    <t>EX-2018-03292465-GDEMZA-DPA#SAYOT</t>
  </si>
  <si>
    <t>GOLDEN HARVEST S.A.</t>
  </si>
  <si>
    <t>30-70862819-7</t>
  </si>
  <si>
    <t>Fab. De conservas de frutas y hortalizas</t>
  </si>
  <si>
    <t>Rodriguez Peña 3260</t>
  </si>
  <si>
    <t>gestoriaambiental.mza@gmail.com, compras@goldenharvest.com.ar</t>
  </si>
  <si>
    <t>2616631257/2616 64-2232</t>
  </si>
  <si>
    <t>528/2018</t>
  </si>
  <si>
    <t>G - 001121</t>
  </si>
  <si>
    <t>EX-2018-03293443-GDEMZA-DPA#SAYOT</t>
  </si>
  <si>
    <t>ESTACION DE SERVICIOS BONANNO S.A.</t>
  </si>
  <si>
    <t>30-71306390-4</t>
  </si>
  <si>
    <t>San Martin 800</t>
  </si>
  <si>
    <t>San Martín 800</t>
  </si>
  <si>
    <t xml:space="preserve">shellujan@shellujan.com.ar, hugo.baldin@gmail.com, </t>
  </si>
  <si>
    <t>541/2018</t>
  </si>
  <si>
    <t>G - 001122</t>
  </si>
  <si>
    <t>EX-2018-03337227-GDEMZA-DPA#SAYOT</t>
  </si>
  <si>
    <t>EMPRESA MAIPU S.R.L. - GRUPO 10 -</t>
  </si>
  <si>
    <t>4972645 / 2615372031</t>
  </si>
  <si>
    <t>546/2018</t>
  </si>
  <si>
    <t>G - 001123</t>
  </si>
  <si>
    <t>EX-2018-03426873-GDEMZA-DPA#SAYOT</t>
  </si>
  <si>
    <t>ASTIE DIESEL S.A. - TUPUNGATO</t>
  </si>
  <si>
    <t>Ruta Nac. Nº 40  Km 3225</t>
  </si>
  <si>
    <t>Zapata</t>
  </si>
  <si>
    <t>gestoriaambiental.mza@gmail.com, jefeestacion@astieypf.com</t>
  </si>
  <si>
    <t>2616631257 2613467907</t>
  </si>
  <si>
    <t>552/2018</t>
  </si>
  <si>
    <t>G - 001124</t>
  </si>
  <si>
    <t>EX-2018-03474363-GDEMZA-DPA#SAYOT</t>
  </si>
  <si>
    <t>EL JARILLAR S.A.M.I. Y C.</t>
  </si>
  <si>
    <t>30-69022144-2</t>
  </si>
  <si>
    <t>Explotación y fracc. De minas de sal</t>
  </si>
  <si>
    <t>25 de Mayo 750,  3º piso Of. "E"</t>
  </si>
  <si>
    <t>Ruta Nº 144 Km 724</t>
  </si>
  <si>
    <t>saldiamante16@gmail.com, veritomacri@hotmail.com, galias73@hotmail.com</t>
  </si>
  <si>
    <t>2604430695 - 02604402712</t>
  </si>
  <si>
    <t>586/2018</t>
  </si>
  <si>
    <t>G - 001125</t>
  </si>
  <si>
    <t>EX-2018-01083195-GDEMZA-DPA#SAYOT</t>
  </si>
  <si>
    <t>ESI GAS S.A.</t>
  </si>
  <si>
    <t>30-70711803-9</t>
  </si>
  <si>
    <t>Vta y colococación equipos de GNC - Revisión técnica</t>
  </si>
  <si>
    <t>Saavedra 101</t>
  </si>
  <si>
    <t>Perito Moreno 508</t>
  </si>
  <si>
    <t>esigas@esigas.com.ar, administracion@esigas.com.ar, jmgobbato@hotmail.com</t>
  </si>
  <si>
    <t>2612001455 - 4228489</t>
  </si>
  <si>
    <t>Y6-Y8-Y9-Y12-Y17-Y35-Y40-Y42-Y48</t>
  </si>
  <si>
    <t>547/2018</t>
  </si>
  <si>
    <t>G - 001126</t>
  </si>
  <si>
    <t>EX-2018-01068680-GDEMZA-DPA#SAYOT</t>
  </si>
  <si>
    <t>PADME S.A.</t>
  </si>
  <si>
    <t>30-70979773-1</t>
  </si>
  <si>
    <t>Fab. De ladrillos Cerámicos</t>
  </si>
  <si>
    <t>Parque Ind. Minero Eje Norte,  2º Etapa - Parcela 1</t>
  </si>
  <si>
    <t xml:space="preserve"> Andréscruz@live.com.ar</t>
  </si>
  <si>
    <t>550/2018</t>
  </si>
  <si>
    <t>G - 001127</t>
  </si>
  <si>
    <t>EX-2018-03317795-GDEMZA-DPA#SAYOT</t>
  </si>
  <si>
    <t>MARDONES, ENRIQUE BELERMINO</t>
  </si>
  <si>
    <t>20-10168864-0</t>
  </si>
  <si>
    <t>enriquebmardones@gmail.com</t>
  </si>
  <si>
    <t>526/2018</t>
  </si>
  <si>
    <t>G - 001128</t>
  </si>
  <si>
    <t>EX-2018-02597480-GDEMZA-DPA#SAYOT</t>
  </si>
  <si>
    <t>DISAN S.R.L.</t>
  </si>
  <si>
    <t>33-65775219-9</t>
  </si>
  <si>
    <t>Renatto Della Santa 1435</t>
  </si>
  <si>
    <t>vbravomellado@gmail.com, francisconidaniel@yahoo.com.ar</t>
  </si>
  <si>
    <t>584/2018</t>
  </si>
  <si>
    <t>G - 001129</t>
  </si>
  <si>
    <t>EX-2018-03357309-GDEMZA-DPA#SAYOT</t>
  </si>
  <si>
    <t>AUTOTRANSPORTES LOS ANDES S.A.</t>
  </si>
  <si>
    <t>30-54627280-6</t>
  </si>
  <si>
    <t>TRANSPORTE PÚBLICO DE PASAJEROS</t>
  </si>
  <si>
    <t>Rawson 235</t>
  </si>
  <si>
    <t>autlosandes.andres@gmail.com, alosandes.admi@gmail.com, sistemadegestion19@gmail.com</t>
  </si>
  <si>
    <t>581/2018</t>
  </si>
  <si>
    <t>G - 001130</t>
  </si>
  <si>
    <t>EX-2018-03592974-GDEMZA-DPA#SAYOT</t>
  </si>
  <si>
    <t>SAN IGNACIO S.R..L.</t>
  </si>
  <si>
    <t>30-56401956-5</t>
  </si>
  <si>
    <t>Montes de Oca Nº 1200</t>
  </si>
  <si>
    <t xml:space="preserve">Villa Hipodrómo </t>
  </si>
  <si>
    <t>nelsongenna68@gmail.com, fer-paconstrucciones@hotmail.com</t>
  </si>
  <si>
    <t>585/2018</t>
  </si>
  <si>
    <t>G - 001131</t>
  </si>
  <si>
    <t>EX-2018-03157701-GDEMZA-DPA#SAYOT</t>
  </si>
  <si>
    <t>YACMAN´S S.A.</t>
  </si>
  <si>
    <t>30-71002005-8</t>
  </si>
  <si>
    <t>Vta de maquinarias - Service</t>
  </si>
  <si>
    <t>Rodriguez Peña 480</t>
  </si>
  <si>
    <t xml:space="preserve">LUZURIAGA </t>
  </si>
  <si>
    <t>gestoriaambiental.mza@gmail.com, mrabier@hotmail.com.ar</t>
  </si>
  <si>
    <t xml:space="preserve">2616631257   / 261139828
</t>
  </si>
  <si>
    <t>587/2018</t>
  </si>
  <si>
    <t>G - 001132</t>
  </si>
  <si>
    <t>EX-2018-02258083-GDEMZA-DPA#SAYOT</t>
  </si>
  <si>
    <t>A-EVANGELISTA S.A</t>
  </si>
  <si>
    <t>30-68521819-0</t>
  </si>
  <si>
    <t>Servicio de Operación y workover</t>
  </si>
  <si>
    <t>Carril Barranca s/n  - Yacimiento YPF Barrancas</t>
  </si>
  <si>
    <t>p.e.fernandez@aesa.com.ar, esteban.donnet@ypf.com</t>
  </si>
  <si>
    <t>2974729182 /  260-4039260</t>
  </si>
  <si>
    <t>551/2018</t>
  </si>
  <si>
    <t>G - 001133</t>
  </si>
  <si>
    <t>EX-2018-03998486-GDEMZA-DPA#SAYOT</t>
  </si>
  <si>
    <t>BODEGAS FABRE S.A.</t>
  </si>
  <si>
    <t>30-66095020-2</t>
  </si>
  <si>
    <t>Producción de vinos</t>
  </si>
  <si>
    <t>Saenz Peña  3989</t>
  </si>
  <si>
    <t>Ruta Nac. Nº 40, Lat. Oeste, Km 3274</t>
  </si>
  <si>
    <t>aperrone@bodegasfabre.com; calidad@bodegasfabre.com</t>
  </si>
  <si>
    <t>261-4982330 7 261-3072873</t>
  </si>
  <si>
    <t>Y6-Y8-Y12-Y29-Y48</t>
  </si>
  <si>
    <t>203/2019</t>
  </si>
  <si>
    <t>G - 001134</t>
  </si>
  <si>
    <t>EX-2018-02019442-GDEMZA-DPA#SAYOT</t>
  </si>
  <si>
    <t>ARHEX S.A</t>
  </si>
  <si>
    <t>30-71463344-5</t>
  </si>
  <si>
    <t>Servicio de diseño especializado</t>
  </si>
  <si>
    <t xml:space="preserve">Avellaneda  813 </t>
  </si>
  <si>
    <t>Mitre 666, L 3</t>
  </si>
  <si>
    <t xml:space="preserve">4204771 / 261-5653216 </t>
  </si>
  <si>
    <t>192/2019</t>
  </si>
  <si>
    <t>002/2019</t>
  </si>
  <si>
    <t>G - 001135</t>
  </si>
  <si>
    <t>EX-2018-03822971-GDEMZA-DPA#SAYOT</t>
  </si>
  <si>
    <t>ENGINES &amp; SERVICES S.R.L.</t>
  </si>
  <si>
    <t>30-71497500-1</t>
  </si>
  <si>
    <t>MECÁNICA AUTOMOTOR</t>
  </si>
  <si>
    <t>Rodriguez Peña 653</t>
  </si>
  <si>
    <t>enginesyservicessrl@gmail.com, mabelgdinocenzo@gmil.com</t>
  </si>
  <si>
    <t>190/2019</t>
  </si>
  <si>
    <t>003/2019</t>
  </si>
  <si>
    <t>G - 001136</t>
  </si>
  <si>
    <t>EX-2018-03879456-GDEMZA-DPA#SAYOT</t>
  </si>
  <si>
    <t>JOSE LUIS LARRIBA</t>
  </si>
  <si>
    <t>20-10564197-5</t>
  </si>
  <si>
    <t xml:space="preserve"> Taller de cromado de piezas</t>
  </si>
  <si>
    <t>Groussac 30</t>
  </si>
  <si>
    <t>lic.verdaguer@hotmail.com, maritalarriba@gmail.com</t>
  </si>
  <si>
    <t>Y17-Y21-Y48</t>
  </si>
  <si>
    <t>079/2019</t>
  </si>
  <si>
    <t>004/2019</t>
  </si>
  <si>
    <t>G - 001137</t>
  </si>
  <si>
    <t>EX-2018-03879426-GDEMZA-DPA#SAYOT</t>
  </si>
  <si>
    <t>DICE TOURS S.R.L.</t>
  </si>
  <si>
    <t>30-67202711-6</t>
  </si>
  <si>
    <t>Servicio de Transporte de Automotores</t>
  </si>
  <si>
    <t>Francisco Alvarez 1198</t>
  </si>
  <si>
    <t>San Isidro Norte 2912</t>
  </si>
  <si>
    <t>info@dicetours.com.ar, diegosebastianvera@hotmail.com</t>
  </si>
  <si>
    <t>206/2019</t>
  </si>
  <si>
    <t>005/2019</t>
  </si>
  <si>
    <t>G - 001138</t>
  </si>
  <si>
    <t>EX-2018-04241501-GDEMZA-DPA#SAYOT</t>
  </si>
  <si>
    <t>VASA S.A</t>
  </si>
  <si>
    <t>30-71410928-2</t>
  </si>
  <si>
    <t>Severo del Castillo 4660</t>
  </si>
  <si>
    <t>Los Corralitos</t>
  </si>
  <si>
    <t xml:space="preserve">2613058503 / 2615652920
</t>
  </si>
  <si>
    <t xml:space="preserve"> Y8-Y9-Y48</t>
  </si>
  <si>
    <t>202/2019</t>
  </si>
  <si>
    <t>006/2018</t>
  </si>
  <si>
    <t>G - 001139</t>
  </si>
  <si>
    <t>EX-2018-04242213-GDEMZA-DPA#SAYOT</t>
  </si>
  <si>
    <t>URQUIZA PLASTICOS S.R.L.</t>
  </si>
  <si>
    <t>33-60429890-9</t>
  </si>
  <si>
    <t>Fab. de artículos de plástico</t>
  </si>
  <si>
    <t>Rodriguez Peña 5305</t>
  </si>
  <si>
    <t>urquizaplasticos@gmail.com</t>
  </si>
  <si>
    <t>5241942/ 43</t>
  </si>
  <si>
    <t>201/2019</t>
  </si>
  <si>
    <t>007/2019</t>
  </si>
  <si>
    <t>G - 001140</t>
  </si>
  <si>
    <t>EX-2018-04246850-GDEMZA-DPA#SAYOT</t>
  </si>
  <si>
    <t>CONCORD GAS S.A. - GUAYMALLEN</t>
  </si>
  <si>
    <t>EESS GNC  y lavadero</t>
  </si>
  <si>
    <t xml:space="preserve">Saavedra 61 </t>
  </si>
  <si>
    <t xml:space="preserve">4310587 / 261-6502354 </t>
  </si>
  <si>
    <t>205/2019</t>
  </si>
  <si>
    <t>008/2019</t>
  </si>
  <si>
    <t>G - 001141</t>
  </si>
  <si>
    <t>EX-2018-03970384-GDEMZA-DPA#SAYOT</t>
  </si>
  <si>
    <t>TRIGUY Y LOMBARDI S.R.L.</t>
  </si>
  <si>
    <t>30-58928075-6</t>
  </si>
  <si>
    <t>Mantenimiento y vta. De máquinas viales</t>
  </si>
  <si>
    <t>Rodriguez Peña 5215</t>
  </si>
  <si>
    <t>veroanatriguy@triguylombardi.com, adrian.villalobos@hotmail.com.ar</t>
  </si>
  <si>
    <t>2616624339 - 261156551886</t>
  </si>
  <si>
    <t>191/2019</t>
  </si>
  <si>
    <t>009/2019</t>
  </si>
  <si>
    <t>ENTREGADO</t>
  </si>
  <si>
    <t xml:space="preserve"> </t>
  </si>
  <si>
    <t>G - 001142</t>
  </si>
  <si>
    <t>EX-2018-03992665-GDEMZA-DPA#SAYOT</t>
  </si>
  <si>
    <t>TRANSFAR S.R.L.</t>
  </si>
  <si>
    <t>30-65319323-4</t>
  </si>
  <si>
    <t>Pergamino 696</t>
  </si>
  <si>
    <t>Vandor</t>
  </si>
  <si>
    <t>Espinola 3905 (ex El Pino)</t>
  </si>
  <si>
    <t>mirta_farina@hotmail.com, ecosolutionscon@gmail.com</t>
  </si>
  <si>
    <t>260 4420363</t>
  </si>
  <si>
    <t>204/2019</t>
  </si>
  <si>
    <t>010/2019</t>
  </si>
  <si>
    <t>G - 001143</t>
  </si>
  <si>
    <t>EX-2018-04021220-GDEMZA-DPA#SAYOT</t>
  </si>
  <si>
    <t>MARAGNA, BRUNO VALENTINO</t>
  </si>
  <si>
    <t>20-32819249-8</t>
  </si>
  <si>
    <t>Posadas 240</t>
  </si>
  <si>
    <t xml:space="preserve">brunomaragna@gmail.com, tramiteslucero2016@gmail.com, </t>
  </si>
  <si>
    <t>073/2019</t>
  </si>
  <si>
    <t>011/2019</t>
  </si>
  <si>
    <t>G - 001144</t>
  </si>
  <si>
    <t>EX-2018-04092208-GDEMZA-DPA#SAYOT</t>
  </si>
  <si>
    <t>SERVICIOS Y REPARACIONES COSTA S.A.</t>
  </si>
  <si>
    <t>30-70973667-8</t>
  </si>
  <si>
    <t>serv.  reparación de maquinarias</t>
  </si>
  <si>
    <t>Brandsen s/n</t>
  </si>
  <si>
    <t>reparacionesjjcosta@hotmail.com</t>
  </si>
  <si>
    <t>089/2019</t>
  </si>
  <si>
    <t>012/2019</t>
  </si>
  <si>
    <t>G - 001145</t>
  </si>
  <si>
    <t>EX-2018-04051308-GDEMZA-DPA#SAYOT</t>
  </si>
  <si>
    <t>EMESA - ROCH S.A. - AREA AGUA BOTADA - UTE</t>
  </si>
  <si>
    <t>30-71467281-5</t>
  </si>
  <si>
    <t>Necochea 473- PB Of. 2</t>
  </si>
  <si>
    <t>Área Agua Botada - CNQ -18</t>
  </si>
  <si>
    <t>Rio Grande</t>
  </si>
  <si>
    <t>alejandrosaralegui@gmail.com</t>
  </si>
  <si>
    <t>260 4471430</t>
  </si>
  <si>
    <t>058/2019</t>
  </si>
  <si>
    <t>013/2019</t>
  </si>
  <si>
    <t>G - 001146</t>
  </si>
  <si>
    <t>EX-2018-04119189-GDEMZA-DPA#SAYOT</t>
  </si>
  <si>
    <t>TRANSOL S.R.L.</t>
  </si>
  <si>
    <t>30-65425428-8</t>
  </si>
  <si>
    <t>Guarda y mantenimiento de camiones</t>
  </si>
  <si>
    <t>Acceso Sur, Lat. E, Km 20,5</t>
  </si>
  <si>
    <t>Luján de Cuyo</t>
  </si>
  <si>
    <t>internacional2@transol.com.ar, marcos_grana@yahoo.com.ar, claudiaoche@gmail.com</t>
  </si>
  <si>
    <t>261-6634981 / 261-6144822</t>
  </si>
  <si>
    <t>072/2019</t>
  </si>
  <si>
    <t>014/2019</t>
  </si>
  <si>
    <t>G - 001147</t>
  </si>
  <si>
    <t>EX-2018-04120211-GDEMZA-DPA#SAYOT</t>
  </si>
  <si>
    <t>LUBRICANTES SUR VIETTI S.A.</t>
  </si>
  <si>
    <t>30-71233073-9</t>
  </si>
  <si>
    <t xml:space="preserve">Vta de repuesto y lubricantes </t>
  </si>
  <si>
    <t>Rio cuevas 605</t>
  </si>
  <si>
    <t>contadorflaviorodriguez@gmail.com</t>
  </si>
  <si>
    <t>261-4397998 261-152697249</t>
  </si>
  <si>
    <t>074/2019</t>
  </si>
  <si>
    <t>015/2019</t>
  </si>
  <si>
    <t>G - 001148</t>
  </si>
  <si>
    <t>EX-2018-04223530-GDEMZA-DPA#SAYOT</t>
  </si>
  <si>
    <t>CARLOS DANIEL DIAZ</t>
  </si>
  <si>
    <t>20-08324346-6</t>
  </si>
  <si>
    <t xml:space="preserve">Perito Moreno 901 </t>
  </si>
  <si>
    <t>carlindiazpalmili@gmail.com</t>
  </si>
  <si>
    <t>4227135  / 2616114015</t>
  </si>
  <si>
    <t>037/2019</t>
  </si>
  <si>
    <t>016/2019</t>
  </si>
  <si>
    <t>G - 001149</t>
  </si>
  <si>
    <t>EX-2018-04214895-GDEMZA-DPA#SAYOT</t>
  </si>
  <si>
    <t>CENTRO CERVANTES GAS S.A.</t>
  </si>
  <si>
    <t>30-70734677-5</t>
  </si>
  <si>
    <t>taller de montaje cilindros de CNC</t>
  </si>
  <si>
    <t>Cervantes 1317</t>
  </si>
  <si>
    <t>srodriguez@cervantesgas.com, matiascoletto@yahoo.com.ar</t>
  </si>
  <si>
    <t>2616864258 - 2613832253</t>
  </si>
  <si>
    <t>Y6-Y12-Y48</t>
  </si>
  <si>
    <t>047/2019</t>
  </si>
  <si>
    <t>017/2019</t>
  </si>
  <si>
    <t>G - 001151</t>
  </si>
  <si>
    <t>EX-2019-00018793-GDEMZA-DPA#SAYOT</t>
  </si>
  <si>
    <t>ARLEJO S.A. (Lubricentro PROLUBE)</t>
  </si>
  <si>
    <t>30-71088295-5</t>
  </si>
  <si>
    <t>Beltrán 105</t>
  </si>
  <si>
    <t>mnavarro@jaben.com.ar</t>
  </si>
  <si>
    <t>084/2019</t>
  </si>
  <si>
    <t>63/2019</t>
  </si>
  <si>
    <t>G - 001152</t>
  </si>
  <si>
    <t>EX-2019-00014619-GDEMZA-DPA#SAYOT</t>
  </si>
  <si>
    <t>BISKUPOVICH, MARIA GIMENA (Tintorería CLEAN BOX)</t>
  </si>
  <si>
    <t>27-33760118-4</t>
  </si>
  <si>
    <t>Servicio de tintorería rápida</t>
  </si>
  <si>
    <t>Javier Morales 1548</t>
  </si>
  <si>
    <t>Zaporta 3035 (salida a Panamericana)</t>
  </si>
  <si>
    <t>Bº Flor de Cuyo</t>
  </si>
  <si>
    <t>gimenabiskupovich@hotmail.com, bustos-eduardo@hotmail.com</t>
  </si>
  <si>
    <t>2615567772 - 2615069424</t>
  </si>
  <si>
    <t>Y18-Y48</t>
  </si>
  <si>
    <t>046/2019</t>
  </si>
  <si>
    <t>64/2019</t>
  </si>
  <si>
    <t>G - 001153</t>
  </si>
  <si>
    <t>EX-2019-00013564-GDEMZA-DPA#SAYOT</t>
  </si>
  <si>
    <t>AUTOELEVADORES YALE S.A.</t>
  </si>
  <si>
    <t>30-57957328-3</t>
  </si>
  <si>
    <t>reparación de autoelevadores</t>
  </si>
  <si>
    <t>Carril Rodriguez Peña 2343</t>
  </si>
  <si>
    <t>administracion.mendoza@yale.com.ar, asyhlaboral@yahoo.com.ar</t>
  </si>
  <si>
    <t>261-3617871 261-4320033</t>
  </si>
  <si>
    <t>050/2019</t>
  </si>
  <si>
    <t>65/2019</t>
  </si>
  <si>
    <t>G - 001154</t>
  </si>
  <si>
    <t>EX-2024-05016096-   -GDEMZA-DPA#SAYOT - TC - EX-2019-00103099-GDEMZA-DPA#SAYOT</t>
  </si>
  <si>
    <t>NETZA S.A.S.</t>
  </si>
  <si>
    <t>30-718518770-5</t>
  </si>
  <si>
    <t>Metalúrgica -fab. De productos de metal</t>
  </si>
  <si>
    <t>Calle Nº 3, P.I.P.</t>
  </si>
  <si>
    <t>vbravo@cartellone.com.ar, fbaldasso@cartellone.com.ar</t>
  </si>
  <si>
    <t>4819000 - 2613601260</t>
  </si>
  <si>
    <t>036/2019</t>
  </si>
  <si>
    <t>66/2019</t>
  </si>
  <si>
    <t>G - 001155</t>
  </si>
  <si>
    <t>EX-2019-00200539-GDEMZA-DPA#SAYOT</t>
  </si>
  <si>
    <t>LORENZO AUTOMOTORES S.A - GODOY CRUZ</t>
  </si>
  <si>
    <t>30-70738874-5</t>
  </si>
  <si>
    <t>vta de utos y serv. de pos venta - taller</t>
  </si>
  <si>
    <t>San Martín Sur Nº 69</t>
  </si>
  <si>
    <t>aalcaraz@consultoresderiesgo.com, sebastian.moi@grupolorenzo.com.ar</t>
  </si>
  <si>
    <t>260-154341034</t>
  </si>
  <si>
    <t>425/280/2019</t>
  </si>
  <si>
    <t>73/2019</t>
  </si>
  <si>
    <t>G - 001156</t>
  </si>
  <si>
    <t>EX-2018-03607048-GDEMZA-DPA#SAYOT</t>
  </si>
  <si>
    <t>TEMEC S.A.</t>
  </si>
  <si>
    <t>30-71223423-3</t>
  </si>
  <si>
    <t xml:space="preserve">Vta de maquinarias </t>
  </si>
  <si>
    <t>Rodriguez Peña 5825</t>
  </si>
  <si>
    <t>sst@temec.com.ar, gmdufour@temec.com.ar</t>
  </si>
  <si>
    <t>2613363745 - 3911179</t>
  </si>
  <si>
    <t>273/2019</t>
  </si>
  <si>
    <t>74/2019</t>
  </si>
  <si>
    <t>G - 001157</t>
  </si>
  <si>
    <t>EX-2019-2164371-GDEMZA-DPA#SAYOT</t>
  </si>
  <si>
    <t>ANDREANI LOGISTICA S.A.</t>
  </si>
  <si>
    <t>30-69801114-5</t>
  </si>
  <si>
    <t xml:space="preserve">Acceso sur km 1414 </t>
  </si>
  <si>
    <t>jleal@andreani.com, antonella.nazzarro@gmail.com</t>
  </si>
  <si>
    <t xml:space="preserve"> 0810-122-1111, 261-4859381</t>
  </si>
  <si>
    <t>Y8-Y48-Y12</t>
  </si>
  <si>
    <t>309/387/494/2019</t>
  </si>
  <si>
    <t>849/2019</t>
  </si>
  <si>
    <t>G - 001158</t>
  </si>
  <si>
    <t>EX-2019-969682-GDEMZA-DPA#SAYOT</t>
  </si>
  <si>
    <t>PETROLERA EL TREBOL SA. Area Loma El Cortaderal Malargue</t>
  </si>
  <si>
    <t>Exploracion y explotacion hidrocarburos</t>
  </si>
  <si>
    <t>Area Loma El Cortaderal C° Doña Juana</t>
  </si>
  <si>
    <t>Malargüe</t>
  </si>
  <si>
    <t>2613480500 - 2994594552</t>
  </si>
  <si>
    <t>254/2019</t>
  </si>
  <si>
    <t>460/2019</t>
  </si>
  <si>
    <t>G - 001159</t>
  </si>
  <si>
    <t>EX-2019-752608-GDEMZA-DPA#SAYOT</t>
  </si>
  <si>
    <t>GHIOTTI JORGE MARINO</t>
  </si>
  <si>
    <t>20-18447477-9</t>
  </si>
  <si>
    <t>Mecanica del automotor</t>
  </si>
  <si>
    <t>San Martín 1856</t>
  </si>
  <si>
    <t>jorgeghiotti@hotmail.com</t>
  </si>
  <si>
    <t>261-4543691</t>
  </si>
  <si>
    <t>315/2019</t>
  </si>
  <si>
    <t>462/2019</t>
  </si>
  <si>
    <t>G - 001160</t>
  </si>
  <si>
    <t>EX-2019-970655-GDEMZA-DPA#SAYOT</t>
  </si>
  <si>
    <t>GRECOIL &amp; CIAS.A. - C° ALQUITRAN</t>
  </si>
  <si>
    <t>Tiburcio Benegas 843</t>
  </si>
  <si>
    <t>Area C° Alquitran Ruta Prov. 101</t>
  </si>
  <si>
    <t>p.diaz@phoenixgr.comi.swinnen@phoenixgr.com, flavibonet@gmail.com</t>
  </si>
  <si>
    <t>311/2019</t>
  </si>
  <si>
    <t>463/2019</t>
  </si>
  <si>
    <t>G - 001161</t>
  </si>
  <si>
    <t>EX-2019-00670432-   -GDEMZA-DPA#SAYOT</t>
  </si>
  <si>
    <t>MARBAR S.R.L.</t>
  </si>
  <si>
    <t>30-67023941-8</t>
  </si>
  <si>
    <t>Servicios petroleros comercializacion de productos para fluidos de perforacion y terminacion</t>
  </si>
  <si>
    <t>Lateral Oeste Ruta 40 interseccion Ruta 7 s/n°</t>
  </si>
  <si>
    <t>Lujan de Cuyo</t>
  </si>
  <si>
    <t>francisco.storelli@marbar.com.ar, ags_servicios@yahoo.com.ar, luciano.farroni@marbar.com.ar</t>
  </si>
  <si>
    <t>261-5582470</t>
  </si>
  <si>
    <t>Y8-Y48-Y18-Y34-Y35</t>
  </si>
  <si>
    <t>285/2019</t>
  </si>
  <si>
    <t>464/2019</t>
  </si>
  <si>
    <t>G - 001162</t>
  </si>
  <si>
    <t>EX-2019-342427-GDEMZA-DPA#SAYOT</t>
  </si>
  <si>
    <t>BUOZI JORGE LUIS</t>
  </si>
  <si>
    <t>20-32352348-8</t>
  </si>
  <si>
    <t>Garibaldi 155</t>
  </si>
  <si>
    <t>ocadero_21@hotmail.com, jorgeluisbuozi@gmail.com</t>
  </si>
  <si>
    <t>261-5331739 / 261-5917577</t>
  </si>
  <si>
    <t>279/2019</t>
  </si>
  <si>
    <t>467/2019</t>
  </si>
  <si>
    <t>G - 001163</t>
  </si>
  <si>
    <t>EX-2019-419670-GDEMZA-DPA#SAYOT</t>
  </si>
  <si>
    <t>PETROLERA ACONCAGUA ENERGIA S.A. POZO CERCADO ORIENTAL</t>
  </si>
  <si>
    <t>30-71481422-9</t>
  </si>
  <si>
    <t>Pedro Vargas 632</t>
  </si>
  <si>
    <t>Area Puesto Pozo Cercado Oriental ruta 40 km 3242</t>
  </si>
  <si>
    <t>Tupungato</t>
  </si>
  <si>
    <t>ngorrono@aconcaguaenergia.com, nancybarrera@biosconsultores.com.ar</t>
  </si>
  <si>
    <t>261-4238060</t>
  </si>
  <si>
    <t>436/2019</t>
  </si>
  <si>
    <t>791/2019</t>
  </si>
  <si>
    <t>DOCE MIL CUATROCIENTOS CUATRO CON 19/100</t>
  </si>
  <si>
    <t>709507 (2020) 1122418/21</t>
  </si>
  <si>
    <t>G - 001164</t>
  </si>
  <si>
    <t>EX-2019-419130-GDEMZA-DPA#SAYOT</t>
  </si>
  <si>
    <t>PETROLERA ACONCAGUA ENERGIA S.A. - AREA ATUEL NORTE</t>
  </si>
  <si>
    <t>Area Atuel Norte</t>
  </si>
  <si>
    <t>261-4238060 / 1158207102</t>
  </si>
  <si>
    <t>305/2019</t>
  </si>
  <si>
    <t>469/2019</t>
  </si>
  <si>
    <t>715607 (2020) 1039055/21</t>
  </si>
  <si>
    <t>G - 001165</t>
  </si>
  <si>
    <t>EX-2019-512676-GDEMZA-DPA#SAYOT</t>
  </si>
  <si>
    <t>MAQOIL SAIC</t>
  </si>
  <si>
    <t>30-70806735-7</t>
  </si>
  <si>
    <t>Reparacion y mantenimiento de maquinas y equipos</t>
  </si>
  <si>
    <t>Sierra Pintada 927</t>
  </si>
  <si>
    <t>gestion@maqoil.com, gestoriaambiental.mza@gmail.com</t>
  </si>
  <si>
    <t>261-6631257 - 2616564681</t>
  </si>
  <si>
    <t>327/2019</t>
  </si>
  <si>
    <t>470/2019</t>
  </si>
  <si>
    <t>G - 001167</t>
  </si>
  <si>
    <t>EX-2019-728251-GDEMZA-DPA#SAYOT</t>
  </si>
  <si>
    <t>RIVAS HUMBERTO JOSE</t>
  </si>
  <si>
    <t>20-10723333-5</t>
  </si>
  <si>
    <t>Renato Zansini 1314</t>
  </si>
  <si>
    <t>alisupe56@gmail.com, carolinabeatrizrivas@hotmail.com</t>
  </si>
  <si>
    <t>445/2019</t>
  </si>
  <si>
    <t>477/2019</t>
  </si>
  <si>
    <t>G - 001168</t>
  </si>
  <si>
    <t>EX-2019-780580-GDEMZA-DPA#SAYOT</t>
  </si>
  <si>
    <t>GIBBS JOSE GUILLERMO</t>
  </si>
  <si>
    <t>20-11694123-7</t>
  </si>
  <si>
    <t>Fabricacion y reparacion de sistemas hidraulicos</t>
  </si>
  <si>
    <t>Alsina 1728</t>
  </si>
  <si>
    <t>info@tecnoservicemza.com.ar</t>
  </si>
  <si>
    <t>261-5767655</t>
  </si>
  <si>
    <t>376/2019</t>
  </si>
  <si>
    <t>478/2019</t>
  </si>
  <si>
    <t>G - 001169</t>
  </si>
  <si>
    <t>EX-2019-961900-GDEMZA-DPA#SAYOT</t>
  </si>
  <si>
    <t>GRECOIL &amp; CIA AREA LA PALOMA</t>
  </si>
  <si>
    <t>Area La Paloma Ruta 40 y Ruta 101</t>
  </si>
  <si>
    <t>261-3480500 / 261-3631504 / 5688342</t>
  </si>
  <si>
    <t>420/2019</t>
  </si>
  <si>
    <t>479/2019</t>
  </si>
  <si>
    <t>G - 001170</t>
  </si>
  <si>
    <t>EX-2019-944734-GDEMZA-DPA#SAYOT</t>
  </si>
  <si>
    <t>MUNICIPALIDAD DE MAIPU - Patagonia 222</t>
  </si>
  <si>
    <t>Mantenimiento preventivo de vehiculos</t>
  </si>
  <si>
    <t>Pablo Pescara 190</t>
  </si>
  <si>
    <t>Patagonia 222</t>
  </si>
  <si>
    <t>higieneyseguridadmunimaipu@gmail.com, leonardomolinasl@gmail.com</t>
  </si>
  <si>
    <t>2615742981 / 4810237</t>
  </si>
  <si>
    <t>Y8-Y9-Y18-Y31-Y34-Y42-Y48</t>
  </si>
  <si>
    <t>325/2019</t>
  </si>
  <si>
    <t>480/2019</t>
  </si>
  <si>
    <t>G - 001171</t>
  </si>
  <si>
    <t>EX-2019-800782-GDEMZA-DPA#SAYOT</t>
  </si>
  <si>
    <t>CONEXIONES MENDOZA SRL</t>
  </si>
  <si>
    <t>30-71062781-5</t>
  </si>
  <si>
    <t>Fabricacion de productos de tornería</t>
  </si>
  <si>
    <t>conexionesmza@gmail.com, jorge_pinato@hotmail.com.ar</t>
  </si>
  <si>
    <t>2614525224 - 2614440669</t>
  </si>
  <si>
    <t>380/2019</t>
  </si>
  <si>
    <t>481/2019</t>
  </si>
  <si>
    <t>G - 001172</t>
  </si>
  <si>
    <t>EX-2019-855465-GDEMZA-DPA#SAYOT</t>
  </si>
  <si>
    <t>ORLANDI JUAN CARLOS</t>
  </si>
  <si>
    <t>20-17184758-4</t>
  </si>
  <si>
    <t>Aire acondicionado y mecanica</t>
  </si>
  <si>
    <t>Beltran 430</t>
  </si>
  <si>
    <t>juancorlandi758@gmail.com</t>
  </si>
  <si>
    <t>261-4187083</t>
  </si>
  <si>
    <t>314/2019</t>
  </si>
  <si>
    <t>482/2019</t>
  </si>
  <si>
    <t>G - 001173</t>
  </si>
  <si>
    <t>EX-2019-622558-GDEMZA-DPA#SAYOT</t>
  </si>
  <si>
    <t>CARRASCO SAMUEL VICENTE</t>
  </si>
  <si>
    <t>20-92371219-5</t>
  </si>
  <si>
    <t>Mecanizados de piezas</t>
  </si>
  <si>
    <t>Cubillos 1795</t>
  </si>
  <si>
    <t>adriana.jgservicios@gmail.com</t>
  </si>
  <si>
    <t>261-153143331 - 261-156586489</t>
  </si>
  <si>
    <t>440/2019</t>
  </si>
  <si>
    <t>485/2019</t>
  </si>
  <si>
    <t>G - 001174</t>
  </si>
  <si>
    <t>EX-2019-1547023-GDEMZA-DPA#SAYOT</t>
  </si>
  <si>
    <t>ESCOBAR JOSE MANUEL - ESCOBAR HUGO GASTON</t>
  </si>
  <si>
    <t>20-27580222-1</t>
  </si>
  <si>
    <t>Taller mecanico</t>
  </si>
  <si>
    <t>Alvarez Condarco 1887</t>
  </si>
  <si>
    <t>rggescobar@hotmail.com</t>
  </si>
  <si>
    <t>261-3341370</t>
  </si>
  <si>
    <t>278/2019</t>
  </si>
  <si>
    <t>486/2019</t>
  </si>
  <si>
    <t>G - 001175</t>
  </si>
  <si>
    <t>EX-2019-1044552-GDEMZA-DPA#SAYOT</t>
  </si>
  <si>
    <t>GRUPPI E HIJOS S.A.</t>
  </si>
  <si>
    <t>30-7140729-1</t>
  </si>
  <si>
    <t>Construccion, reformas y reparacion de redes de gas</t>
  </si>
  <si>
    <t>Ramon Gil 438</t>
  </si>
  <si>
    <t>carmeloi@hotmail.com, agruppi@gruppiehijos.com.ar</t>
  </si>
  <si>
    <t>351-156484089 /4961916/261-6548037</t>
  </si>
  <si>
    <t>308/2019</t>
  </si>
  <si>
    <t>487/2019</t>
  </si>
  <si>
    <t>G - 001176</t>
  </si>
  <si>
    <t>EX-2019-1416765-GDEMZA-DPA#SAYOT</t>
  </si>
  <si>
    <t>SERVICENTRO MALARGÜE</t>
  </si>
  <si>
    <t>30-62936043-0</t>
  </si>
  <si>
    <t>San Martín norte  1209</t>
  </si>
  <si>
    <t>Milagros de los andes 89</t>
  </si>
  <si>
    <t>administracion@servicentro.com.ar</t>
  </si>
  <si>
    <t>260-4405516</t>
  </si>
  <si>
    <t>400/2019</t>
  </si>
  <si>
    <t>488/2019</t>
  </si>
  <si>
    <t>G - 001177</t>
  </si>
  <si>
    <t>EX-2019-1822967-GDEMZA-DPA#SAYOT</t>
  </si>
  <si>
    <t>TRANSPORTES BRECCIA S.R.L.</t>
  </si>
  <si>
    <t>30-58926628-1</t>
  </si>
  <si>
    <t>Transporte de Cargas</t>
  </si>
  <si>
    <t>Los Jazmines 990</t>
  </si>
  <si>
    <t>ingroitman@gmail.com,  juan.pagos@transpbreccia.com</t>
  </si>
  <si>
    <t>2616511954 - 4520676</t>
  </si>
  <si>
    <t>382/2019</t>
  </si>
  <si>
    <t>489/2019</t>
  </si>
  <si>
    <t>G - 001178</t>
  </si>
  <si>
    <t>EX-2019-2016414-GDEMZA-DPA#SAYOT</t>
  </si>
  <si>
    <t>JG SERVICIO MECANICO de Guggiari Jorge Alberto</t>
  </si>
  <si>
    <t>20-25933925-2</t>
  </si>
  <si>
    <t>Servicio Mecanico</t>
  </si>
  <si>
    <t>Pellegrini 755</t>
  </si>
  <si>
    <t>guggiarijorge@gmail.com</t>
  </si>
  <si>
    <t>261-2407621</t>
  </si>
  <si>
    <t>411/2019</t>
  </si>
  <si>
    <t>491/2019</t>
  </si>
  <si>
    <t>G - 001179</t>
  </si>
  <si>
    <t>EX-2019-2046333-GDEMZA-DPA#SAYOT</t>
  </si>
  <si>
    <t>AYFRA S.R.L.</t>
  </si>
  <si>
    <t>30-65788370-7</t>
  </si>
  <si>
    <t>Construccion, reforma, reparacion alquiler de maquinas para la constrccion</t>
  </si>
  <si>
    <t>San Martin 1074 6° piso dpto D</t>
  </si>
  <si>
    <t>Rodriguez Peña 933</t>
  </si>
  <si>
    <t>marcelo.bargazzi@ayfra.com.ar</t>
  </si>
  <si>
    <t>Y8-Y48-Y9</t>
  </si>
  <si>
    <t>247/2019</t>
  </si>
  <si>
    <t>492/2019</t>
  </si>
  <si>
    <t>G - 001180</t>
  </si>
  <si>
    <t>EX-2019-1139190-GDEMZA-DPA#SAYOT</t>
  </si>
  <si>
    <t>SAENZ ALBERTO OSVALDO</t>
  </si>
  <si>
    <t>20-08028439-0</t>
  </si>
  <si>
    <t>Transporte automotor de cargas</t>
  </si>
  <si>
    <t>Barcala 1093</t>
  </si>
  <si>
    <t>admin@saenz.com.ar, avconsultora@yahoo.com.ar</t>
  </si>
  <si>
    <t>261-4391168 / 261-5977013</t>
  </si>
  <si>
    <t>283/2019</t>
  </si>
  <si>
    <t>493/2019</t>
  </si>
  <si>
    <t>G - 001181</t>
  </si>
  <si>
    <t>EX-2019-1547603-GDEMZA-DPA#SAYOT</t>
  </si>
  <si>
    <t>ALVAREZ LUIS ARTURO</t>
  </si>
  <si>
    <t>20-94577960-9</t>
  </si>
  <si>
    <t>Taller mecanico y lubricentro</t>
  </si>
  <si>
    <t>Caseros 860</t>
  </si>
  <si>
    <t>Democracia 74</t>
  </si>
  <si>
    <t>amlubricar@gmail.com, lalva.1806@gmail.com</t>
  </si>
  <si>
    <t>261-6816725</t>
  </si>
  <si>
    <t>287/2019</t>
  </si>
  <si>
    <t>494/2019</t>
  </si>
  <si>
    <t>G - 001183</t>
  </si>
  <si>
    <t>EX-2019-709313-GDEMZA-DPA#SAYOT</t>
  </si>
  <si>
    <t>SEATRADE S.A.</t>
  </si>
  <si>
    <t>30-67202926-7</t>
  </si>
  <si>
    <t>Servicio de izajes, montajes y transporte de cargas</t>
  </si>
  <si>
    <t>Acceso Sur 4573</t>
  </si>
  <si>
    <t>betina.lopez@lopezargentina.com, calidadhys@lopezargentina.com</t>
  </si>
  <si>
    <t>261-5993879 - 2614960600</t>
  </si>
  <si>
    <t>276/2019</t>
  </si>
  <si>
    <t>527/2019</t>
  </si>
  <si>
    <t>G - 001184</t>
  </si>
  <si>
    <t>EX-2019-1704850-GDEMZA-DPA#SAYOT</t>
  </si>
  <si>
    <t>BIBI SERVICIOS Y PRODUCTOS S.A.</t>
  </si>
  <si>
    <t>30-71525938-5</t>
  </si>
  <si>
    <t>Venta de fertilizantes y plaguicidas</t>
  </si>
  <si>
    <t>Coronel Diaz 98</t>
  </si>
  <si>
    <t>Las Heras</t>
  </si>
  <si>
    <t>dpto.documentacion@omegasaneamientos.com, matiascolettto@yahoo.com.ar</t>
  </si>
  <si>
    <t>08002202023 / 261-3832253</t>
  </si>
  <si>
    <t>301/2019</t>
  </si>
  <si>
    <t>528/2019</t>
  </si>
  <si>
    <t>G - 001186</t>
  </si>
  <si>
    <t>EX-2019-2045282-GDEMZA-DPA#SAYOT</t>
  </si>
  <si>
    <t>AMBIENTAL MENDOZA S.A</t>
  </si>
  <si>
    <t>3071144900-7</t>
  </si>
  <si>
    <t>Planta de selección y transferencia de residuos peligrosos</t>
  </si>
  <si>
    <t>Larrea 926</t>
  </si>
  <si>
    <t>SAN FRANCISCO DEL MONTE 3729</t>
  </si>
  <si>
    <t>robertobellene@gmail.com, vbravomellado@gmail.com</t>
  </si>
  <si>
    <t>261-3898439</t>
  </si>
  <si>
    <t>Y8-Y9-Y11-Y12-Y16-Y18-Y29-Y31-Y34-Y35-Y48</t>
  </si>
  <si>
    <t>281/2019</t>
  </si>
  <si>
    <t>530/2019</t>
  </si>
  <si>
    <t>G - 001187</t>
  </si>
  <si>
    <t>EX-2019-2207860-GDEMZA-DPA#SAYOT</t>
  </si>
  <si>
    <t>HUINOIL S.A.</t>
  </si>
  <si>
    <t>30-65419329-3</t>
  </si>
  <si>
    <t>Servicios petroleros</t>
  </si>
  <si>
    <t>B° Villa Italia Manz. I casa 1</t>
  </si>
  <si>
    <t>Yacimiento Los Cavaos</t>
  </si>
  <si>
    <t xml:space="preserve">Rio Grande </t>
  </si>
  <si>
    <t>rubenguerci@gmail.com, lcardona@huinoil.com, emoreno@huinoil.com.ar</t>
  </si>
  <si>
    <t>2604338251 - 1143044710</t>
  </si>
  <si>
    <t>793/2019</t>
  </si>
  <si>
    <t>G - 001188</t>
  </si>
  <si>
    <t>EX-2019-2048277-GDEMZA-DPA#SAYOT</t>
  </si>
  <si>
    <t>ANDESMAR CARGAS S.A.</t>
  </si>
  <si>
    <t>30-60150277-8</t>
  </si>
  <si>
    <t>Servicios transporte de cargas</t>
  </si>
  <si>
    <t>Rodriguez Peña 205</t>
  </si>
  <si>
    <t>Independencia 400 / RODRÍGUEZ PEÑA 205</t>
  </si>
  <si>
    <t>vbravomellado@gmail.com, marisadgliuomini@andesmar.com.ar</t>
  </si>
  <si>
    <t>261-4136000 / 261-155323540</t>
  </si>
  <si>
    <t>320/2019</t>
  </si>
  <si>
    <t>540/2019</t>
  </si>
  <si>
    <t>G - 001189</t>
  </si>
  <si>
    <t>EX-2019-1647941-GDEMZA-DPA#SAYOT</t>
  </si>
  <si>
    <t>PEÑALOZA MAIRA CAROLINA - EMIL MAIR</t>
  </si>
  <si>
    <t>27-37125149-4</t>
  </si>
  <si>
    <t>Reparacion y ventas de maquinarias de jardin</t>
  </si>
  <si>
    <t>O´Brien 1195</t>
  </si>
  <si>
    <t>emilmair1203@gmail.com, emil_mair@hotmail.com</t>
  </si>
  <si>
    <t>398/2019</t>
  </si>
  <si>
    <t>541/2019</t>
  </si>
  <si>
    <t>G - 001190</t>
  </si>
  <si>
    <t>EX-2019-1872006-GDEMZA-DPA#SAYOT</t>
  </si>
  <si>
    <t>EXTRA BRUT S.R.L.</t>
  </si>
  <si>
    <t>30-71056402-3</t>
  </si>
  <si>
    <t>Deposito y venta de materiales para la construccion ferreteria y pinturas</t>
  </si>
  <si>
    <t>Juan Jose Paso 883</t>
  </si>
  <si>
    <t>gerenciaframer@gmail.com, zammitto15@gmail.com</t>
  </si>
  <si>
    <t>2613473915 /  261-4398143</t>
  </si>
  <si>
    <t>719/2019</t>
  </si>
  <si>
    <t>542/2019</t>
  </si>
  <si>
    <t>G - 001191</t>
  </si>
  <si>
    <t>EX 2020-1018178-GDEMZA-DPA#SAYOT TC EX-2019-1649694-GDEMZA-DPA#SAYOT</t>
  </si>
  <si>
    <t>JUVIAR S.A.</t>
  </si>
  <si>
    <t>30-68827405-9</t>
  </si>
  <si>
    <t>Elaboracion de vinos y mosto</t>
  </si>
  <si>
    <t xml:space="preserve">Godoy Cruz 339 1° piso Of. 7 </t>
  </si>
  <si>
    <t>Ruta Prov. 20</t>
  </si>
  <si>
    <t>matias.diaz@juviar.com.ar, sandra.araujo@juviar.com.ar, mauricioscattolon@gmail.com</t>
  </si>
  <si>
    <t>Y8-Y12-Y29-Y41-Y48</t>
  </si>
  <si>
    <t>284/2019</t>
  </si>
  <si>
    <t>795/2019</t>
  </si>
  <si>
    <t>TRECE MIL QUINIENTOS TREINTA Y NUEVE CON 77/100</t>
  </si>
  <si>
    <t>G - 001193</t>
  </si>
  <si>
    <t>EX-2019-2486347-GDEMZA-DPA#SAYOT</t>
  </si>
  <si>
    <t>MECANICA INTEGRAL GUSTAVO ALONSO</t>
  </si>
  <si>
    <t>20-25221438-1</t>
  </si>
  <si>
    <t>Mecanica en general</t>
  </si>
  <si>
    <t>Jose Ingenieros 169</t>
  </si>
  <si>
    <t>gustavoalonso0676@gmail.com</t>
  </si>
  <si>
    <t>261-155066887</t>
  </si>
  <si>
    <t>563/2019</t>
  </si>
  <si>
    <t>G - 001194</t>
  </si>
  <si>
    <t>EX-2019-2467503-GDEMZA-DPA#SAYOT</t>
  </si>
  <si>
    <t>ALLUB HNOS S.R.L. - San Pedro y Ruta 7 Palmira</t>
  </si>
  <si>
    <t>Deposito de combustible y lubricantes</t>
  </si>
  <si>
    <t>San Pedro y Ruta 7</t>
  </si>
  <si>
    <t>02623-461222 / 0263-4304943</t>
  </si>
  <si>
    <t>Y4-Y8-Y9-Y48</t>
  </si>
  <si>
    <t>306/2019</t>
  </si>
  <si>
    <t>564/2019</t>
  </si>
  <si>
    <t>G - 001195</t>
  </si>
  <si>
    <t>EX-2019-2481749-GDEMZA-DPA#SAYOT</t>
  </si>
  <si>
    <t>MUCARSEL OMAR CEFERINO</t>
  </si>
  <si>
    <t>20-18357455-9</t>
  </si>
  <si>
    <t>Lavado y limpieza de articulos de tela cuero y/o piel incluso limpieza en seco</t>
  </si>
  <si>
    <t>Francisco Evans 448</t>
  </si>
  <si>
    <t>Francisco evans 448</t>
  </si>
  <si>
    <t>vbravomellado@gmail.com, ceferinomuca@hotmail.com</t>
  </si>
  <si>
    <t>261-5617595</t>
  </si>
  <si>
    <t>Y18-Y34</t>
  </si>
  <si>
    <t>277/2019</t>
  </si>
  <si>
    <t>565/2019</t>
  </si>
  <si>
    <t>G - 001196</t>
  </si>
  <si>
    <t>EX-2019-2550253-GDEMZA-DPA#SAYOT</t>
  </si>
  <si>
    <t>AERONAUTICA MENDOZA S.A.</t>
  </si>
  <si>
    <t>30-71618416-8</t>
  </si>
  <si>
    <t>Servicios aeronauticos</t>
  </si>
  <si>
    <t>Ruta Nac. 40 km 7,5 IV Brigada Hangar 7</t>
  </si>
  <si>
    <t>ricardo.martinez@aemsa.com.ar, enrique.vilouta@aemsa.com.ar</t>
  </si>
  <si>
    <t>261-6503902 / 261-4489714 / 261-6794531</t>
  </si>
  <si>
    <t>286/2019</t>
  </si>
  <si>
    <t>582/2019</t>
  </si>
  <si>
    <t>G - 001197</t>
  </si>
  <si>
    <t>EX-2019-2626315-GDEMZA-DPA#SAYOT</t>
  </si>
  <si>
    <t>LORENZO AUTOMOTORES S.A. - GUAYMALLEN</t>
  </si>
  <si>
    <t>Consecionaria automotores</t>
  </si>
  <si>
    <t>Bandera de Los Andes 1531</t>
  </si>
  <si>
    <t xml:space="preserve">26121235009 - 2604578074
</t>
  </si>
  <si>
    <t>444/2019</t>
  </si>
  <si>
    <t>603/2019</t>
  </si>
  <si>
    <t>G - 001198</t>
  </si>
  <si>
    <t>EX-2019-2625583-GDEMZA-DPA#SAYOT</t>
  </si>
  <si>
    <t>PEÑA ENRIQUE ALBERTO</t>
  </si>
  <si>
    <t>20-20112627-5</t>
  </si>
  <si>
    <t>Manuel Garcia 1452</t>
  </si>
  <si>
    <t>Gobernador Benergas</t>
  </si>
  <si>
    <t>437/2019</t>
  </si>
  <si>
    <t>602/2019</t>
  </si>
  <si>
    <t>G - 001199</t>
  </si>
  <si>
    <t>EX-2019-2666820-GDEMZA-DPA#SAYOT</t>
  </si>
  <si>
    <t>CALDERON MAURO SEBASTIAN</t>
  </si>
  <si>
    <t>20-25352505-4</t>
  </si>
  <si>
    <t>Paso de los Andes 1661</t>
  </si>
  <si>
    <t>lubricarcalderon@hotmail.com</t>
  </si>
  <si>
    <t>383/2019</t>
  </si>
  <si>
    <t>601/2019</t>
  </si>
  <si>
    <t>G - 001200</t>
  </si>
  <si>
    <t>EX-2019-2727728-GDEMZA-DPA#SAYOT</t>
  </si>
  <si>
    <t>CHANTA SERGIO OSCAR</t>
  </si>
  <si>
    <t>20-20116267-0</t>
  </si>
  <si>
    <t>Lubricentro, taller mecanico y gomeria</t>
  </si>
  <si>
    <t>San Vicente 2224</t>
  </si>
  <si>
    <t>384/2019</t>
  </si>
  <si>
    <t>600/2019</t>
  </si>
  <si>
    <t>G - 001201</t>
  </si>
  <si>
    <t>EX-2019-2765180-GDEMZA-DPA#SAYOT</t>
  </si>
  <si>
    <t>PEREZ SILVA MOISES AGUSTIN</t>
  </si>
  <si>
    <t>20-3566066-8</t>
  </si>
  <si>
    <t>Lateral este acceso sur N° 7801</t>
  </si>
  <si>
    <t>rmautopartes7@gmail.com.ar, consulgreenmendoza@gmail.com</t>
  </si>
  <si>
    <t>261-5053875</t>
  </si>
  <si>
    <t>326/2019</t>
  </si>
  <si>
    <t>613/2019</t>
  </si>
  <si>
    <t>G - 001202</t>
  </si>
  <si>
    <t>EX-2019-2795940-GDEMZA-DPA#SAYOT</t>
  </si>
  <si>
    <t>MAIORE JOSE SALVADOR, JOSE CARLOS Y SERGIO ALBERTO</t>
  </si>
  <si>
    <t>30-67695250-7</t>
  </si>
  <si>
    <t>reparacion de tractores</t>
  </si>
  <si>
    <t>Boulogne Sur Mer 869</t>
  </si>
  <si>
    <t>sergio.maiore@hotmail.com</t>
  </si>
  <si>
    <t>274/2019</t>
  </si>
  <si>
    <t>622/2019</t>
  </si>
  <si>
    <t>G - 001203</t>
  </si>
  <si>
    <t>EX-2019-2893874-GDEMZA-DPA#SAYOT</t>
  </si>
  <si>
    <t>TECNOLOGIA EN PRODUCTOS Y SERVICIOS AG SA</t>
  </si>
  <si>
    <t>30-71028332-6</t>
  </si>
  <si>
    <t>Venta de materiales Electricos y de Automatizacion</t>
  </si>
  <si>
    <t>Rodriguez Peña 2065</t>
  </si>
  <si>
    <t>Gral Gutierrez</t>
  </si>
  <si>
    <t>gestion@tecnologiaag.com.ar</t>
  </si>
  <si>
    <t>261-6773920 / 261-4978798</t>
  </si>
  <si>
    <t>319/2019</t>
  </si>
  <si>
    <t>629/2019</t>
  </si>
  <si>
    <t>G - 001204</t>
  </si>
  <si>
    <t>EX-2019-3142178-GDEMZA-DPA#SAYOT</t>
  </si>
  <si>
    <t>RPB SA - SAN CARLOS</t>
  </si>
  <si>
    <t>30-66313737-5</t>
  </si>
  <si>
    <t>fabrica de alimentos vegetales y jugos</t>
  </si>
  <si>
    <t>Ruta Nac. 40 km 3192</t>
  </si>
  <si>
    <t>Eugenio Bustos</t>
  </si>
  <si>
    <t>pablo.massini@baggio.com.ar, jlromero@baggio.com.ar</t>
  </si>
  <si>
    <t xml:space="preserve">2622-451760/780 / 2604565179
</t>
  </si>
  <si>
    <t>443/2019</t>
  </si>
  <si>
    <t>G - 001205</t>
  </si>
  <si>
    <t>EX-2019-3140443-GDEMZA-DPA#SAYOT</t>
  </si>
  <si>
    <t>ERLOMA SA</t>
  </si>
  <si>
    <t>33-71454891-9</t>
  </si>
  <si>
    <t>Ensayos no Destructivos</t>
  </si>
  <si>
    <t>Peru 1052 PB Dto 4</t>
  </si>
  <si>
    <t>Anchorena 1653</t>
  </si>
  <si>
    <t>sergio.savina@erloma.com, admin@erloma.com</t>
  </si>
  <si>
    <t>457/2019</t>
  </si>
  <si>
    <t>862/2019</t>
  </si>
  <si>
    <t>G - 001206</t>
  </si>
  <si>
    <t>EX-2019-3136481-GDEMZA-DPA#SAYOT</t>
  </si>
  <si>
    <t>TRIVENTO BODEGAS Y VIÑEDOS S.A. - SAN MARTIN</t>
  </si>
  <si>
    <t>elaboracion de vinos, mostos sulfitados, concentrados, champagna, sidras, etc</t>
  </si>
  <si>
    <t>Canal Pescara 9347</t>
  </si>
  <si>
    <t>Russel</t>
  </si>
  <si>
    <t>Carril Divisadero s/n</t>
  </si>
  <si>
    <t>261-4137100 / 261-5866002</t>
  </si>
  <si>
    <t>417/2019</t>
  </si>
  <si>
    <t>667/2019</t>
  </si>
  <si>
    <t>G - 001208</t>
  </si>
  <si>
    <t>EX-2019-3389885-GDEMZA-DPA#SAYOT</t>
  </si>
  <si>
    <t>MARTIN MARCELO WALTER</t>
  </si>
  <si>
    <t>20-26026477-0</t>
  </si>
  <si>
    <t>Transporte Automotor de cargas N.C.P</t>
  </si>
  <si>
    <t>Callejon Salcedo 10118</t>
  </si>
  <si>
    <t>administracion@expoverde.com.ar, avconsultora@yahoo.com.ar</t>
  </si>
  <si>
    <t>2613052202 - 2615977013</t>
  </si>
  <si>
    <t>421/2019</t>
  </si>
  <si>
    <t>863/2019</t>
  </si>
  <si>
    <t>G - 001209</t>
  </si>
  <si>
    <t>EX-2019-3567613-GDEMZA-DPA#SAYOT</t>
  </si>
  <si>
    <t>TUBOSCOPE VETCO ARGENTINA SA</t>
  </si>
  <si>
    <t>33-61600863-9</t>
  </si>
  <si>
    <t>Serv. Petroleros Esp.</t>
  </si>
  <si>
    <t>Besares 560</t>
  </si>
  <si>
    <t>Ruta Nac. 40 Nº 5492</t>
  </si>
  <si>
    <t>Malargue</t>
  </si>
  <si>
    <t>cristian.echegaray@nov.com, mauricioscattolon@gmail.com</t>
  </si>
  <si>
    <t xml:space="preserve">2614965720 - 2615797076
</t>
  </si>
  <si>
    <t>864/2019</t>
  </si>
  <si>
    <t>G - 001210</t>
  </si>
  <si>
    <t>EX2019-3622263-GDEMZA-DPA#SAYOT</t>
  </si>
  <si>
    <t>ANGIORD SACI</t>
  </si>
  <si>
    <t>33-56776928-9</t>
  </si>
  <si>
    <t>Preparacion de conservas de frutas hortalizas y legumbres</t>
  </si>
  <si>
    <t>Mitre 2173</t>
  </si>
  <si>
    <t>rrhh@angiordsaci.com.ar</t>
  </si>
  <si>
    <t>261-4972818 - 261-4972818</t>
  </si>
  <si>
    <t>423/2019</t>
  </si>
  <si>
    <t>872/2019</t>
  </si>
  <si>
    <t>G - 001211</t>
  </si>
  <si>
    <t>EX2019-3654247-GDEMZA-DPA#SAYOT</t>
  </si>
  <si>
    <t>LOPEZ RAUL RODRIGO</t>
  </si>
  <si>
    <t>20-30741270-6</t>
  </si>
  <si>
    <t>Taller Mecanico</t>
  </si>
  <si>
    <t>Montes de Oca 182</t>
  </si>
  <si>
    <t>261-6631257 - 261-5502453</t>
  </si>
  <si>
    <t>422/2019</t>
  </si>
  <si>
    <t>873/2019</t>
  </si>
  <si>
    <t>G - 001212</t>
  </si>
  <si>
    <t>EX2019-3656649-GDEMZA-DPA#SAYOT</t>
  </si>
  <si>
    <t>BACCARO BRUNO LEONEL</t>
  </si>
  <si>
    <t>23-39327809-9</t>
  </si>
  <si>
    <t>Lavadero de Automoviles</t>
  </si>
  <si>
    <t>Ricardo rojas 942</t>
  </si>
  <si>
    <t>Sarmiento 791</t>
  </si>
  <si>
    <t>bruno.baccaro95@gmail.com, administracion@firstsafety.com.ar</t>
  </si>
  <si>
    <t>261-5437698 / 4246344</t>
  </si>
  <si>
    <t>Y6-Y8-Y9-Y42-Y48</t>
  </si>
  <si>
    <t>459/2019</t>
  </si>
  <si>
    <t>874/2019</t>
  </si>
  <si>
    <t>G - 001213</t>
  </si>
  <si>
    <t>EX2019-3656311-GDEMZA-DPA#SAYOT</t>
  </si>
  <si>
    <t>AL.VE.RO. REPARACIONES Y SERVICIOS S.A.</t>
  </si>
  <si>
    <t>30-71569322-0</t>
  </si>
  <si>
    <t>Taller de chaperia y pintura, venta de autopartes nuevas y usadas</t>
  </si>
  <si>
    <t>Mitre 2715</t>
  </si>
  <si>
    <t>contacto@autopartesalvero.com, mativazquez.mv@gmail.com</t>
  </si>
  <si>
    <t>261-6424169 - 261-5274228 / 261-4161455</t>
  </si>
  <si>
    <t>403/2019</t>
  </si>
  <si>
    <t>880/2019</t>
  </si>
  <si>
    <t>G - 001214</t>
  </si>
  <si>
    <t>EX2019-3696025-GDEMZA-DPA#SAYOT</t>
  </si>
  <si>
    <t>CHAVEZ MISAEL AUGUSTO</t>
  </si>
  <si>
    <t>20-39532990-2</t>
  </si>
  <si>
    <t>Neuquen 37</t>
  </si>
  <si>
    <t>misaelchavez455@gmail.com, lic.verdaguer@hotmail.com</t>
  </si>
  <si>
    <t>428/2019</t>
  </si>
  <si>
    <t>879/2019</t>
  </si>
  <si>
    <t>G - 001215</t>
  </si>
  <si>
    <t>EX2019-3742570-GDEMZA-DPA#SAYOT</t>
  </si>
  <si>
    <t>MUÑOZ MIGUEL ANGEL</t>
  </si>
  <si>
    <t>20-14311369-9</t>
  </si>
  <si>
    <t>Beltran 1846</t>
  </si>
  <si>
    <t>414/2019</t>
  </si>
  <si>
    <t>878/2019</t>
  </si>
  <si>
    <t>G - 001216</t>
  </si>
  <si>
    <t>EX2019-3736241-GDEMZA-DPA#SAYOT</t>
  </si>
  <si>
    <t>CRIXO S.A.</t>
  </si>
  <si>
    <t>30-71452568-5</t>
  </si>
  <si>
    <t>Carteleria e Imprenta</t>
  </si>
  <si>
    <t>Diamante 135</t>
  </si>
  <si>
    <t>administracion@in-media.com.ar</t>
  </si>
  <si>
    <t xml:space="preserve">261-2063106 </t>
  </si>
  <si>
    <t>Y12</t>
  </si>
  <si>
    <t>697/2019</t>
  </si>
  <si>
    <t>883/2019</t>
  </si>
  <si>
    <t>G - 001217</t>
  </si>
  <si>
    <t>EX2019-3744115-GDEMZA-DPA#SAYOT</t>
  </si>
  <si>
    <t>OESTE EMBOTELLADORA S.A.</t>
  </si>
  <si>
    <t>30-70794346-3</t>
  </si>
  <si>
    <t>Elaboracion y embotellado de agua carbonatada y bebidas gaseosas</t>
  </si>
  <si>
    <t>Rodriguez Peña 2163</t>
  </si>
  <si>
    <t>salonso@talca.com.ar, crosales@talca.com.ar</t>
  </si>
  <si>
    <t>261-4316060 - 261-6735827</t>
  </si>
  <si>
    <t>415/2019</t>
  </si>
  <si>
    <t>884/2019</t>
  </si>
  <si>
    <t>G - 001218</t>
  </si>
  <si>
    <t>EX2019-3875396-GDEMZA-DPA#SAYOT</t>
  </si>
  <si>
    <t>YESOS KNAUF GMBH - SUCURSAL ARGENTINA - CANTERAS</t>
  </si>
  <si>
    <t>Cantera de Yeso</t>
  </si>
  <si>
    <t>Parque Ind. Prov.</t>
  </si>
  <si>
    <t>Ruta Nac. Nº 7, Km. 1.225</t>
  </si>
  <si>
    <t>Las Cuevas</t>
  </si>
  <si>
    <t>rubenrijavec@gmail.com, fernando.lisazo@chediack.com.ar, martin.salvo@chediack.com.ar</t>
  </si>
  <si>
    <t xml:space="preserve"> 261-4161994 - 4989603
</t>
  </si>
  <si>
    <t>412/2019</t>
  </si>
  <si>
    <t>885/2019</t>
  </si>
  <si>
    <t>G - 001219</t>
  </si>
  <si>
    <t>EX2019-4181938-GDEMZA-DPA#SAYOT</t>
  </si>
  <si>
    <t>DALMASO SERGIO HUGO</t>
  </si>
  <si>
    <t>20-16109565-7</t>
  </si>
  <si>
    <t>San Martin 1212</t>
  </si>
  <si>
    <t>hector.diaza@hotmail.com, joseluismanitta@hotmail.com</t>
  </si>
  <si>
    <t>261-4981852 - 261-6601495</t>
  </si>
  <si>
    <t>424/2019</t>
  </si>
  <si>
    <t>886/2019</t>
  </si>
  <si>
    <t>G - 001220</t>
  </si>
  <si>
    <t>EX2019-4273216-GDEMZA-DPA#SAYOT</t>
  </si>
  <si>
    <t>VENGUT ALBERTO JAVIER</t>
  </si>
  <si>
    <t>20-31283843-6</t>
  </si>
  <si>
    <t>Tiburcio Benegas 536</t>
  </si>
  <si>
    <t>261-3050927 - 261-4221340</t>
  </si>
  <si>
    <t>441/2019</t>
  </si>
  <si>
    <t>887/2019</t>
  </si>
  <si>
    <t>G - 001221</t>
  </si>
  <si>
    <t>EX-2024-01488229-   -GDEMZA-DPA#SAYOT - TC - EX2019-4321453-GDEMZA-DPA#SAYOT</t>
  </si>
  <si>
    <t>MALISANI Y RUGGERI SAS</t>
  </si>
  <si>
    <t>30-71760826-3</t>
  </si>
  <si>
    <t>Metalurgica, modificacion de chasis cambio de piezas macanicas</t>
  </si>
  <si>
    <t>Sierra Pintada 874</t>
  </si>
  <si>
    <t>fabianmalisani@hotmail.com, flavibonet@gmail.com</t>
  </si>
  <si>
    <t>261-4317013 - 261-5509219</t>
  </si>
  <si>
    <t>471/2019</t>
  </si>
  <si>
    <t>889/2019</t>
  </si>
  <si>
    <t>G - 001222</t>
  </si>
  <si>
    <t>EX2019-4313997-GDEMZA-DPA#SAYOT</t>
  </si>
  <si>
    <t>ZINGARIELLO HNOS. S.R.L.</t>
  </si>
  <si>
    <t>30-62520461-1</t>
  </si>
  <si>
    <t>Taller de reparacion de frenos</t>
  </si>
  <si>
    <t>Cerro Nevado 1349</t>
  </si>
  <si>
    <t>Diamante 147</t>
  </si>
  <si>
    <t>info@clypeo.com, gerencia@clypeo.com</t>
  </si>
  <si>
    <t>261-4317378 - 261-3663727</t>
  </si>
  <si>
    <t>453/2019</t>
  </si>
  <si>
    <t>G - 001223</t>
  </si>
  <si>
    <t>EX2019-4444112-GDEMZA-DPA#SAYOT</t>
  </si>
  <si>
    <t>OBRA SOCIAL DE EMPLEADOS PUBLICOS - OSEP</t>
  </si>
  <si>
    <t>30-62397816-4</t>
  </si>
  <si>
    <t xml:space="preserve">Oficinas </t>
  </si>
  <si>
    <t>J. Vicente Zapata 313</t>
  </si>
  <si>
    <t>daniel.quintana@osep.mendoza.gov.ar, danie.marchena@osep.mendoza.gov.ar, carlos.funes@osep.mendoza.gov.ar</t>
  </si>
  <si>
    <t>261-2086581 - 261-4615000</t>
  </si>
  <si>
    <t>Y12-Y16-Y29-Y48</t>
  </si>
  <si>
    <t>418/2019</t>
  </si>
  <si>
    <t>890/2019</t>
  </si>
  <si>
    <t>G - 001224</t>
  </si>
  <si>
    <t>EX2019-4465145-GDEMZ-DPA#SAYOT</t>
  </si>
  <si>
    <t>GRECO S.A</t>
  </si>
  <si>
    <t>30-71180354-4</t>
  </si>
  <si>
    <t>Servicio de apoyo para l extrccion de petroleo y gas natural</t>
  </si>
  <si>
    <t>Independencia 330</t>
  </si>
  <si>
    <t>administracion@greco-sa.com</t>
  </si>
  <si>
    <t>261-6399787 - 261-6244666</t>
  </si>
  <si>
    <t>413/2019</t>
  </si>
  <si>
    <t>893/2019</t>
  </si>
  <si>
    <t>G - 001225</t>
  </si>
  <si>
    <t>EX2019-4502774-GDEMZA-DPA#SAYOT</t>
  </si>
  <si>
    <t>CUYO VIAL S.A.</t>
  </si>
  <si>
    <t>30-71565089-0</t>
  </si>
  <si>
    <t>Reparcion y mantenimientos de maquinas y equipos</t>
  </si>
  <si>
    <t>Venezuela 53</t>
  </si>
  <si>
    <t>458/2019</t>
  </si>
  <si>
    <t>894/2019</t>
  </si>
  <si>
    <t>G - 001226</t>
  </si>
  <si>
    <t>EX2019-4630046-GDEMZA-DPA#SAYOT</t>
  </si>
  <si>
    <t>MENDEZ OSCAR FELIPE</t>
  </si>
  <si>
    <t>20-24460108-2</t>
  </si>
  <si>
    <t>Desarmadero de auto-deposito-venta de repuestos nuevos y usados</t>
  </si>
  <si>
    <t>Buenos Vecinos Nº 505</t>
  </si>
  <si>
    <t>consulgreenmendoza@gmail.com, mendezoscar21@yahoo.com.ar</t>
  </si>
  <si>
    <t>442/2019</t>
  </si>
  <si>
    <t>892/2019</t>
  </si>
  <si>
    <t>G - 001227</t>
  </si>
  <si>
    <t>EX2019-4919708-GDEMZA-DPA#SAYOT</t>
  </si>
  <si>
    <t>CLAUDIO ADRIAN VARAS</t>
  </si>
  <si>
    <t>23-21554620-9</t>
  </si>
  <si>
    <t>Lavadero de Autos</t>
  </si>
  <si>
    <t>Cervantes Nº 1580</t>
  </si>
  <si>
    <t>adrian.varast@gmail.com, tramiteslucero2016@gmail.com</t>
  </si>
  <si>
    <t>261-3631216</t>
  </si>
  <si>
    <t>416/2019</t>
  </si>
  <si>
    <t>901/2019</t>
  </si>
  <si>
    <t>G - 001228</t>
  </si>
  <si>
    <t>EX2019-5058908-GDEMZA-DPA#SAYOT</t>
  </si>
  <si>
    <t>ARGPEX S.A.</t>
  </si>
  <si>
    <t>30-71470778-3</t>
  </si>
  <si>
    <t xml:space="preserve">Fabricacion de Productos plasticos en formas basicas y articulos de plastico n.c.p exepto muebles </t>
  </si>
  <si>
    <t>San Lorenxo Nº 412 Piso 4 Dpto 4</t>
  </si>
  <si>
    <t>Calle Auxiliar Ruta 40, Parcela 2, PIMEN</t>
  </si>
  <si>
    <t>pyassuff@argpex.com, pablocaballerohys@hotmail.com</t>
  </si>
  <si>
    <t>2615885494 - 2616596380</t>
  </si>
  <si>
    <t>Y8-Y18-Y48</t>
  </si>
  <si>
    <t>517/2019</t>
  </si>
  <si>
    <t>994/2019</t>
  </si>
  <si>
    <t>G - 001230</t>
  </si>
  <si>
    <t>EX2019-5199108-GDEMZA-DPA#SAYOT</t>
  </si>
  <si>
    <t>VICARI GABRIEL DARIO</t>
  </si>
  <si>
    <t>20-24057591-5</t>
  </si>
  <si>
    <t>Taller de Chaperia y Pintura Automotor</t>
  </si>
  <si>
    <t>Sargento Cabral 879</t>
  </si>
  <si>
    <t>tallerdariovicari@hotmail.com</t>
  </si>
  <si>
    <t>261-4351269 261-4718440</t>
  </si>
  <si>
    <t>511/2019</t>
  </si>
  <si>
    <t>982/2019</t>
  </si>
  <si>
    <t>G - 001232</t>
  </si>
  <si>
    <t>EX2018-3191274-GDEMZA-DPA#SAYOT</t>
  </si>
  <si>
    <t>ACONCAGRO S.A.</t>
  </si>
  <si>
    <t>33-71533283-9</t>
  </si>
  <si>
    <t>Venta de Maquinas Agricolas</t>
  </si>
  <si>
    <t>Jose Hernandez 745</t>
  </si>
  <si>
    <t>Rodriguez Peña 2601</t>
  </si>
  <si>
    <t>joaquin@msargentina.com.ar, aconcagro@gmail.com</t>
  </si>
  <si>
    <t xml:space="preserve">261-6853970 </t>
  </si>
  <si>
    <t>509/2019</t>
  </si>
  <si>
    <t>984/2019</t>
  </si>
  <si>
    <t>G - 001233</t>
  </si>
  <si>
    <t>EX2019-5376420-GDEMZA-DPA#SAYOT</t>
  </si>
  <si>
    <t>NOGUERA MYRIAM ELISABETH</t>
  </si>
  <si>
    <t>27-13569691-4</t>
  </si>
  <si>
    <t>Joaquin V Gonzalez Nº 351</t>
  </si>
  <si>
    <t>501/2019</t>
  </si>
  <si>
    <t>985/2019</t>
  </si>
  <si>
    <t>G - 001234</t>
  </si>
  <si>
    <t>EX2019-5672618-GDEMZA-DPA#SAYOT</t>
  </si>
  <si>
    <t>YPF S.A. - Aeroplanta El Plumerillo</t>
  </si>
  <si>
    <t>Despacho de combustibles para viacion</t>
  </si>
  <si>
    <t>RN 40 Km. 15</t>
  </si>
  <si>
    <t>aeroplantaplumerillo@ypf.com, soledad.villarruel@ypf.com, administracion@scudelati.com.ar</t>
  </si>
  <si>
    <t xml:space="preserve">02614484811 / 02914501839
</t>
  </si>
  <si>
    <t>332/2020</t>
  </si>
  <si>
    <t>G - 001235</t>
  </si>
  <si>
    <t>EX2019-5671544-GDEMZA-DPA#SAYOT</t>
  </si>
  <si>
    <t>YPF S.A - Aeroplanta San Rafael</t>
  </si>
  <si>
    <t>Ruta Prov. Nº 143, Km. 7,5</t>
  </si>
  <si>
    <t>Las Paredes</t>
  </si>
  <si>
    <t>arpsanrafaelypf@yahoo.com.ar, mario.segura@ypf.com, administracion@scudelati.com.ar</t>
  </si>
  <si>
    <t>260-4420871 - 0221-4426389</t>
  </si>
  <si>
    <t>325/2020</t>
  </si>
  <si>
    <t>G - 001236</t>
  </si>
  <si>
    <t>EX2019-5669395-GDEMZA-DPA#SAYOT</t>
  </si>
  <si>
    <t>YPF S.A. - Aeroplanta Malargue</t>
  </si>
  <si>
    <t>Ruta Nº 40 Sur s/n</t>
  </si>
  <si>
    <t>MALARGUE</t>
  </si>
  <si>
    <t>medioambiente.logistica@ypf.com, soledad.villarruel@ypf.com, administracion@scudelati.com.ar</t>
  </si>
  <si>
    <t xml:space="preserve">2216494504 / 02914501839
</t>
  </si>
  <si>
    <t>341/2020</t>
  </si>
  <si>
    <t>G - 001237</t>
  </si>
  <si>
    <t>EX2019-5463901-GDEMZA-DP#SAYOT</t>
  </si>
  <si>
    <t>VILLEGAS CRISTIAN NELSON</t>
  </si>
  <si>
    <t>20-21854771-1</t>
  </si>
  <si>
    <t>Paso de Los Andes 1340</t>
  </si>
  <si>
    <t>Republica de Siria 635</t>
  </si>
  <si>
    <t>cabezacecilia70@gmail.com, gabrielhernandezbloch@gmail.com</t>
  </si>
  <si>
    <t>261-5061376 - 2613831503</t>
  </si>
  <si>
    <t>502/2019</t>
  </si>
  <si>
    <t>1036/2019</t>
  </si>
  <si>
    <t>G - 001238</t>
  </si>
  <si>
    <t>EX2019-5570941-GDEMZA-DPA#SAYOT</t>
  </si>
  <si>
    <t>ODYSSEY S.A.</t>
  </si>
  <si>
    <t>30-71314130-1</t>
  </si>
  <si>
    <t>Venta de Neumaticos y Lubricentro</t>
  </si>
  <si>
    <t>San Martin 1360</t>
  </si>
  <si>
    <t>matiascoletto@yahoo.com.ar, mauricioaberastain@redonda.com.ar</t>
  </si>
  <si>
    <t>261-4242188  / 261-3832253</t>
  </si>
  <si>
    <t>500/2019</t>
  </si>
  <si>
    <t>1037/2019</t>
  </si>
  <si>
    <t>G - 001239</t>
  </si>
  <si>
    <t>EX2019-5717990-GDEMZA-DPA#SAYOT</t>
  </si>
  <si>
    <t>CEBALLOS DANIEL ADRIAN</t>
  </si>
  <si>
    <t>20-24160638-5</t>
  </si>
  <si>
    <t>Taller de Chaperia y Pintura</t>
  </si>
  <si>
    <t>Independencia 265</t>
  </si>
  <si>
    <t>Zona Industrial</t>
  </si>
  <si>
    <t>dptallerintegral@gmail.com, ceballos.dac@gmail.com</t>
  </si>
  <si>
    <t>261-6651764</t>
  </si>
  <si>
    <t>519/2019</t>
  </si>
  <si>
    <t>1038/2019</t>
  </si>
  <si>
    <t>G - 001240</t>
  </si>
  <si>
    <t>EX2019-5756975-GDEMZA-DPA#SAYOT</t>
  </si>
  <si>
    <t>ANAUEL S.R.L.</t>
  </si>
  <si>
    <t>30-71599894-3</t>
  </si>
  <si>
    <t>Construccion, reforma y reparacion de edificios no residenciales</t>
  </si>
  <si>
    <t>Calle publica Esq. San Francisco del Monte</t>
  </si>
  <si>
    <t>bgpconstrucciones@gmail.com, asyhlaboral@yahoo.com.ar</t>
  </si>
  <si>
    <t>261-4247359 261-5955810</t>
  </si>
  <si>
    <t>516/2019</t>
  </si>
  <si>
    <t>1039/2019</t>
  </si>
  <si>
    <t>G - 001241</t>
  </si>
  <si>
    <t>EX2019-6014387-GDEMZA-DPA#SAYOT</t>
  </si>
  <si>
    <t>MANTELLO NEUMATICOS S.A.</t>
  </si>
  <si>
    <t>30-70977705-6</t>
  </si>
  <si>
    <t>Venta al por menor de camaras y cubiertas</t>
  </si>
  <si>
    <t>Francisco Gabrielli 3885</t>
  </si>
  <si>
    <t>vbravomellado@gmail.com, mantelloneumaticos@gmail.com</t>
  </si>
  <si>
    <t>261-4932891 -2613601260</t>
  </si>
  <si>
    <t>210/2020</t>
  </si>
  <si>
    <t>1058/2019</t>
  </si>
  <si>
    <t>G - 001242</t>
  </si>
  <si>
    <t>EX2020-63995-GDEMZA-DPA#SAYOT</t>
  </si>
  <si>
    <t>LOCAMAX S.A.</t>
  </si>
  <si>
    <t>30-71511072-1</t>
  </si>
  <si>
    <t>Reciclaje de Polietileno y Polipropileno</t>
  </si>
  <si>
    <t>Rodriguez Peña 5815</t>
  </si>
  <si>
    <t>tanquestyt@gmail.com</t>
  </si>
  <si>
    <t>261-5074206</t>
  </si>
  <si>
    <t>143/20</t>
  </si>
  <si>
    <t>G - 001243</t>
  </si>
  <si>
    <t>EX2019-6143863-GDEMZA-DPA#SAYOT</t>
  </si>
  <si>
    <t>FERRERO RAUL ALEJANDRO</t>
  </si>
  <si>
    <t>24-27981149-2</t>
  </si>
  <si>
    <t>Sargento Cabral 449</t>
  </si>
  <si>
    <t>raulaleferrero@gmail.com</t>
  </si>
  <si>
    <t>261-156657834</t>
  </si>
  <si>
    <t>692/2019</t>
  </si>
  <si>
    <t>1080/2019</t>
  </si>
  <si>
    <t>G - 001244</t>
  </si>
  <si>
    <t>EX2019-6253663-GDEMZA-DPA#SAYOT</t>
  </si>
  <si>
    <t>OJEDA CONSTRUCCIONES S.A.S.</t>
  </si>
  <si>
    <t>33-71644965-9</t>
  </si>
  <si>
    <t>Empresa Constructora y de Servicios</t>
  </si>
  <si>
    <t>San Martin 5370</t>
  </si>
  <si>
    <t>Rodriguez Peña 3350</t>
  </si>
  <si>
    <t>gestoriaambiental.mza@gmail.com, ignacio.ojeda@hcosa.com</t>
  </si>
  <si>
    <t>694/2019</t>
  </si>
  <si>
    <t>1081/2019</t>
  </si>
  <si>
    <t>G - 001245</t>
  </si>
  <si>
    <t>EX2019-6253074-GDEMZA-DPA#SAYOT</t>
  </si>
  <si>
    <t>ADRIAZOLA CARLOS ALBERTO</t>
  </si>
  <si>
    <t>20-13992992-7</t>
  </si>
  <si>
    <t>Venezuela 394</t>
  </si>
  <si>
    <t>261-3050927</t>
  </si>
  <si>
    <t>533/2019</t>
  </si>
  <si>
    <t>1082/2019</t>
  </si>
  <si>
    <t>G - 001246</t>
  </si>
  <si>
    <t>EX2019-6297688-GDEMZA-DPA#SAYOT</t>
  </si>
  <si>
    <t>SOCIEDAD DE TRANSPORTE DE MENDOZA S.A.U.P.E.</t>
  </si>
  <si>
    <t>30-71546807-3</t>
  </si>
  <si>
    <t>Servicio de Transporte urbano y suburbano</t>
  </si>
  <si>
    <t>Peru 2592</t>
  </si>
  <si>
    <t>presidencia@stmendoza.com, ricardofuentes2027@gmail.com</t>
  </si>
  <si>
    <t>261-4251733/4380650 - 261-6041976</t>
  </si>
  <si>
    <t>693/2019</t>
  </si>
  <si>
    <t>G - 001247</t>
  </si>
  <si>
    <t>EX2019-6327286-GDEMZA-DPA#SAYOT</t>
  </si>
  <si>
    <t>ENOQUIMICA S.A.</t>
  </si>
  <si>
    <t>33-71421860-9</t>
  </si>
  <si>
    <t>Fabricacion y Frccionamiento de productos quimicos para la ind. Vitivinicola</t>
  </si>
  <si>
    <t>Independencia 28</t>
  </si>
  <si>
    <t>cblanco@interquimica.com.ar, gyatrino@gmail.com, eugeniasosa@hotmail.com</t>
  </si>
  <si>
    <t>2614681775 - 26134102933</t>
  </si>
  <si>
    <t>Y35-Y48</t>
  </si>
  <si>
    <t>699/2019</t>
  </si>
  <si>
    <t>1084/2019</t>
  </si>
  <si>
    <t>G - 001248</t>
  </si>
  <si>
    <t>EX2019-5547675-GDEMZA-SAYOT</t>
  </si>
  <si>
    <t>TACKER S.R.L.</t>
  </si>
  <si>
    <t>30-65781904-9</t>
  </si>
  <si>
    <t>Venta y alquiler de herramientas especiales para el rubro de hidrocarburos</t>
  </si>
  <si>
    <t>Av. Julio Salto Chacras Nº 2</t>
  </si>
  <si>
    <t>Cipolleti</t>
  </si>
  <si>
    <t>GENERAL ROCA</t>
  </si>
  <si>
    <t>Callejon Dumit s/n</t>
  </si>
  <si>
    <t>betiana.presa@gmail.com, aleiro@tackertools.com</t>
  </si>
  <si>
    <t>2995907412 - 2995123065</t>
  </si>
  <si>
    <t>Y8-Y9-Y12-Y17-Y18-Y48</t>
  </si>
  <si>
    <t>134/2020</t>
  </si>
  <si>
    <t>1089/2019</t>
  </si>
  <si>
    <t>G - 001249</t>
  </si>
  <si>
    <t>EX2019-6376490-GDEMZA-DPA#SAYOT</t>
  </si>
  <si>
    <t>INSTITUTO DE SANIDAD Y CALIDAD AGROPECUARIA MENDOZA (I.S.C.A.MEN) - Sede Central, Movilidad</t>
  </si>
  <si>
    <t>Sanidad animal y vegetal - taller</t>
  </si>
  <si>
    <t>Boulogne Sur Mer 3050</t>
  </si>
  <si>
    <t>martin.casado@iscamen.com.ar</t>
  </si>
  <si>
    <t>261-4295450/4299013/15 261-5453306</t>
  </si>
  <si>
    <t>Y8-Y9-Y29-Y31-Y34-Y48</t>
  </si>
  <si>
    <t>720/2019</t>
  </si>
  <si>
    <t>1119/2019</t>
  </si>
  <si>
    <t>G - 001250</t>
  </si>
  <si>
    <t>EX2019-6436948-GDEMZA-DPA#SAYOT</t>
  </si>
  <si>
    <t>GEO DELTA S.R.L.</t>
  </si>
  <si>
    <t>30-71553837-3</t>
  </si>
  <si>
    <t>Construccion</t>
  </si>
  <si>
    <t>Cabildo 1137</t>
  </si>
  <si>
    <t>pdmoyano@yahoo.com.ar, leoperez1983@hotmail.com</t>
  </si>
  <si>
    <t xml:space="preserve">260-4374214 260-4536077 </t>
  </si>
  <si>
    <t>686/2019</t>
  </si>
  <si>
    <t>1118/2019</t>
  </si>
  <si>
    <t>G - 001251</t>
  </si>
  <si>
    <t>EX2019-6490118-GDEMZA-DPA#SAYOT</t>
  </si>
  <si>
    <t>ANTAHK CONSTRUCCIONES CIVILES S.R.L.</t>
  </si>
  <si>
    <t>30-71642051-1</t>
  </si>
  <si>
    <t xml:space="preserve">Construccion de Obras Civiles </t>
  </si>
  <si>
    <t>Montecaseros 768</t>
  </si>
  <si>
    <t>antahkconstruccionesciviles@gmail.com</t>
  </si>
  <si>
    <t>260-4393301</t>
  </si>
  <si>
    <t>716/2019</t>
  </si>
  <si>
    <t>1117/2019</t>
  </si>
  <si>
    <t>G - 001252</t>
  </si>
  <si>
    <t>EX2019-6584770-GDEMZA-DPA#SAYOT</t>
  </si>
  <si>
    <t>DIAZ JESUS GERMAN</t>
  </si>
  <si>
    <t>20-31246568-0</t>
  </si>
  <si>
    <t>Joaquin V. Gonzalez 1231</t>
  </si>
  <si>
    <t>231/2020</t>
  </si>
  <si>
    <t>1150/2019</t>
  </si>
  <si>
    <t>G - 001253</t>
  </si>
  <si>
    <t>EX2019-6609320-GDEMZA-DPA#SAYOT</t>
  </si>
  <si>
    <t>LIMINA MARIO</t>
  </si>
  <si>
    <t>20-06867506-6</t>
  </si>
  <si>
    <t>1 de Mayo 1253</t>
  </si>
  <si>
    <t>oscar783228@gmail.com, tallerlimina@gmail.com</t>
  </si>
  <si>
    <t>2615002869 / 261-2327957</t>
  </si>
  <si>
    <t>685/2019</t>
  </si>
  <si>
    <t>1151/2019</t>
  </si>
  <si>
    <t>G - 001254</t>
  </si>
  <si>
    <t>EX2019-6620650-GDEMZA-DPA#SAYOT</t>
  </si>
  <si>
    <t>CORREA MARCOS OSCAR</t>
  </si>
  <si>
    <t>20-30202653-0</t>
  </si>
  <si>
    <t>Cambio y reparacion de escapes</t>
  </si>
  <si>
    <t>Rivadavia 1357</t>
  </si>
  <si>
    <t>marcostaller1357@gmail.com</t>
  </si>
  <si>
    <t>261-4221971 261-6446996</t>
  </si>
  <si>
    <t>137/2020</t>
  </si>
  <si>
    <t>1152/2019</t>
  </si>
  <si>
    <t>G - 001255</t>
  </si>
  <si>
    <t>EX2019-6812345-GDEMZA-DPA#SAYOT</t>
  </si>
  <si>
    <t>ANDRES MERINO PINTURERIAS S.A. - Rodriguez Peña 2360 Godoy Cruz</t>
  </si>
  <si>
    <t>Comercializacion de Pinturas</t>
  </si>
  <si>
    <t>Rodriguez Peña 2360</t>
  </si>
  <si>
    <t xml:space="preserve">2614244046 261-4156278 - 2615415678
</t>
  </si>
  <si>
    <t>144/2020</t>
  </si>
  <si>
    <t>G - 001256</t>
  </si>
  <si>
    <t>EX-2024-01473746-   -GDEMZA-DPA#SAYOT - TC - EX-2019-6762093- -GDEMZA-DPA#SAYOT</t>
  </si>
  <si>
    <t>T-SERVICES SA</t>
  </si>
  <si>
    <t>30-71841821-2</t>
  </si>
  <si>
    <t>Mecanica ligera</t>
  </si>
  <si>
    <t>Adolfo Calle 826</t>
  </si>
  <si>
    <t>juanpablovicente@tecnolube.com.ar, gaston.fougere@gmail.com</t>
  </si>
  <si>
    <t>2614546135 - 2614662782</t>
  </si>
  <si>
    <t>146/20</t>
  </si>
  <si>
    <t>G - 001257</t>
  </si>
  <si>
    <t>EX2019-7232336-GDEMZA-DPA#SAYOT</t>
  </si>
  <si>
    <t>JOSE J. CHEDIACK S.A.I.C.A. - Carril Barrancas Puesto 1, Agrelo Lujan de Cuyo</t>
  </si>
  <si>
    <t>30-50225600-5</t>
  </si>
  <si>
    <t>Patricias Mendocinas 617 piso 4 of 4</t>
  </si>
  <si>
    <t>Carril Barrancas s/n, Puesto 1</t>
  </si>
  <si>
    <t>261-4161994 2392614678</t>
  </si>
  <si>
    <t>164/2020</t>
  </si>
  <si>
    <t>G - 001258</t>
  </si>
  <si>
    <t>EX2019-6869052-GDEMZA-DPA#SAYOT</t>
  </si>
  <si>
    <t>ORLANDO JOSE OSCAR</t>
  </si>
  <si>
    <t>20-24160896-5</t>
  </si>
  <si>
    <t>Lavadero - Lubricentro</t>
  </si>
  <si>
    <t>Maza 1157</t>
  </si>
  <si>
    <t xml:space="preserve">Maza 1157 </t>
  </si>
  <si>
    <t>jose_orlando33@yahoo.com.ar</t>
  </si>
  <si>
    <t>142/2020</t>
  </si>
  <si>
    <t>G - 001259</t>
  </si>
  <si>
    <t>EX2019-6882660-GDEMZA-DPA#SAYOT</t>
  </si>
  <si>
    <t>YAÑEZ JOSE EDUARDO</t>
  </si>
  <si>
    <t>20-28226813-3</t>
  </si>
  <si>
    <t>Taller integral desacabollos, chaperia y pintura menor</t>
  </si>
  <si>
    <t>Bº A. M. de Justo mz. J C, 7</t>
  </si>
  <si>
    <t>Juan M. Fanglio 475</t>
  </si>
  <si>
    <t>San Francisco del monte</t>
  </si>
  <si>
    <t>tallerintegralyanez@gmail.com</t>
  </si>
  <si>
    <t xml:space="preserve">261-5403937 </t>
  </si>
  <si>
    <t>163/2020</t>
  </si>
  <si>
    <t>G - 001260</t>
  </si>
  <si>
    <t>EX2019-6906080-GDEMZA-DPA#SAYOT</t>
  </si>
  <si>
    <t>SIERRA LEOPOLDO WALTERIO</t>
  </si>
  <si>
    <t>20-92395529-2</t>
  </si>
  <si>
    <t>Reparaciones y pintura de carroceria y guardabarros</t>
  </si>
  <si>
    <t>Colon 734</t>
  </si>
  <si>
    <t>carinasierrazamora@hotmail.com, carimza-2023@hotmail.com</t>
  </si>
  <si>
    <t xml:space="preserve">261-5958874 - 2613827868
</t>
  </si>
  <si>
    <t>194/2020</t>
  </si>
  <si>
    <t>G - 001261</t>
  </si>
  <si>
    <t>EX2019-6943030-GDEMZA-DPA#SAYOT</t>
  </si>
  <si>
    <t>PERETTI SERGIO JESUS</t>
  </si>
  <si>
    <t>20-17640722-1</t>
  </si>
  <si>
    <t>Necochea 1965</t>
  </si>
  <si>
    <t>179/2020</t>
  </si>
  <si>
    <t>G - 001262</t>
  </si>
  <si>
    <t>EX2019-6946735-GDEMZA-DPA#SAYOT</t>
  </si>
  <si>
    <t>CORSAN S.A.</t>
  </si>
  <si>
    <t>30-71599891-9</t>
  </si>
  <si>
    <t>Despacho de combustibles</t>
  </si>
  <si>
    <t>Mitre 1802</t>
  </si>
  <si>
    <t>servicentrocorsan@gmail.com, ricardofuentes2027@gmail.com</t>
  </si>
  <si>
    <t>193/2020</t>
  </si>
  <si>
    <t>G - 001263</t>
  </si>
  <si>
    <t>EX2019-7008719-GDEMZA-DPA#SAYOT</t>
  </si>
  <si>
    <t>MACAR S.A.</t>
  </si>
  <si>
    <t>33-67699207-9</t>
  </si>
  <si>
    <t>Taller de Rectificacion y torneria anexo metalurgico</t>
  </si>
  <si>
    <t>Jesus Nazareno 4150</t>
  </si>
  <si>
    <t>contaduria@macar.com.ar, ricardofuentes2027@gmail.com, hdiaz@macar.com.ar</t>
  </si>
  <si>
    <t>261-6661445 / 2614932190</t>
  </si>
  <si>
    <t>180/2020</t>
  </si>
  <si>
    <t>G - 001264</t>
  </si>
  <si>
    <t>EX2019-7077428-GDEMZA-DPA#SAYOT</t>
  </si>
  <si>
    <t>SANS PABLO ARIEL</t>
  </si>
  <si>
    <t>20-36279783-8</t>
  </si>
  <si>
    <t>Bouchard Hipolito Nº 25</t>
  </si>
  <si>
    <t>sanspablo037@gmail.com</t>
  </si>
  <si>
    <t>139/2020</t>
  </si>
  <si>
    <t>G - 001265</t>
  </si>
  <si>
    <t>EX2019-7125991-GDEMZA-DPA#SAYOT</t>
  </si>
  <si>
    <t>SAPCO S.A.</t>
  </si>
  <si>
    <t>30-71112589-9</t>
  </si>
  <si>
    <t>Desarmadero de Automotores</t>
  </si>
  <si>
    <t>Las Heras 1354</t>
  </si>
  <si>
    <t>lorenamza12@hotmail.com, consulgreenmendoza@gmail.com</t>
  </si>
  <si>
    <t xml:space="preserve">261-3416993 </t>
  </si>
  <si>
    <t>201/2020</t>
  </si>
  <si>
    <t>G - 001266</t>
  </si>
  <si>
    <t>EX2019-7146347-GDEMZA-DPA#SAYOT</t>
  </si>
  <si>
    <t>FACULTAD DE CIENCIAS AGRARIAS - U.N.C.</t>
  </si>
  <si>
    <t>30-99926810-9</t>
  </si>
  <si>
    <t>Docencia e investigacion,laboratorios</t>
  </si>
  <si>
    <t>Alte. Brown 500</t>
  </si>
  <si>
    <t>decanafilippini@fca.uncu.edu.ar, mfilippini@fca.uncu.edu.ar, mpozzatto@fca.uncu.edu.ar</t>
  </si>
  <si>
    <t>2616544634 - 261-155081937</t>
  </si>
  <si>
    <t>Y4-Y6-Y8-Y9-Y12-Y14-Y19-Y21-Y22-Y23-Y24-Y26-Y29-Y31-Y32-Y33-Y34-Y36-Y37-Y39-Y40-Y41-Y42-Y43-Y48</t>
  </si>
  <si>
    <t>62/21</t>
  </si>
  <si>
    <t>G - 001267</t>
  </si>
  <si>
    <t>EX2019-7254608-GDEMZA-DPA#SAYOT</t>
  </si>
  <si>
    <t>ARIES COMCO S.R.L.</t>
  </si>
  <si>
    <t>30-64685085-8</t>
  </si>
  <si>
    <t>EE SS</t>
  </si>
  <si>
    <t>Av. Alvear Este 1342</t>
  </si>
  <si>
    <t>alevinolo@gmail.com, lic.verdaguer@hotmail.com</t>
  </si>
  <si>
    <t>2625-424529 2625-448426</t>
  </si>
  <si>
    <t>230/20</t>
  </si>
  <si>
    <t>G - 001268</t>
  </si>
  <si>
    <t>EX2020-117025-GDEMZA-DPA#SAYOT</t>
  </si>
  <si>
    <t>PIEDRABUENA ARIEL ROMAN</t>
  </si>
  <si>
    <t>23-25123107-9</t>
  </si>
  <si>
    <t>Venta de autopartes nuevas y usadas del automotor</t>
  </si>
  <si>
    <t>Calle de Servicio Ruta Prov. Nº 50</t>
  </si>
  <si>
    <t>General Ortega</t>
  </si>
  <si>
    <t>181/2020</t>
  </si>
  <si>
    <t>G - 001269</t>
  </si>
  <si>
    <t>EX2020-85693-GDEMZA-DPA#SAYOT</t>
  </si>
  <si>
    <t>PROLUBE CHACRAS S.A.</t>
  </si>
  <si>
    <t>30-71656903-5</t>
  </si>
  <si>
    <t>Ruta Prov. Nº 82 y Calle de la Cuesta s/n</t>
  </si>
  <si>
    <t>lerdonmartin@prolube.com.ar, maurilunello@gmail.com</t>
  </si>
  <si>
    <t xml:space="preserve">2616921380  / 2612582421
</t>
  </si>
  <si>
    <t>165/2020</t>
  </si>
  <si>
    <t>G - 001270</t>
  </si>
  <si>
    <t>EX2020-140965-GDEMZA-DPA#SAYOT</t>
  </si>
  <si>
    <t>RK ELEVACIONES S.R.L.</t>
  </si>
  <si>
    <t>30-71163429-7</t>
  </si>
  <si>
    <t>Alquiler y venta de maquinarias</t>
  </si>
  <si>
    <t>Acceso Este Lateral Sur 7353</t>
  </si>
  <si>
    <t>eallende@rkelevaciones.com, nerina@rkelevaciones.com, nataliaizquierdo11@gmail.com</t>
  </si>
  <si>
    <t>Y8-Y12 -Y18-Y48</t>
  </si>
  <si>
    <t>141/2020</t>
  </si>
  <si>
    <t>G - 001271</t>
  </si>
  <si>
    <t>EX2020-336902-GDEMZA-DPA#SAYOT</t>
  </si>
  <si>
    <t>SANTIAGO MONTEVERDI CONSTRUCCIONES CIVILES S.A.</t>
  </si>
  <si>
    <t>30-56899520-8</t>
  </si>
  <si>
    <t>Construccion, Reforma y reparacion de edificios residenciales y no residenciales</t>
  </si>
  <si>
    <t>Rodriguez Peña 1065</t>
  </si>
  <si>
    <t>gmunafo@monteverdisantiago.com.ar, monteverdi@monteverdisantiago.com.ar</t>
  </si>
  <si>
    <t>261-4317313 261-5718750</t>
  </si>
  <si>
    <t>233/2020</t>
  </si>
  <si>
    <t>G - 001272</t>
  </si>
  <si>
    <t>EX2020-646907-GDEMZA-DPA#SAYOT</t>
  </si>
  <si>
    <t>GUAJARDO JUAN CARLOS</t>
  </si>
  <si>
    <t>20-22536488-6</t>
  </si>
  <si>
    <t>San Lorenzo 1609</t>
  </si>
  <si>
    <t>195/2020</t>
  </si>
  <si>
    <t>G - 001273</t>
  </si>
  <si>
    <t>EX2020-775236-GDEMZA-DPA#SAYOT</t>
  </si>
  <si>
    <t>DISTROLUBE S.R.L.</t>
  </si>
  <si>
    <t>30-70857722-3</t>
  </si>
  <si>
    <t>Acceso Este 1030</t>
  </si>
  <si>
    <t>gclop@grupoclop.com.ar, hysriveros@gmail.com.ar, beltran@rrc.com.ar</t>
  </si>
  <si>
    <t>261-4914541</t>
  </si>
  <si>
    <t>147/2020</t>
  </si>
  <si>
    <t>G - 001274</t>
  </si>
  <si>
    <t>EX2020-835481-GDEMZA-DPA#SAYOT</t>
  </si>
  <si>
    <t>MANUEL SANCHEZ SILLERO E HIJOS S.A.</t>
  </si>
  <si>
    <t>30-60467157-0</t>
  </si>
  <si>
    <t>San Martin 1501 esq. Lisandro de la Torre</t>
  </si>
  <si>
    <t>235/2020</t>
  </si>
  <si>
    <t>G - 001276</t>
  </si>
  <si>
    <t>EX2020-3023155-GDEMZA-DPA#SAYOT</t>
  </si>
  <si>
    <t>HALLIBURTON ARGENTINA S.R.L.</t>
  </si>
  <si>
    <t>30-50361098-8</t>
  </si>
  <si>
    <t>SERVICIOS PETROLEROS</t>
  </si>
  <si>
    <t>Rodriguez Peña 6800</t>
  </si>
  <si>
    <t>MAIPu</t>
  </si>
  <si>
    <t>luis.arias@halliburton.com, nelson.genna@halliburton.com</t>
  </si>
  <si>
    <t>234/2020</t>
  </si>
  <si>
    <t>G - 001277</t>
  </si>
  <si>
    <t>EX2020-3069783-GDEMZA-DPA#SAYOT</t>
  </si>
  <si>
    <t>RPB S.A. - SAN RAFAEL</t>
  </si>
  <si>
    <t>ALIMENTOS VEGETALES Y CONFITURAS</t>
  </si>
  <si>
    <t>Bolivar 950</t>
  </si>
  <si>
    <t>rcuellar@baggio.com.ar, carlos.delgado@baggio.com.ar, jmarganaraz@baggio.com.ar</t>
  </si>
  <si>
    <t>260-4424509 / 2604395935</t>
  </si>
  <si>
    <t>229/2020</t>
  </si>
  <si>
    <t>G - 001278</t>
  </si>
  <si>
    <t>EX2020-3011801-GDEMZA-DPA#SAYOT</t>
  </si>
  <si>
    <t>DIRECCION NACIONAL DE VIALIDAD</t>
  </si>
  <si>
    <t>30-54667567-6</t>
  </si>
  <si>
    <t xml:space="preserve">ORGANISMO ESTATAL DE VIALIDAD </t>
  </si>
  <si>
    <t>Rawson 1748</t>
  </si>
  <si>
    <t>rlomas@vialidad.gob.ar, mgmendez@vialidad.gob.ar</t>
  </si>
  <si>
    <t>261-5860881</t>
  </si>
  <si>
    <t>Y8-Y31-Y34-Y48</t>
  </si>
  <si>
    <t>208/2020</t>
  </si>
  <si>
    <t>G - 001279</t>
  </si>
  <si>
    <t>EX-2020-3069952-GDEMZA-DPA#SAYOT</t>
  </si>
  <si>
    <t>TELEFONICA MOVILES ARGENTINA S.A.</t>
  </si>
  <si>
    <t>30-67881435-7</t>
  </si>
  <si>
    <t>SERVICIO DE TELEFONIA MOVIL</t>
  </si>
  <si>
    <t xml:space="preserve">General Paz 534 </t>
  </si>
  <si>
    <t>Castro y 9 de Julio 6200</t>
  </si>
  <si>
    <t>julio@quevedomendoza.com.ar, mauro@dhartec.com.ar, florencia@dhartec.com.ar</t>
  </si>
  <si>
    <t xml:space="preserve">42957453 / 1156092541
</t>
  </si>
  <si>
    <t>343/2020</t>
  </si>
  <si>
    <t>G - 001280</t>
  </si>
  <si>
    <t>EX-2020-03021263-GDEMZA-DPA#SAYOT</t>
  </si>
  <si>
    <t>AL.VE.RO. REPARACIONES Y SERVICIOS S.A. LUJAN</t>
  </si>
  <si>
    <t xml:space="preserve"> venta de autopartes nuevas y usadas</t>
  </si>
  <si>
    <t>Acc. Sur km 15</t>
  </si>
  <si>
    <t>comercialrecicar@gmail.com, administracion@recicar.com.ar, baezfranco.fb@gmail.com</t>
  </si>
  <si>
    <t>2612708539-2634632018</t>
  </si>
  <si>
    <t>184/2020</t>
  </si>
  <si>
    <t>G - 001281</t>
  </si>
  <si>
    <t>EX -2020-3499777-GDEMZA-DPA#SAYOT</t>
  </si>
  <si>
    <t>BUCCOLINI S.A. C.I.F.I.A.</t>
  </si>
  <si>
    <t>30-50087363-5</t>
  </si>
  <si>
    <t>METALMECANICA</t>
  </si>
  <si>
    <t>Juan Manuel Fangio 419</t>
  </si>
  <si>
    <t>admin@buccolinisa.com, dpuchol@buccolinisa.com, mginanneschi@buccolinisa.com</t>
  </si>
  <si>
    <t>2612709331
 / 261-16150274</t>
  </si>
  <si>
    <t>238/2020</t>
  </si>
  <si>
    <t>G - 001282</t>
  </si>
  <si>
    <t>EX -2020-3502468-GDEMZA-DPA#SAYOT</t>
  </si>
  <si>
    <t>CANANDES S.A.</t>
  </si>
  <si>
    <t>30-71525397-2</t>
  </si>
  <si>
    <t>Boulogne sur Mer 550</t>
  </si>
  <si>
    <t>javierrosental@gmail.com, matiascoletto@yahoo.com.ar</t>
  </si>
  <si>
    <t>65003578 - 2613832253</t>
  </si>
  <si>
    <t>227/2020</t>
  </si>
  <si>
    <t>G - 001283</t>
  </si>
  <si>
    <t>EX -2020-3512341-GDEMZA-DPA#SAYOT</t>
  </si>
  <si>
    <t>CABUS MARENCO MARCELO GABRIEL</t>
  </si>
  <si>
    <t>20-21038720-0</t>
  </si>
  <si>
    <t>Ruta Nac. 40 Sur s/n - Paraje Bardas blancas</t>
  </si>
  <si>
    <t>Coronel Campus 3411</t>
  </si>
  <si>
    <t>cabus1969@gmail.com, serviciosmineros2006@yahoo.com.ar</t>
  </si>
  <si>
    <t>260-4409319</t>
  </si>
  <si>
    <t>324/2020</t>
  </si>
  <si>
    <t>G - 001284</t>
  </si>
  <si>
    <t>EX -2020-1019615-GDEMZA-DPA#SAYOT</t>
  </si>
  <si>
    <t>MENDOSUR S.R.L.</t>
  </si>
  <si>
    <t>30-69582602-4</t>
  </si>
  <si>
    <t>SAN MARTIN N° 7630</t>
  </si>
  <si>
    <t>251/20</t>
  </si>
  <si>
    <t>G - 001285</t>
  </si>
  <si>
    <t>EX -2020-3551666-GDEMZA-DPA#SAYOT</t>
  </si>
  <si>
    <t>INGENIERIA MULTIPIPING S.A.S.</t>
  </si>
  <si>
    <t>30-71665758-9</t>
  </si>
  <si>
    <t xml:space="preserve">CONSTRUCCIÓN, REFORMA Y REPARACIÓN DE REDES DISTRIBUCIÓN DE ELECTRICIDAD, GAS, AGUA, TELECOMUNICACIONES Y DE OTROS SERVICIOS PÚBLICOS. </t>
  </si>
  <si>
    <t>Juan B. Justo 887 Dpto. 1</t>
  </si>
  <si>
    <t>compras@multipiping.com, licmartinaguero@gmail.com</t>
  </si>
  <si>
    <t>1152632378
 / 261-6944362</t>
  </si>
  <si>
    <t>314/2020</t>
  </si>
  <si>
    <t>G - 001286</t>
  </si>
  <si>
    <t>EX -2020-3562591-GDEMZA-DPA#SAYOT</t>
  </si>
  <si>
    <t>LOPEZ GRACIELA DEL CARMEN</t>
  </si>
  <si>
    <t>27-6382349-5</t>
  </si>
  <si>
    <t>Paso de Los Andes 1614</t>
  </si>
  <si>
    <t>323/2020</t>
  </si>
  <si>
    <t>G - 001287</t>
  </si>
  <si>
    <t>EX -2020-3562568-GDEMZA-DPA#SAYOT</t>
  </si>
  <si>
    <t>SERRANO MENDOZA ANDRES ENRIQUE</t>
  </si>
  <si>
    <t>20-34015800-9</t>
  </si>
  <si>
    <t>Sarmiento 1670 - Bº Francisco N. Laprida</t>
  </si>
  <si>
    <t>gringuin_88@hotmail.com, gaston.fougere@gmail.com</t>
  </si>
  <si>
    <t>261-5965685 / 261-4662782</t>
  </si>
  <si>
    <t>253/2020</t>
  </si>
  <si>
    <t>G - 001288</t>
  </si>
  <si>
    <t>EX -2020-3562545-GDEMZA-DPA#SAYOT</t>
  </si>
  <si>
    <t>RESERVORIOS INTEGRADOS MENDOZA</t>
  </si>
  <si>
    <t>33-71154607-9</t>
  </si>
  <si>
    <t>San Isidro Norte 3651</t>
  </si>
  <si>
    <t>Prolongacion Sur, Calle Oratorio 2400</t>
  </si>
  <si>
    <t>maicas68@yahoo.com.ar, diegogarciamza@yahoo.com.ar, enriquerubio10@hotmail.com</t>
  </si>
  <si>
    <t>289/2020</t>
  </si>
  <si>
    <t>G - 001289</t>
  </si>
  <si>
    <t>EX -2020-3627909-GDEMZA-DPA#SAYOT</t>
  </si>
  <si>
    <t>PALMA WALTER SERGIO - 25 de Mayo</t>
  </si>
  <si>
    <t>GUARDA DE VEHICULOS</t>
  </si>
  <si>
    <t>25 de Mayo 504</t>
  </si>
  <si>
    <t>258/2020</t>
  </si>
  <si>
    <t>G - 001290</t>
  </si>
  <si>
    <t>EX -2020-3640107-GDEMZA-DPA#SAYOT</t>
  </si>
  <si>
    <t>PUEL ENERGIA S.A.</t>
  </si>
  <si>
    <t>33-71526396-9</t>
  </si>
  <si>
    <t>Generación de energía eléctrica a través de paneles fotovoltaicos</t>
  </si>
  <si>
    <t>Patricias Mendocinas 1285</t>
  </si>
  <si>
    <t xml:space="preserve">Capital </t>
  </si>
  <si>
    <t>llopez@emesa.com.ar, aburlot@emesa.com.ar, fsuarez@emesa.com.ar</t>
  </si>
  <si>
    <t>261-4201492 / 261-2405008</t>
  </si>
  <si>
    <t>257/2020</t>
  </si>
  <si>
    <t>G - 001291</t>
  </si>
  <si>
    <t>EX -2020-3640086-GDEMZA-DPA#SAYOT</t>
  </si>
  <si>
    <t>SGUAZZINI CARLOS MARIO</t>
  </si>
  <si>
    <t>20-13469121-3</t>
  </si>
  <si>
    <t>TALLER MECANICO</t>
  </si>
  <si>
    <t>Ohiggins 165</t>
  </si>
  <si>
    <t>Ohigins 165</t>
  </si>
  <si>
    <t>sguazziniloli@gmail.com</t>
  </si>
  <si>
    <t>261-4220382 / 2613612923</t>
  </si>
  <si>
    <t>256/2020</t>
  </si>
  <si>
    <t>G - 001292</t>
  </si>
  <si>
    <t>EX -2020-3639959-GDEMZA-DPA#SAYOT</t>
  </si>
  <si>
    <t>PIZZINATO VICTOR ALFREDO</t>
  </si>
  <si>
    <t>20-22237752-9</t>
  </si>
  <si>
    <t>Salvador Guevara 181</t>
  </si>
  <si>
    <t>General Gutierrez</t>
  </si>
  <si>
    <t>O´HIGGINS 1647</t>
  </si>
  <si>
    <t xml:space="preserve">261-6631257 - 2615257180
</t>
  </si>
  <si>
    <t>263/2020</t>
  </si>
  <si>
    <t>G - 001293</t>
  </si>
  <si>
    <t>EX -2020-3640051-GDEMZA-DPA#SAYOT</t>
  </si>
  <si>
    <t>GRZONA FURLAN SEBASTIAN MATIAS</t>
  </si>
  <si>
    <t>20-32352467-0</t>
  </si>
  <si>
    <t>Espejo 12222</t>
  </si>
  <si>
    <t>Coronel Dorrego</t>
  </si>
  <si>
    <t>San Martin Sur 182</t>
  </si>
  <si>
    <t>lubricentrogarage182@gmail.com, smgrzona@hotmail.com, ariel_85@live.com</t>
  </si>
  <si>
    <t>261-3053232 / 261-5934110</t>
  </si>
  <si>
    <t>249/2020</t>
  </si>
  <si>
    <t>G - 001294</t>
  </si>
  <si>
    <t>EX -2020-3640020-GDEMZA-DPA#SAYOT</t>
  </si>
  <si>
    <t>DELAHAYE EMILIO JOSE AGUSTIN</t>
  </si>
  <si>
    <t>23-22010925-9</t>
  </si>
  <si>
    <t>FABRICA DE CARROCERIA</t>
  </si>
  <si>
    <t>Bº Portal Carrodilla, Mz. "J" Casa 1</t>
  </si>
  <si>
    <t>Jesus Nazareno 1471</t>
  </si>
  <si>
    <t>edelahaye@tepet.com.ar,  industriasfade@gmail.com</t>
  </si>
  <si>
    <t>259/2020</t>
  </si>
  <si>
    <t>G - 001295</t>
  </si>
  <si>
    <t>EX -2020-3639994-GDEMZA-DPA#SAYOT</t>
  </si>
  <si>
    <t>CHAMPIONX ARGENTINA S.R.L.</t>
  </si>
  <si>
    <t>30-58737529-6</t>
  </si>
  <si>
    <t>Estibado de Contenedores en transito vacíos y llenos para su logística y uso en Yacimiento.</t>
  </si>
  <si>
    <t>Av. San Martin Sur 4376</t>
  </si>
  <si>
    <t>Colonia Pehuenche</t>
  </si>
  <si>
    <t>visionambientalcys@gmail.com, dhlategana@championx.com</t>
  </si>
  <si>
    <t>266/2020</t>
  </si>
  <si>
    <t>G - 001297</t>
  </si>
  <si>
    <t>EX -2020-3639748-GDEMZA-DPA#SAYOT</t>
  </si>
  <si>
    <t>ANDINO FIDEICOMISO S.A.</t>
  </si>
  <si>
    <t>30-70997271-1</t>
  </si>
  <si>
    <t>BODEGA</t>
  </si>
  <si>
    <t>Pedro Molina 685</t>
  </si>
  <si>
    <t>Russell</t>
  </si>
  <si>
    <t>gerardocatapano@yahoo.com.ar</t>
  </si>
  <si>
    <t>261-6550800</t>
  </si>
  <si>
    <t>248/2020</t>
  </si>
  <si>
    <t>G - 001298</t>
  </si>
  <si>
    <t>EX -20-3689493-GDEMZA-DPA#SAYOT</t>
  </si>
  <si>
    <t>MUNICIPALIDAD DE GENERAL ALVEAR - M.A.S. CANLEJAS</t>
  </si>
  <si>
    <t>30-99907491-6</t>
  </si>
  <si>
    <t>VENTA DE COMB LIQUIDOS</t>
  </si>
  <si>
    <t>Ruta 188, km. 684 Canalejas</t>
  </si>
  <si>
    <t>marceladionis@gmail.com, romeroanion@yahoo.com.ar</t>
  </si>
  <si>
    <t>262-5668303 / 262-5415695</t>
  </si>
  <si>
    <t>254/2020</t>
  </si>
  <si>
    <t>G - 001299</t>
  </si>
  <si>
    <t>EX-2023-03209624-   -GDEMZA-DPA#SAYOT - TC - EX 2020-3689458-GDEMZA-DPA#SAYOT</t>
  </si>
  <si>
    <t>GHILARDI JULIO ANDRES</t>
  </si>
  <si>
    <t>20-34191944-5</t>
  </si>
  <si>
    <t>LAVADERP</t>
  </si>
  <si>
    <t>Sargento Cabral 464</t>
  </si>
  <si>
    <t>andrughilardi@gmail.com</t>
  </si>
  <si>
    <t>252/2020</t>
  </si>
  <si>
    <t>G - 001300</t>
  </si>
  <si>
    <t>EX -2020-3046974-GDEMZA-DPA#SAYOT</t>
  </si>
  <si>
    <t>BODEGA NORTON S.A. FINCA LA COLONIA</t>
  </si>
  <si>
    <t>FINCA BODEGA</t>
  </si>
  <si>
    <t>COBOS ESQ. FUNES</t>
  </si>
  <si>
    <t>PERDRIEL</t>
  </si>
  <si>
    <t>ccerroni@norton.com.ar, aarena@norton.com.ar</t>
  </si>
  <si>
    <t>4909738 - 2615432916</t>
  </si>
  <si>
    <t>279/2020</t>
  </si>
  <si>
    <t>G - 001301</t>
  </si>
  <si>
    <t>EX -2020-4098910-GDEMZA-DPA#SAYOT</t>
  </si>
  <si>
    <t>CABRERA RAUL ORLANDO</t>
  </si>
  <si>
    <t>20-18116068-4</t>
  </si>
  <si>
    <t>DESARMADERO</t>
  </si>
  <si>
    <t>PREDRO GOYENA 339</t>
  </si>
  <si>
    <t>GRAL. ALVEAR</t>
  </si>
  <si>
    <t>RUTA 188 Nº 1620</t>
  </si>
  <si>
    <t>autopartesalvear@gmail.com, raimondicarlos@yahoo.com.ar</t>
  </si>
  <si>
    <t>2625405488 - 2625459712</t>
  </si>
  <si>
    <t>280/2020</t>
  </si>
  <si>
    <t>G - 001303</t>
  </si>
  <si>
    <t>EX -2020-4139992-GDEMZA-DPA#SAYOT</t>
  </si>
  <si>
    <t>DA FRE OBRAS CIVILES S.A. -</t>
  </si>
  <si>
    <t>30-71138876-8</t>
  </si>
  <si>
    <t>EMPRESA COSNTRUCTORA</t>
  </si>
  <si>
    <t>EMPRESA CONSTRUCTORA</t>
  </si>
  <si>
    <t>9 DE JULIO 1067 Piso 6 - oficina 12</t>
  </si>
  <si>
    <t>JUNIN 1101</t>
  </si>
  <si>
    <t>luciamurgo86@gmail.com, fdafre@dafreobras.com.ar, gabriela@viceversa.com.ar</t>
  </si>
  <si>
    <t>2615076016 - 2612405020</t>
  </si>
  <si>
    <t>284/2020</t>
  </si>
  <si>
    <t>4701871 / 4757894</t>
  </si>
  <si>
    <t>G - 001305</t>
  </si>
  <si>
    <t>EX -2020-4723175-GDEMZA-DPA#SAYOT</t>
  </si>
  <si>
    <t>TRANSPORTES CREXELL S.A.</t>
  </si>
  <si>
    <t>30-68450379-7</t>
  </si>
  <si>
    <t>EMPRESA TRANSPORTE</t>
  </si>
  <si>
    <t>EMPRESA DE TRANSPORTE</t>
  </si>
  <si>
    <t>LATERAL ACCESO SUR 6020</t>
  </si>
  <si>
    <t xml:space="preserve">sergioespejo@hotmail.com, lautaro.espejo@hotmail.com </t>
  </si>
  <si>
    <t>2615604077 - 2615444803</t>
  </si>
  <si>
    <t>340/2020</t>
  </si>
  <si>
    <t>G - 001306</t>
  </si>
  <si>
    <t>EX -2020-4932190-GDEMZA-DPA#SAYOT</t>
  </si>
  <si>
    <t>MATADERO FRIGORIFICO SAN JAVIER</t>
  </si>
  <si>
    <t>30-60562401-0</t>
  </si>
  <si>
    <t>FRIGORIFICO</t>
  </si>
  <si>
    <t>ALSINA 1223</t>
  </si>
  <si>
    <t>zammitto15@gmail.com</t>
  </si>
  <si>
    <t>Y8-Y9-Y17-Y48</t>
  </si>
  <si>
    <t>339/2020</t>
  </si>
  <si>
    <t>G - 001307</t>
  </si>
  <si>
    <t>EX -2020-4962527-GDEMZA-DPA#SAYOT</t>
  </si>
  <si>
    <t>SERVI LUB</t>
  </si>
  <si>
    <t>30-70951153-6</t>
  </si>
  <si>
    <t>ESTACION DE SERVICI</t>
  </si>
  <si>
    <t>ESTACION DE SERVICIO</t>
  </si>
  <si>
    <t>MATHUS HOYOS 7425</t>
  </si>
  <si>
    <t>COLONIA SEGOVIA</t>
  </si>
  <si>
    <t>servilubs.a@live.com.ar, nelsongenna68@gmail.com</t>
  </si>
  <si>
    <t>337/2020</t>
  </si>
  <si>
    <t>G - 001308</t>
  </si>
  <si>
    <t>EX -2020-4983963-GDEMZA-DPA#SAYOT</t>
  </si>
  <si>
    <t>DOMAINE BUSQUET</t>
  </si>
  <si>
    <t>30-71021308-5</t>
  </si>
  <si>
    <t>RUTA 89 S/N KM 7,</t>
  </si>
  <si>
    <t>iremigio@domainebousquet.com, ablanco@domainebousquet.com</t>
  </si>
  <si>
    <t>Y4-Y8-Y9-Y12-Y48</t>
  </si>
  <si>
    <t>348/2020</t>
  </si>
  <si>
    <t>G - 001309</t>
  </si>
  <si>
    <t>EX -2020-5022475-GDEMZA-DPA#SAYOT</t>
  </si>
  <si>
    <t>SANCHEZ PEDRO EMANUEL</t>
  </si>
  <si>
    <t>20-32627953-7</t>
  </si>
  <si>
    <t>MECANICA DE MOTOS</t>
  </si>
  <si>
    <t>JUJUY 132</t>
  </si>
  <si>
    <t>ALBERDI 340</t>
  </si>
  <si>
    <t xml:space="preserve">pedroemanuelsanchez@gmail.com, </t>
  </si>
  <si>
    <t>345/2020</t>
  </si>
  <si>
    <t>G - 001310</t>
  </si>
  <si>
    <t>EX -2020-5151307-GDEMZA-DPA#SAYOT</t>
  </si>
  <si>
    <t>SEGURA OSCAR FABRICIO</t>
  </si>
  <si>
    <t>20-21372377-5</t>
  </si>
  <si>
    <t>INSTALACIONES DE GAS , AGUA, CLOACAS, ELECTRICIDAD Y ACCESORIOS</t>
  </si>
  <si>
    <t>SANTIAGO DEL ESTERO 443</t>
  </si>
  <si>
    <t>9 DE JULIO 1285</t>
  </si>
  <si>
    <t>fabriciosegura70@gmail.com</t>
  </si>
  <si>
    <t>359/2020</t>
  </si>
  <si>
    <t>G - 001311</t>
  </si>
  <si>
    <t>EX -2020-5151407-GDEMZA-DPA#SAYOT</t>
  </si>
  <si>
    <t>GALILEO TECNOLOGIES S.A.</t>
  </si>
  <si>
    <t>FABRCACION DE COMPRESORES,GRIFOS Y VALVULAS</t>
  </si>
  <si>
    <t>Ruta 188 s/n Km 715</t>
  </si>
  <si>
    <t>LA MORA</t>
  </si>
  <si>
    <t>arpsanrafaelypf@yahoo.com.ar, soledad.villarruel@ypf.com, administracion@scudelati.com.ar</t>
  </si>
  <si>
    <t>Y8-Y9-Y12-Y23-Y31-Y35-Y48</t>
  </si>
  <si>
    <t>358/2020</t>
  </si>
  <si>
    <t>G - 001312</t>
  </si>
  <si>
    <t>EX -2020-5845279-GDEMZA-DPA#SAYOT</t>
  </si>
  <si>
    <t>AGROMAQ VIRDO S.A.</t>
  </si>
  <si>
    <t>30-71535651-8</t>
  </si>
  <si>
    <t>VENTA Y MANTENIMIENTO DE MAQUINAS Y EQUIPOS</t>
  </si>
  <si>
    <t>Acc Sur 5707</t>
  </si>
  <si>
    <t>LUJAN  de CUYO</t>
  </si>
  <si>
    <t>Acc Sur 5707 lateral Este</t>
  </si>
  <si>
    <t>vbravomellado@gmail.com, sergiosottano@agromaqvirdo.com.ar</t>
  </si>
  <si>
    <t>261-4536356</t>
  </si>
  <si>
    <t>28/2021</t>
  </si>
  <si>
    <t>G - 001313</t>
  </si>
  <si>
    <t>EX -2020-5845231-GDEMZA-DPA#SAYOT</t>
  </si>
  <si>
    <t>VIEL EDGARDO ADRIAN</t>
  </si>
  <si>
    <t>20-18083713-3</t>
  </si>
  <si>
    <t>Uruguay 1275</t>
  </si>
  <si>
    <t>viel.emiliano.1996@gmail.com</t>
  </si>
  <si>
    <t>261-6100111</t>
  </si>
  <si>
    <t>29/2021</t>
  </si>
  <si>
    <t>G - 001314</t>
  </si>
  <si>
    <t>EX -2020-05978487-GDEMZA-DPA#SAYOT</t>
  </si>
  <si>
    <t>COMISION NACIONAL DE ENERGIA ATOMICA - GODOY CRUZ -</t>
  </si>
  <si>
    <t>AZOPARDO 313</t>
  </si>
  <si>
    <t>adelagarro@cnea.gob.ar, rominafarina@cnea.gob.ar</t>
  </si>
  <si>
    <t>Y8,Y12,Y13,Y34,Y35,Y42,Y48</t>
  </si>
  <si>
    <t>114/2021</t>
  </si>
  <si>
    <t>G - 001315</t>
  </si>
  <si>
    <t>EX - 2021-3708-GDEMZA-DPA#SAYOT</t>
  </si>
  <si>
    <t>DOBRODZEJUNAS, EDUARDO ALBERTO</t>
  </si>
  <si>
    <t>20-24480973-2</t>
  </si>
  <si>
    <t>Cadetes Argentinos 9785</t>
  </si>
  <si>
    <t>edumono1@hotmail.com</t>
  </si>
  <si>
    <t>261-5793209</t>
  </si>
  <si>
    <t>Y8,Y9,Y48</t>
  </si>
  <si>
    <t>G - 001316</t>
  </si>
  <si>
    <t>EX - 2020-5845177-GDEMZA-DPA#SAYOT</t>
  </si>
  <si>
    <t>BELELLI GUSTAVO GUIDO</t>
  </si>
  <si>
    <t>27-17598155-7</t>
  </si>
  <si>
    <t>Bernardo Ortiz 690</t>
  </si>
  <si>
    <t>dinagimenez@yahoo.com.ar</t>
  </si>
  <si>
    <t xml:space="preserve">261-5509435 </t>
  </si>
  <si>
    <t>65/2021</t>
  </si>
  <si>
    <t>G - 001317</t>
  </si>
  <si>
    <t>EX-2021-3747-GDEMZA-DPA#SAYOT</t>
  </si>
  <si>
    <t>A. EVANGELISTA S.A.</t>
  </si>
  <si>
    <t>SERVICIO PETROLERO</t>
  </si>
  <si>
    <t>SERVICIO</t>
  </si>
  <si>
    <t>YACIMIENTO BARRANCAS</t>
  </si>
  <si>
    <t>2604039260//2974729182</t>
  </si>
  <si>
    <t>Y8,Y9,Y12,Y48</t>
  </si>
  <si>
    <t>22/2021</t>
  </si>
  <si>
    <t>G - 001318</t>
  </si>
  <si>
    <t>EX-2021-3737-GDEMZA-DPA#SAYOT</t>
  </si>
  <si>
    <t>Yacimiento YPF Vizcacheras</t>
  </si>
  <si>
    <t>30/2021</t>
  </si>
  <si>
    <t>G - 001319</t>
  </si>
  <si>
    <t>EX-2021-3719-GDEMZA-DPA#SAYOT</t>
  </si>
  <si>
    <t>Yacimiento La Ventana</t>
  </si>
  <si>
    <t>24/2021</t>
  </si>
  <si>
    <t>G - 001320</t>
  </si>
  <si>
    <t>EX-2021-3691-GDEMZA-DPA#SAYOT</t>
  </si>
  <si>
    <t>OPERADORA DE ESTACIONES DE SERVICIO S.A. OPESSA CHACRAS</t>
  </si>
  <si>
    <t>ESTACIÓN DE SERVICIO SHELL</t>
  </si>
  <si>
    <t>COMERCIAL</t>
  </si>
  <si>
    <t>MARIANO BOEDO Y ACCESO SUR S/N (ESQUINA NOROESTE)</t>
  </si>
  <si>
    <t>261-3654139 - 2604687557</t>
  </si>
  <si>
    <t>27/2021</t>
  </si>
  <si>
    <t>G - 001321</t>
  </si>
  <si>
    <t>EX-2021-127423-GDEMZA-DPA#SAYOT</t>
  </si>
  <si>
    <t>VIÑA DOÑA PAULA (BODEGA - FINCA)</t>
  </si>
  <si>
    <t>30-69437568-1</t>
  </si>
  <si>
    <t>BODEGA - FINCA</t>
  </si>
  <si>
    <t>COLÓN 531 CUIDAD DE MZA</t>
  </si>
  <si>
    <t>POLIDUCTOS YPF S/N</t>
  </si>
  <si>
    <t>UGARTECHE</t>
  </si>
  <si>
    <t>LUJÁN DE CUYO</t>
  </si>
  <si>
    <t>yanimarin1984@hotmail.com, pablosmon@donapaula.com.ar</t>
  </si>
  <si>
    <t>2616079181 - 2616115100</t>
  </si>
  <si>
    <t>Y8,Y9,Y12,Y13,Y29,Y48</t>
  </si>
  <si>
    <t>23/2021</t>
  </si>
  <si>
    <t>G - 001322</t>
  </si>
  <si>
    <t>EX-2021-3678-GDEMZA-DPA#SAYOT</t>
  </si>
  <si>
    <t>GODOY, JORGE FABIAN</t>
  </si>
  <si>
    <t xml:space="preserve"> 20-37194561-0 </t>
  </si>
  <si>
    <t xml:space="preserve">MECANICA GENERAL Y ELECTRICIDAD DEL AUTOMOVIL </t>
  </si>
  <si>
    <t>ASIA 455</t>
  </si>
  <si>
    <t xml:space="preserve">elgatomecanica92@gmail.com </t>
  </si>
  <si>
    <t>25/2021</t>
  </si>
  <si>
    <t>G - 001323</t>
  </si>
  <si>
    <t>EX-2021-289093-GDEMZA-DPA#SAYOT</t>
  </si>
  <si>
    <t>JOSÉ J. CHEDIACK S.A. INDUSTRIAL COMERCIAL Y AGROPECUARIA</t>
  </si>
  <si>
    <t>CONSTRUCTORA</t>
  </si>
  <si>
    <t>RUTA NACIONAL N° 40 KM 2885</t>
  </si>
  <si>
    <t>BARDAS BLANCAS</t>
  </si>
  <si>
    <t>rubenrijavec@gmail.com, martin.salvo@chediack.com.ar</t>
  </si>
  <si>
    <t>31/2021</t>
  </si>
  <si>
    <t>G - 001324</t>
  </si>
  <si>
    <t>EX-2021-326108-GDEMZA-DPA#SAYOT</t>
  </si>
  <si>
    <t>RODRIGUEZ PEÑA ESQ. MAZA 4086 - LUZURIAGA, MAIPU, MENDOZA</t>
  </si>
  <si>
    <t>MITRE  ESQ. OZAMIS 373</t>
  </si>
  <si>
    <t>anticipar3@gmail.com; nestor.astie@gmail.com</t>
  </si>
  <si>
    <t>2613058503 // 4979775</t>
  </si>
  <si>
    <t>77/2021</t>
  </si>
  <si>
    <t>G - 001325</t>
  </si>
  <si>
    <t>EX-2021-326004-GDEMZA-DPA#SAYOT</t>
  </si>
  <si>
    <t>VIÑA DOÑA PAULA (FINCA)</t>
  </si>
  <si>
    <t>FINCA- TALLER DE MANTENIMIENTO</t>
  </si>
  <si>
    <t>AGRÍCOLA</t>
  </si>
  <si>
    <t>CIUDAD DE MENDOZA</t>
  </si>
  <si>
    <t>La Costa s/n Tupungato</t>
  </si>
  <si>
    <t>yanimarin1984@hotmail.com, psmon@donapaula.com.ar</t>
  </si>
  <si>
    <t>81/21</t>
  </si>
  <si>
    <t>G - 001326</t>
  </si>
  <si>
    <t>EX-2021-455894-GDEMZA-DPA#SAYOT</t>
  </si>
  <si>
    <t>VIÑA DOÑA PAULA (FINCA LOS CEREZOS)</t>
  </si>
  <si>
    <t>Los Cerezos s/n</t>
  </si>
  <si>
    <t>71/2021</t>
  </si>
  <si>
    <t>G - 001327</t>
  </si>
  <si>
    <t>EX-2024-4568081- -GDEMZA-DPA#SAYOT - TC - EX-2021-5602638-GDEMZA-DPA#SAYOT</t>
  </si>
  <si>
    <t>MAFECA S.A.S.</t>
  </si>
  <si>
    <t>30-71739658-4</t>
  </si>
  <si>
    <t>LUBRICENTRO, LAVADERO</t>
  </si>
  <si>
    <t xml:space="preserve">BARRIO EL SOL MZNA K 1. </t>
  </si>
  <si>
    <t xml:space="preserve">JUAN B JUSTO 66. SEXTA SECCIÓN.  </t>
  </si>
  <si>
    <t>prolubecitycenter@gmail.com</t>
  </si>
  <si>
    <t>Y8, Y48</t>
  </si>
  <si>
    <t>591/2021</t>
  </si>
  <si>
    <t>G - 001328</t>
  </si>
  <si>
    <t>EX-2021-809334-GDEMZA-DPA#SAYOT</t>
  </si>
  <si>
    <t>MERAVIGLIA S.A.S.</t>
  </si>
  <si>
    <t>30-71687553-5</t>
  </si>
  <si>
    <t>DESARME DE AUTOMÓVILES. ALMACENAMIENTO Y VENTA DE REPUESTOS NUEVOS Y USADOS</t>
  </si>
  <si>
    <t>SARGENTO CABRAL 975</t>
  </si>
  <si>
    <t>RODRIGUEZ PEÑA 5776</t>
  </si>
  <si>
    <t>2616631257 - 2615556732</t>
  </si>
  <si>
    <t>75/2021</t>
  </si>
  <si>
    <t>G - 001329</t>
  </si>
  <si>
    <t>EX-2021-925840-GDEMZA-DPA#SAYOT</t>
  </si>
  <si>
    <t>M.M.J.I.R. S.R.L.</t>
  </si>
  <si>
    <t>33-71466345-9</t>
  </si>
  <si>
    <t>MECANICA LIGERA Y VENTA DE REPUESTOS</t>
  </si>
  <si>
    <t>JOAQUIN V. GONZALEZ 51</t>
  </si>
  <si>
    <t>fabianramirez36@hotmail.com.ar, vbravomellado@gmail.com</t>
  </si>
  <si>
    <t>2614729899 -</t>
  </si>
  <si>
    <t>90/21</t>
  </si>
  <si>
    <t>G - 001330</t>
  </si>
  <si>
    <t>EX-2021-1416021- -GDEMZA-DPA#SAYOT</t>
  </si>
  <si>
    <t>SIMPLOT ARGENTINA S.R.L.</t>
  </si>
  <si>
    <t>30-71092007-5</t>
  </si>
  <si>
    <t>Procesamiento de vegetales, incluido proceso de almacenamiento y secado</t>
  </si>
  <si>
    <t>RUTA NAC. N° 7 KM. 1068</t>
  </si>
  <si>
    <t>CACHEUTA</t>
  </si>
  <si>
    <t>romina.joals@simplot.com,  nico.ianni@simplot.com</t>
  </si>
  <si>
    <t>102/2021</t>
  </si>
  <si>
    <t>G - 001331</t>
  </si>
  <si>
    <t>EX2021-1088112- -GDEMZA-DPA#SAYOT</t>
  </si>
  <si>
    <t>JC LORENZO INVERSORA S.A</t>
  </si>
  <si>
    <t>30-71585522-0</t>
  </si>
  <si>
    <t>AUTOMOTRIZ</t>
  </si>
  <si>
    <t>MITRE 575</t>
  </si>
  <si>
    <t>MITRE 712</t>
  </si>
  <si>
    <t>SAN RFAEL</t>
  </si>
  <si>
    <t>89/2021</t>
  </si>
  <si>
    <t>G - 001332</t>
  </si>
  <si>
    <t>EX2021-1460046- -GDEMZA-DPA#SAYOT</t>
  </si>
  <si>
    <t>SOLIS SOCIEDAD ANONIMA</t>
  </si>
  <si>
    <t>30-70957209-8</t>
  </si>
  <si>
    <t>METAL MECÁNICA</t>
  </si>
  <si>
    <t>PARQUE IND MINERO EJE NORTE, CALLE 3, MANZANA L, LOTE 16</t>
  </si>
  <si>
    <t xml:space="preserve">LAS HERAS </t>
  </si>
  <si>
    <t>juanpablo@solissa.com.ar, nataliaizquierdo11@gmail.com</t>
  </si>
  <si>
    <t>2616402462 - 2615387983</t>
  </si>
  <si>
    <t>G - 001333</t>
  </si>
  <si>
    <t>EX2021-1089467-GDEMZA- -DPA#SAYOT</t>
  </si>
  <si>
    <t>LORENZO AUTOMOTORES S.A. - SAN RAFAEL</t>
  </si>
  <si>
    <t>BANDERA DE LOS ANDES 1531</t>
  </si>
  <si>
    <t>87/21</t>
  </si>
  <si>
    <t>G - 001334</t>
  </si>
  <si>
    <t>EX2021-1089504-GDEMZA- -DPA#SAYOT</t>
  </si>
  <si>
    <t>LUIS M. PAGLIARA S.R.L.</t>
  </si>
  <si>
    <t>30-68317171-5</t>
  </si>
  <si>
    <t>CONTRUCCION</t>
  </si>
  <si>
    <t>PASO DE LOS ANDES 133</t>
  </si>
  <si>
    <t>SAN FRANSISCO DEL MONTE 1481</t>
  </si>
  <si>
    <t>odalaniz@pagliara.com.ar, marcelo@pagliara.com.ar, administracion@sipraservicios.com.ar</t>
  </si>
  <si>
    <t>2615711032 - 4491212</t>
  </si>
  <si>
    <t>88/21</t>
  </si>
  <si>
    <t>G - 001335</t>
  </si>
  <si>
    <t>EX-2021-1278641- -GDEMZA-DPA#SAYOT</t>
  </si>
  <si>
    <t>BODEGAS Y VIÑEDOS SANTA ELENA S.R.L.</t>
  </si>
  <si>
    <t>30-69466810-7</t>
  </si>
  <si>
    <t>JESUS NAZARENO</t>
  </si>
  <si>
    <t>ingjosemontalto@yahoo.com.ar, cosultoralatinasrl@gmail.com</t>
  </si>
  <si>
    <t>Y8-Y9-Y12-Y31-Y34-Y48</t>
  </si>
  <si>
    <t>117/21</t>
  </si>
  <si>
    <t>G - 001336</t>
  </si>
  <si>
    <t>EX-2021-01536608-GDEMZA-DPA#SAYOT</t>
  </si>
  <si>
    <t>LAMBERTUCCI S.A.</t>
  </si>
  <si>
    <t>30-70883351-3</t>
  </si>
  <si>
    <t>RODRIGUEZ PEÑA 990</t>
  </si>
  <si>
    <t>cecilia@lambertuccisa.com.ar, adrianaguirerz@yahoo.com.ar</t>
  </si>
  <si>
    <t>2616418401 - 2616090959</t>
  </si>
  <si>
    <t>119/2021</t>
  </si>
  <si>
    <t>G - 001337</t>
  </si>
  <si>
    <t>EX2021-1624749- -GDEMZA-DPA#SAYOT</t>
  </si>
  <si>
    <t>NELDO S.A.</t>
  </si>
  <si>
    <t>30-71612535-8</t>
  </si>
  <si>
    <t>EESS GNC</t>
  </si>
  <si>
    <t>MAZA Y RODRIGUEZ PEÑA 4086</t>
  </si>
  <si>
    <t xml:space="preserve">SEVERO DEL CASTILLO,4680 </t>
  </si>
  <si>
    <t>LOS CORRALITOS</t>
  </si>
  <si>
    <t>allgus02@outlook.es, anticipar3@gmail.com</t>
  </si>
  <si>
    <t>118/21</t>
  </si>
  <si>
    <t>G - 001338</t>
  </si>
  <si>
    <t>EX2021-1812947- -GDEMZA-DPA#SAYOT</t>
  </si>
  <si>
    <t>MBP S.R.L</t>
  </si>
  <si>
    <t>30-71237355-1</t>
  </si>
  <si>
    <t>Alquiler de herramientas de rotación y pesca con servicio de operador para pozos petroleros</t>
  </si>
  <si>
    <t>BELGRANO 1993 - (PEIM) Lote 16</t>
  </si>
  <si>
    <t>GENERAL ORTEGA</t>
  </si>
  <si>
    <t>raguero@mbpsrl.com, cypconsultora.nqn@gmail.com</t>
  </si>
  <si>
    <t>2612066351 / 2614764514</t>
  </si>
  <si>
    <t>155/2021</t>
  </si>
  <si>
    <t>G - 001339</t>
  </si>
  <si>
    <t>EX2021-1896339- -GDEMZA-DPA#SAYOT</t>
  </si>
  <si>
    <t>FINCAS PATAGONICAS SOCIEDAD ANONIMA</t>
  </si>
  <si>
    <t>30-70836482-3</t>
  </si>
  <si>
    <t>RUTA PROVINCIAL 15 KM 32</t>
  </si>
  <si>
    <t>fvalenzuela@tapiz.com.ar, aabraham@tapiz.com.ar, ccorreas@tapiz.com.ar</t>
  </si>
  <si>
    <t>2615196821 / 2615966856</t>
  </si>
  <si>
    <t>Y8,Y48</t>
  </si>
  <si>
    <t>150/2021</t>
  </si>
  <si>
    <t>G - 001340</t>
  </si>
  <si>
    <t>EX2018-2985036-GDEMZA-DPA#SAYOT</t>
  </si>
  <si>
    <t>WICHER, JORGE DANIEL</t>
  </si>
  <si>
    <t xml:space="preserve">20-11408811-1 </t>
  </si>
  <si>
    <t>SAENZ PEÑA 428.</t>
  </si>
  <si>
    <t>dgw1780@hotmail.com</t>
  </si>
  <si>
    <t>127/21</t>
  </si>
  <si>
    <t>G - 001341</t>
  </si>
  <si>
    <t>EX-2021-02021814-GDEMZA-DPA#SAYOT</t>
  </si>
  <si>
    <t>KAIKEN SA</t>
  </si>
  <si>
    <t>30-70818369-1</t>
  </si>
  <si>
    <t>ROQUE SAENZ PEÑA 5516</t>
  </si>
  <si>
    <t>nicolasrehys@gmail.com, ghormann@kaikenwines.com</t>
  </si>
  <si>
    <t>2613115555 - 2616319704</t>
  </si>
  <si>
    <t>Y8,Y12,Y31,Y48</t>
  </si>
  <si>
    <t>128/2021</t>
  </si>
  <si>
    <t>G - 001342</t>
  </si>
  <si>
    <t>EX-2018-3191058-GDEMZA-DPA#SAYOT</t>
  </si>
  <si>
    <t>OESTE TECNICA DE LOPEZ DANIEL Y LOPEZ SERGIO</t>
  </si>
  <si>
    <t xml:space="preserve"> 30-67696215-4 </t>
  </si>
  <si>
    <t xml:space="preserve">BANDERA DE LOS ANDES 4683. </t>
  </si>
  <si>
    <t>lic.verdaguer@hotmail.com, oestecnica@yahoo.com.ar</t>
  </si>
  <si>
    <t>2613050927 - 2614261069</t>
  </si>
  <si>
    <t>163/2021</t>
  </si>
  <si>
    <t>G - 001343</t>
  </si>
  <si>
    <t>EX-2021-2118325-GDEMZA-DPA#SAYOT</t>
  </si>
  <si>
    <t>APPIOLAZA SERVICIOS DEL AUTOMOTOR S.R.L.</t>
  </si>
  <si>
    <t>30-71421335-7</t>
  </si>
  <si>
    <t xml:space="preserve">SAN JUAN DE DIOS 353. </t>
  </si>
  <si>
    <t>mauricio@tallerappiolaza.com, flaviofer2002@yahoo.com.ar</t>
  </si>
  <si>
    <t>2614320616 - 2615778008</t>
  </si>
  <si>
    <t>Y12,Y48</t>
  </si>
  <si>
    <t>148/2021</t>
  </si>
  <si>
    <t>G - 001345</t>
  </si>
  <si>
    <t>EX-2018-3209340-GDEMZA-DPA#SAYOT</t>
  </si>
  <si>
    <t>JOAQUIN LLAMAS E HIJOS S R L</t>
  </si>
  <si>
    <t>30-70809148-7</t>
  </si>
  <si>
    <t xml:space="preserve">RODRIGUEZ PEÑA 3630. </t>
  </si>
  <si>
    <t>Info@joaquinllamasehijos.com.ar</t>
  </si>
  <si>
    <t>Y8,Y12,Y48</t>
  </si>
  <si>
    <t>149/21</t>
  </si>
  <si>
    <t>G - 001346</t>
  </si>
  <si>
    <t>EX-2018-3191116-GDEMZA-DPA#SAYOT</t>
  </si>
  <si>
    <t>PELEGRINA PABLO ANTONIO</t>
  </si>
  <si>
    <t>20-10273362-3</t>
  </si>
  <si>
    <t>SAN MARTIN 2611.</t>
  </si>
  <si>
    <t>alejandrolubricentro@gmail.com,  matiascoletto@yahoo.com.ar</t>
  </si>
  <si>
    <t>380/2021</t>
  </si>
  <si>
    <t>G - 001348</t>
  </si>
  <si>
    <t>EX-2018-3191009-GDEMZA-DPA#SAYOT</t>
  </si>
  <si>
    <t>GONZALEZ ROXANA ELIZABETH (IMAGINE CAR WASH SA)</t>
  </si>
  <si>
    <t>27-25354886-5</t>
  </si>
  <si>
    <t xml:space="preserve">ALFREDO BUFANO 4519. </t>
  </si>
  <si>
    <t>jorgerobertogonzalez11@gmail.com</t>
  </si>
  <si>
    <t>Y9,Y48</t>
  </si>
  <si>
    <t>381/2021</t>
  </si>
  <si>
    <t>G - 001349</t>
  </si>
  <si>
    <t>EX-2021-2118338-GDEMZA-DPA#SAYOT</t>
  </si>
  <si>
    <t>AGRINET S.A.</t>
  </si>
  <si>
    <t>30-70889302-8</t>
  </si>
  <si>
    <t>LATERAL RUTA NACIONAL 7 KM 1024 - ENTRE LAS CALLES : PESCARA Y EX BAÑOS RODEO DEL MEDIO</t>
  </si>
  <si>
    <t>jlosada@agrinet.com.ar, dariopanini@yahoo.com.ar</t>
  </si>
  <si>
    <t>146/2021</t>
  </si>
  <si>
    <t>G - 001350</t>
  </si>
  <si>
    <t>EX-2021-2149870-GDEMZA-DPA#SAYOT</t>
  </si>
  <si>
    <t>RIMAN CUYO S.A.</t>
  </si>
  <si>
    <t>33-70707015-9</t>
  </si>
  <si>
    <t xml:space="preserve">EVA DUARTE DE PERON S/N. </t>
  </si>
  <si>
    <t>estacionriman@yahoo.com.ar, hugo.baldin@gmail.com</t>
  </si>
  <si>
    <t>147/2021</t>
  </si>
  <si>
    <t>G - 001351</t>
  </si>
  <si>
    <t>EX-2024-03454439-   -GDEMZA-DPA#SAYOT - TC - EX-2021-2231266-GDEMZA-DPA#SAYOT</t>
  </si>
  <si>
    <t>MOLINOS RIO DE LA PLATA SA - Bodega Ruca Malen</t>
  </si>
  <si>
    <t xml:space="preserve">RUTA NACIONAL Nº 7 - KILOMETRO Nº 1059 </t>
  </si>
  <si>
    <t>facundo.salinas@molinos.com.ar, dan.rinaldi@molinos.com.ar</t>
  </si>
  <si>
    <t>187/2021</t>
  </si>
  <si>
    <t>G - 001352</t>
  </si>
  <si>
    <t>EX-2021-2230537-GDEMZA-DPA#SAYOT</t>
  </si>
  <si>
    <t>CODORNIU ARGENTINA SOCIEDAD ANONIMA (BODEGA SÉPTIMA)</t>
  </si>
  <si>
    <t>30-70701060-2</t>
  </si>
  <si>
    <t xml:space="preserve">RUTA 7 km 6,5. </t>
  </si>
  <si>
    <t>p.borgo@codorniu.com</t>
  </si>
  <si>
    <t>189/2021</t>
  </si>
  <si>
    <t>G - 001353</t>
  </si>
  <si>
    <t>EX-2021-2231297-GDEMZA-DPA#SAYOT</t>
  </si>
  <si>
    <t>BODEGAS Y VIÑEDOS RENACER SA</t>
  </si>
  <si>
    <t> 30-70828019-0</t>
  </si>
  <si>
    <t xml:space="preserve">BRANSEN 1863.  </t>
  </si>
  <si>
    <t>agronomia@bodegarenacer.com.ar</t>
  </si>
  <si>
    <t>Y8,Y35,Y48</t>
  </si>
  <si>
    <t>186/2021</t>
  </si>
  <si>
    <t>G - 001354</t>
  </si>
  <si>
    <t>EX-2021-2230455-GDEMZA-DPA#SAYOT</t>
  </si>
  <si>
    <t>S.A. ESTABLECIMIENTOS VITIVINÍCOLAS ESCORIHUELA (Bodega y Finca Escorihuela Gascón Agrelo)</t>
  </si>
  <si>
    <t>30-50169746-6</t>
  </si>
  <si>
    <t xml:space="preserve">CALLE BELGRANO 1188. </t>
  </si>
  <si>
    <t xml:space="preserve">CALLE COBOS S/N </t>
  </si>
  <si>
    <t xml:space="preserve"> jbonello@escorihuela.com.ar, maguilar@mahs.com.ar</t>
  </si>
  <si>
    <t>195/2021</t>
  </si>
  <si>
    <t>G - 001355</t>
  </si>
  <si>
    <t>EX-2021-2230422-GDEMZA-DPA#SAYOT</t>
  </si>
  <si>
    <t>PROVIVA S R L (BODEGA CHAKANA)</t>
  </si>
  <si>
    <t>30-70795983-1</t>
  </si>
  <si>
    <t>BALDINI 16197.J1047</t>
  </si>
  <si>
    <t>leonardo.devia@chakanawines.com.ar</t>
  </si>
  <si>
    <t>Y8,Y9,Y12,Y29,Y48</t>
  </si>
  <si>
    <t>143/2021</t>
  </si>
  <si>
    <t>G - 001356</t>
  </si>
  <si>
    <t>EX-2021-2230354-GDEMZA-DPA#SAYOT</t>
  </si>
  <si>
    <t>BODEGA VISTALBA S.A.</t>
  </si>
  <si>
    <t>30-70516692-3</t>
  </si>
  <si>
    <t>SAENZ PEÑA 3531.</t>
  </si>
  <si>
    <t>enologia@bodegavistalba.com, eduardodurou@vinarea.com.ar, fcolucci@bodegavistalba.com</t>
  </si>
  <si>
    <t>2614989400 - 2613536151</t>
  </si>
  <si>
    <t>161/2021</t>
  </si>
  <si>
    <t>G - 001357</t>
  </si>
  <si>
    <t>EX-2021-2230486-GDEMZA-DPA#SAYOT</t>
  </si>
  <si>
    <t>MILLAN S.A.</t>
  </si>
  <si>
    <t>33-50385092-9</t>
  </si>
  <si>
    <t xml:space="preserve">BANDERA DE LOS ANDES 1393. </t>
  </si>
  <si>
    <t>gavice_mza@yahoo.com.ar, gabrielsalas@familiamillan.com</t>
  </si>
  <si>
    <t>4480800 - 2615986219</t>
  </si>
  <si>
    <t>174/2021</t>
  </si>
  <si>
    <t>G - 001358</t>
  </si>
  <si>
    <t>EX-2018-3191175-GDEMZA-DPA#SAYOT</t>
  </si>
  <si>
    <t>INDUSTRIAS METALURGICAS NAVAS SA</t>
  </si>
  <si>
    <t>33-69575273-9</t>
  </si>
  <si>
    <t>RUTA 15 KM 21 N° 2733.</t>
  </si>
  <si>
    <t>ventasnavas@gmail.com</t>
  </si>
  <si>
    <t>185/2021</t>
  </si>
  <si>
    <t>G - 001359</t>
  </si>
  <si>
    <t>EX-2021-2285749-GDEMZA-DPA#SAYOT</t>
  </si>
  <si>
    <t>REGIS SA</t>
  </si>
  <si>
    <t>30-70790456-5</t>
  </si>
  <si>
    <t>PARQUE IND. Y MINERO EJE NORTE 0- ENTRE LAS CALLES 7 Y 9</t>
  </si>
  <si>
    <t>wurrutia@hotmail.com, andresregis@regissa.com</t>
  </si>
  <si>
    <t xml:space="preserve">2614453988 / 2615176075
</t>
  </si>
  <si>
    <t>Y12, Y13,Y48</t>
  </si>
  <si>
    <t>175/2021</t>
  </si>
  <si>
    <t>G - 001360</t>
  </si>
  <si>
    <t>EX-2021-2434343-GDEMZA-DPA#SAYOT</t>
  </si>
  <si>
    <t>MORALES JUAN MARCOS (TJM PISCINAS)</t>
  </si>
  <si>
    <t>20-26297652-2</t>
  </si>
  <si>
    <t xml:space="preserve"> RP82 km 14, M5509 </t>
  </si>
  <si>
    <t>tjmpiletas@gmail.com</t>
  </si>
  <si>
    <t>Y13,Y16,Y48</t>
  </si>
  <si>
    <t>176/2021</t>
  </si>
  <si>
    <t>G - 001361</t>
  </si>
  <si>
    <t>EX-2021-2452184-GDEMZA-DPA#SAYOT</t>
  </si>
  <si>
    <t>CUARANTA JUAN ALBERTO (LUBRICENTRO)</t>
  </si>
  <si>
    <t xml:space="preserve">20-10276274-7 </t>
  </si>
  <si>
    <t xml:space="preserve">AVENIDA MITRE 2249. </t>
  </si>
  <si>
    <t>burgosdario880@gmail.com</t>
  </si>
  <si>
    <t>188/2021</t>
  </si>
  <si>
    <t>G - 001362</t>
  </si>
  <si>
    <t>EX-2021-2452194-GDEMZA-DPA#SAYOT</t>
  </si>
  <si>
    <t>LEXITO SAS</t>
  </si>
  <si>
    <t xml:space="preserve">30-71688624-3 </t>
  </si>
  <si>
    <t xml:space="preserve">RENEDIOS DE ESCALADA 267. </t>
  </si>
  <si>
    <t>ventas@centralcar.com.ar, sergiodinnocenzo@yahoo.com.ar, gaston.fougere@gmail.com</t>
  </si>
  <si>
    <t>184/2021</t>
  </si>
  <si>
    <t>G - 001363</t>
  </si>
  <si>
    <t>EX-2021-2452438-GDEMZA-DPA#SAYOT</t>
  </si>
  <si>
    <t>SANTOS LUIS IGNASIO</t>
  </si>
  <si>
    <t>20-11697001-6</t>
  </si>
  <si>
    <t xml:space="preserve">EE SS </t>
  </si>
  <si>
    <t xml:space="preserve">ADVINCULA MOYANO Y ALBUERA 89. </t>
  </si>
  <si>
    <t>lajirafa.sa@hotmail.com, hugo.baldin@gmail.com</t>
  </si>
  <si>
    <t>202/2021</t>
  </si>
  <si>
    <t>G - 001364</t>
  </si>
  <si>
    <t>EX-2021-2452518-GDEMZA-DPA#SAYOT</t>
  </si>
  <si>
    <t>BORTOLOZZO, LUIS ANTONIO</t>
  </si>
  <si>
    <t>20-20545758-6</t>
  </si>
  <si>
    <t xml:space="preserve">MAZA SUR 1934. </t>
  </si>
  <si>
    <t>lubritodosa@yahoo.com.ar</t>
  </si>
  <si>
    <t>4976789 - 2614182745</t>
  </si>
  <si>
    <t>183/2021</t>
  </si>
  <si>
    <t>G - 001365</t>
  </si>
  <si>
    <t>EX-2021-2452533-GDEMZA-DPA#SAYOT</t>
  </si>
  <si>
    <t>FERNANDEZ DIEGO GABRIEL (EESS-LUBRICENTRO SAN PEDRO)</t>
  </si>
  <si>
    <t>20-22376753-3</t>
  </si>
  <si>
    <t xml:space="preserve">RUTA PROVINCIAL 50 KM 1036. </t>
  </si>
  <si>
    <t xml:space="preserve"> fernadiego1971@hotmail.com</t>
  </si>
  <si>
    <t>203/2021</t>
  </si>
  <si>
    <t>G - 001366</t>
  </si>
  <si>
    <t>EX-2021-2452549-GDEMZA-DPA#SAYOT</t>
  </si>
  <si>
    <t>TOPCAR S.A.S</t>
  </si>
  <si>
    <t>30-71675062-7</t>
  </si>
  <si>
    <t xml:space="preserve">JOSÉ VICENTE ZAPATA 185. </t>
  </si>
  <si>
    <t>DORREGO</t>
  </si>
  <si>
    <t>garellapatricia@gmail.com, f.soto@gocar.com.ar, ventas@gocar.com.ar</t>
  </si>
  <si>
    <t>172/2021</t>
  </si>
  <si>
    <t>G - 001367</t>
  </si>
  <si>
    <t>EX-2021-2678371-GDEMZA-DPA#SAYOT</t>
  </si>
  <si>
    <t>CEBALLOS RUBEN VICTOR</t>
  </si>
  <si>
    <t>20-20400626-2</t>
  </si>
  <si>
    <t>CABO SAN PIO 2119.</t>
  </si>
  <si>
    <t>gomerialubricentroceballos@yahoo.com.ar</t>
  </si>
  <si>
    <t>212/2021</t>
  </si>
  <si>
    <t>G - 001368</t>
  </si>
  <si>
    <t>EX-2021-2526597-GDEMZA-DPA#SAYOT</t>
  </si>
  <si>
    <t>S.A. ESTABLECIMIENTOS VITIVINÍCOLAS ESCORIHUELA (Bodega Escorihuela Gascón Godoy Cruz)</t>
  </si>
  <si>
    <t>jbonello@escorihuela.com, maguilar@mahs.com.ar</t>
  </si>
  <si>
    <t>2614545211 - 2615634227</t>
  </si>
  <si>
    <t>190/2021</t>
  </si>
  <si>
    <t>G - 001369</t>
  </si>
  <si>
    <t>EX-2021-2526512-GDEMZA-DPA#SAYOT</t>
  </si>
  <si>
    <t>S.A. ESTABLECIMIENTOS VITIVINÍCOLAS ESCORIHUELA (Bodega Santa Jimena)</t>
  </si>
  <si>
    <t xml:space="preserve">BRUNO MORÓN S/N </t>
  </si>
  <si>
    <t>jbonello@escorihuela.com.ar, maguilar@mahs.com.ar</t>
  </si>
  <si>
    <t>191/2021</t>
  </si>
  <si>
    <t>G - 001370</t>
  </si>
  <si>
    <t>EX-2021-2678366-GDEMZA-DPA#SAYOT</t>
  </si>
  <si>
    <t>CORREDORES VIALES S.A.</t>
  </si>
  <si>
    <t>30-71580481-2</t>
  </si>
  <si>
    <t xml:space="preserve">RUTA NACIONAL N° 7. 899. </t>
  </si>
  <si>
    <t>nicolas.monopoli@cvsa.com.ar, carlos.iglesias@cvsa.com.ar</t>
  </si>
  <si>
    <t>Y8,Y12,Y29,Y48</t>
  </si>
  <si>
    <t>211/2021</t>
  </si>
  <si>
    <t>G - 001371</t>
  </si>
  <si>
    <t>EX-2023-04319095- -GDEMZA-DPA#SAYOT  - TC - EX-2021-2678360-GDEMZA-DPA#SAYOT</t>
  </si>
  <si>
    <t>MEDLOG ARGENTINA SA</t>
  </si>
  <si>
    <t>30-71092887-4</t>
  </si>
  <si>
    <t xml:space="preserve">LATERAL OESTE ACCESO SUR 3185. </t>
  </si>
  <si>
    <t>PEDRIEL</t>
  </si>
  <si>
    <t>memartinezpicco@b-oceanic.com</t>
  </si>
  <si>
    <t>210/2021</t>
  </si>
  <si>
    <t>G - 001372</t>
  </si>
  <si>
    <t>EX-2021-2807538-GDEMZA-DPA#SAYOT</t>
  </si>
  <si>
    <t>BUGIOLACCHI GUSTAVO EXEQUIEL</t>
  </si>
  <si>
    <t>20-35927281-3</t>
  </si>
  <si>
    <t>MATIENZO 1333.</t>
  </si>
  <si>
    <t>onguarnieri@yahoo.com.ar, sfredes325@gmail.com</t>
  </si>
  <si>
    <t xml:space="preserve">2616958707 - </t>
  </si>
  <si>
    <t>215/2021</t>
  </si>
  <si>
    <t>G - 001373</t>
  </si>
  <si>
    <t>EX-2021-2678344-GDEMZA-DPA#SAYOT</t>
  </si>
  <si>
    <t>VENOIL S.A</t>
  </si>
  <si>
    <t>30-71632641-8</t>
  </si>
  <si>
    <t>Rawson 2500</t>
  </si>
  <si>
    <t>MIPU</t>
  </si>
  <si>
    <t>Area Manzano Oeste</t>
  </si>
  <si>
    <t>info@venoil-energia.com, gnaves@venoil-energia.com, danielquintanahys@yahoo.com.ar, rbastias@venoil-energia.com</t>
  </si>
  <si>
    <t>2616994057 - 2615073927</t>
  </si>
  <si>
    <t>194/2021</t>
  </si>
  <si>
    <t>G - 001374</t>
  </si>
  <si>
    <t>EX-2021-1278695-GDEMZA-DPA#SAYOT</t>
  </si>
  <si>
    <t>EXITRANS S.A.</t>
  </si>
  <si>
    <t>30-70746425-5</t>
  </si>
  <si>
    <t>Transporte de carga por carretera</t>
  </si>
  <si>
    <t xml:space="preserve">ACCESO SUR LATERAL ESTE 4001. </t>
  </si>
  <si>
    <t xml:space="preserve">vbravo@cartellone.com.ar, josecalderon@empresastahan.com, </t>
  </si>
  <si>
    <t>201/2021</t>
  </si>
  <si>
    <t>G - 001375</t>
  </si>
  <si>
    <t>EX-2021-2807551-GDEMZA-DPA#SAYOT</t>
  </si>
  <si>
    <t>ZANDRI NELSON ESTEBAN</t>
  </si>
  <si>
    <t>20-16568137-2</t>
  </si>
  <si>
    <t xml:space="preserve">ECHEVERRIA 524. </t>
  </si>
  <si>
    <t>nelsonzandri16@gmail.com</t>
  </si>
  <si>
    <t>Y12,Y42,Y48</t>
  </si>
  <si>
    <t>209/2021</t>
  </si>
  <si>
    <t>G - 001376</t>
  </si>
  <si>
    <t>EX-2021-1670596-GDEMZA-SAYOT</t>
  </si>
  <si>
    <t>EDGARDO PEREZ S.A.</t>
  </si>
  <si>
    <t xml:space="preserve">33-71040932-9 </t>
  </si>
  <si>
    <t>Salta 1830</t>
  </si>
  <si>
    <t xml:space="preserve">Ruta 7 km 966 . </t>
  </si>
  <si>
    <t>Santa Rosa</t>
  </si>
  <si>
    <t>rmorales@edgardoperez.com.ar, sperez@edgardoperez.com.ar, carlosjbaggio@yahoo.com.ar</t>
  </si>
  <si>
    <t>4251912 - 2614540454</t>
  </si>
  <si>
    <t>518/2021</t>
  </si>
  <si>
    <t>G - 001377</t>
  </si>
  <si>
    <t>EX-2021-2807526-GDEMZA-DPA#SAYOT</t>
  </si>
  <si>
    <t>DELIBERTO Y CIA. S.A.</t>
  </si>
  <si>
    <t>30-71011652-7</t>
  </si>
  <si>
    <t xml:space="preserve">PUEYRREDÓN 416. </t>
  </si>
  <si>
    <t>flaviodeliberto@hotmail.com</t>
  </si>
  <si>
    <t>216/2021</t>
  </si>
  <si>
    <t>G - 001378</t>
  </si>
  <si>
    <t>EX-2021-2807517-GDEMZA-DPA#SAYOT</t>
  </si>
  <si>
    <t>COMBES COMBUSTIBLES SA</t>
  </si>
  <si>
    <t>30-70851007-2</t>
  </si>
  <si>
    <t xml:space="preserve">RUTA7 KM 971. </t>
  </si>
  <si>
    <t>enzogustavorodriguez2@gmail.com</t>
  </si>
  <si>
    <t>213/2021</t>
  </si>
  <si>
    <t>G - 001379</t>
  </si>
  <si>
    <t>EX-2021-02939391- -GDEMZA-DPA#SAYOT</t>
  </si>
  <si>
    <t>PROMOVIL S.A.</t>
  </si>
  <si>
    <t>30-70936485-1</t>
  </si>
  <si>
    <t>LAVALLE 605</t>
  </si>
  <si>
    <t>223/2021</t>
  </si>
  <si>
    <t>G - 001380</t>
  </si>
  <si>
    <t>EX-2021-02939406-GDEMZA-DPA#SAYOT</t>
  </si>
  <si>
    <t>BATERIAS MOURA DE ARGENTINA S.A.</t>
  </si>
  <si>
    <t>30-69132395-8</t>
  </si>
  <si>
    <t>INDEPENDENCIA 66</t>
  </si>
  <si>
    <t>SAN FRANCISCO DEL MONTE</t>
  </si>
  <si>
    <t>administracion@firstsafety.com.ar, diego.spitaleri@grupomoura.com</t>
  </si>
  <si>
    <t>2616773920 / 2614679194 / 4246344</t>
  </si>
  <si>
    <t>Y9,Y31,Y34,Y48</t>
  </si>
  <si>
    <t>214/2021</t>
  </si>
  <si>
    <t>G - 001381</t>
  </si>
  <si>
    <t>EX-2021-02971382-GDEMZA-DPA#SAYOT</t>
  </si>
  <si>
    <t>METALPLEG S.A.</t>
  </si>
  <si>
    <t>30-71003353-2</t>
  </si>
  <si>
    <t>MARTINEZ DE ROSAS 931</t>
  </si>
  <si>
    <t>metalplegmza@gmail.com, mariogreginato@gmail.com, pabloreginato88@gmail.com</t>
  </si>
  <si>
    <t>4399646 / 2616418183</t>
  </si>
  <si>
    <t>222/2021</t>
  </si>
  <si>
    <t>G - 001382</t>
  </si>
  <si>
    <t>EX-2021-03231696- -GDEMZA-DPA#SAYOT</t>
  </si>
  <si>
    <t>HATTRICK ENERGY SAS</t>
  </si>
  <si>
    <t>30-71585746-0</t>
  </si>
  <si>
    <t>AV. ESPAÑA 1485 6TO PISO A</t>
  </si>
  <si>
    <t>RUTA 40 S/N altura PROARPA</t>
  </si>
  <si>
    <t>dsantamarina@hattrickenergy.com, ricardofuentes2027@gmail.com</t>
  </si>
  <si>
    <t>1140887321 / 2615095511</t>
  </si>
  <si>
    <t>228/2021</t>
  </si>
  <si>
    <t>IF-2021-03234952-GDEMZA-DPA%SAYOT.p</t>
  </si>
  <si>
    <t>G - 001383</t>
  </si>
  <si>
    <t> EX-2021-03231687- -GDEMZA-DPA#SAYOT</t>
  </si>
  <si>
    <t>INDUSTRIAS JUAN F. SECCO S.A</t>
  </si>
  <si>
    <t>30-50159813-1</t>
  </si>
  <si>
    <t>YACIMIENTO VIZCACHERAS YPF SA (33°32'51.9"S 68°24'42.4"W)</t>
  </si>
  <si>
    <t>jcalvet@secco.com.ar, rlopez@secco.com.ar</t>
  </si>
  <si>
    <t>Y8,Y9,Y31,Y34,Y48</t>
  </si>
  <si>
    <t>227/2021</t>
  </si>
  <si>
    <t>IF-2021-03236169-GDEMZA-DPA%SAYOT.p</t>
  </si>
  <si>
    <t>G - 001384</t>
  </si>
  <si>
    <t>G - 001385</t>
  </si>
  <si>
    <t>EX-2021-07774610-   -GDEMZA-DPA#SAYOT</t>
  </si>
  <si>
    <t>HORMISERV SRL</t>
  </si>
  <si>
    <t xml:space="preserve">RUTA 40 KM 78. </t>
  </si>
  <si>
    <t>El Zampalito</t>
  </si>
  <si>
    <t xml:space="preserve">TUNUYAN </t>
  </si>
  <si>
    <t>67/2022</t>
  </si>
  <si>
    <t>G - 001386</t>
  </si>
  <si>
    <t> EX-2020-628434- -GDEMZA-DPA#SAYOT</t>
  </si>
  <si>
    <t>CMB BATERIAS S.R.L.</t>
  </si>
  <si>
    <t>30-71526485-0</t>
  </si>
  <si>
    <t xml:space="preserve">BANDERAS DE LOS ANDES 3924. </t>
  </si>
  <si>
    <t>GIUAYMALLEN</t>
  </si>
  <si>
    <t>Y27,Y31,Y34,Y48</t>
  </si>
  <si>
    <t>556/2021</t>
  </si>
  <si>
    <t>G - 001387</t>
  </si>
  <si>
    <t> EX-2021-6026453- -GDEMZA-DPA#SAYOT</t>
  </si>
  <si>
    <t>TELIFUR SOCIEDAD ANONIMA</t>
  </si>
  <si>
    <t>30-70946616-6</t>
  </si>
  <si>
    <t xml:space="preserve">RODRIGUEZ PEÑA 3000. </t>
  </si>
  <si>
    <t>avillalon3@hotmail.com, diegoescayol@hotmail.com, telifursa@gmail.com</t>
  </si>
  <si>
    <t>261-5787314 - 261-5911622</t>
  </si>
  <si>
    <t>708/2021</t>
  </si>
  <si>
    <t>G - 001388</t>
  </si>
  <si>
    <t> EX-2021-3371717- -GDEMZA-DPA#SAYOT</t>
  </si>
  <si>
    <t>LAGARDE S.A.</t>
  </si>
  <si>
    <t>33-56790571-9</t>
  </si>
  <si>
    <t>ELABORACIÓN Y FRACCIONAMIENTO DE VINO</t>
  </si>
  <si>
    <t>AV. SAN MARTÍN 1745.</t>
  </si>
  <si>
    <t xml:space="preserve">  LUJÁN DE CUYO</t>
  </si>
  <si>
    <t>yanimarin1984@hotmail.com, sebastian.barboza@lagarde.com.ar</t>
  </si>
  <si>
    <t>2616079181 / 2614980011</t>
  </si>
  <si>
    <t>300/2021</t>
  </si>
  <si>
    <t>G - 001390</t>
  </si>
  <si>
    <t>EX-2021-5089483-GDEMZA-DPA#SAYOT</t>
  </si>
  <si>
    <t>PIAZZA NAVONA S.A</t>
  </si>
  <si>
    <t>30-71660106-0</t>
  </si>
  <si>
    <t>ESTACION DE SERVICIO GNC</t>
  </si>
  <si>
    <t xml:space="preserve">EJERCITO DE LOS ANDES OESTE 226. </t>
  </si>
  <si>
    <t xml:space="preserve">SAN CARLOS </t>
  </si>
  <si>
    <t xml:space="preserve">RUTA NACIONAL Nº 40 Y RUTA PROVINCIAL Nº 88.  </t>
  </si>
  <si>
    <t>anticipar3@gmail.com, allgus02@outlook.es, piazzanavonasa@gmail.com</t>
  </si>
  <si>
    <t>2622470002 / 2613058503</t>
  </si>
  <si>
    <t>489/2021</t>
  </si>
  <si>
    <t>G - 001391</t>
  </si>
  <si>
    <t>EX-2021-5078987-   -GDEMZA-DPA#SAYOT</t>
  </si>
  <si>
    <t>FRAGAPANE DARIO (taller chpa y pintura)</t>
  </si>
  <si>
    <t xml:space="preserve">20-26366792-2 </t>
  </si>
  <si>
    <t>TALLER</t>
  </si>
  <si>
    <t>TALLER DE CHAPA Y PINTURA</t>
  </si>
  <si>
    <t xml:space="preserve">CERVANTES 1898 </t>
  </si>
  <si>
    <t xml:space="preserve">GODOY CRUZ </t>
  </si>
  <si>
    <t>dariofragapane@gmail.com</t>
  </si>
  <si>
    <t>504/2021</t>
  </si>
  <si>
    <t>G - 001392</t>
  </si>
  <si>
    <t>EX-2021-03764065-GDEMZA-DPA#SAYOT</t>
  </si>
  <si>
    <t>OBRA SOCIAL DE EMPLEADOS PUBLICOS (H.DEL CARMEN)</t>
  </si>
  <si>
    <t>Hospital, Clínicas, Sanatorios con internación</t>
  </si>
  <si>
    <t xml:space="preserve">JOAQUÍN V. GONZALEZ 245 </t>
  </si>
  <si>
    <t>daniel.quintana@osep.mendoza.gov.ar, silvia.santaella@osep.mendoza.gov.ar, daniel.marchena@osep.mendoza.gov.ar</t>
  </si>
  <si>
    <t>2615578165 - 2616414618</t>
  </si>
  <si>
    <t xml:space="preserve"> Y12-Y16-Y48</t>
  </si>
  <si>
    <t>344/2021</t>
  </si>
  <si>
    <t>G - 001393</t>
  </si>
  <si>
    <t>EX-2021-03812720-GDEMZA-DPA#SAYOT</t>
  </si>
  <si>
    <t>TASSAROLI S.A. – SANTA ROSA</t>
  </si>
  <si>
    <t>Fabricación de maquinaria para la explotación de minas y canteras y para obras de construcción</t>
  </si>
  <si>
    <t>MANUEL IGNACIO MOLINA 916</t>
  </si>
  <si>
    <t>GUYMALLEN</t>
  </si>
  <si>
    <t xml:space="preserve">Ruta Nacional N°7 y Viguet kilómetro 9680 </t>
  </si>
  <si>
    <t>354/2021</t>
  </si>
  <si>
    <t>G - 001394</t>
  </si>
  <si>
    <t>EX-2021-03558286-GDEMZA-DPA#SAYOT</t>
  </si>
  <si>
    <t>INSTITUTO NACIONAL DE TECNOLOGIA INDUSTRIAL CENTROS DE INVESTIGACION</t>
  </si>
  <si>
    <t>34-54668706-8</t>
  </si>
  <si>
    <t>INVESTIGACION Y DESARROLLO DE TECNOLOGIA Y PROCESOS INDUSTRIALES</t>
  </si>
  <si>
    <t>INVESTIGACION Y DESARROLLO DE TECNOLOGIA Y PROCESOS INDUSTRIALE</t>
  </si>
  <si>
    <t>ARAOZ 1511</t>
  </si>
  <si>
    <t>cespejo@inti.gob.ar, armandoabadie@inti.gob.ar</t>
  </si>
  <si>
    <t>2614960702 / 2634715680</t>
  </si>
  <si>
    <t>Y4,Y6,Y9,Y12,Y13,Y27,Y29,Y31,Y34,Y35,,Y48</t>
  </si>
  <si>
    <t>357/2021</t>
  </si>
  <si>
    <t>G - 001395</t>
  </si>
  <si>
    <t>EX-2021-01089423-GDEMZA-DPA#SAYOT</t>
  </si>
  <si>
    <t>MUNICIPALIDAD DE GODOY CRUZ</t>
  </si>
  <si>
    <t>30-99914691-7</t>
  </si>
  <si>
    <t>Organización gubernamental</t>
  </si>
  <si>
    <t xml:space="preserve">RIVADAVIA 448. </t>
  </si>
  <si>
    <t xml:space="preserve">SAN MARTÍN 1515. </t>
  </si>
  <si>
    <t>ambienteyenergiagc@gmail.com, federico@pithod.com.ar</t>
  </si>
  <si>
    <t>4225807 / 2614133014</t>
  </si>
  <si>
    <t>356/2021</t>
  </si>
  <si>
    <t>G - 001396</t>
  </si>
  <si>
    <t>EX-2021- 3558294-GDEMZA-DPA#SAYOT</t>
  </si>
  <si>
    <t>SANCHEZ NELIDA IRENE Y OTROS</t>
  </si>
  <si>
    <t>33-62284444-9</t>
  </si>
  <si>
    <t>Venta al por menor de combustibles líquidos y GNC</t>
  </si>
  <si>
    <t>RUTA PROVINCIAL 50 Y C.C. MONTECASEROS</t>
  </si>
  <si>
    <t>caia65@hotmail.com, ndgarro2004@gmail.com</t>
  </si>
  <si>
    <t>2614548545 / 2615687909</t>
  </si>
  <si>
    <t>397/2021</t>
  </si>
  <si>
    <t>G - 001397</t>
  </si>
  <si>
    <t>EX-2021-03991850-GDEMZA-DPA#SAYOT</t>
  </si>
  <si>
    <t>URZUA MAURICIO MAXIMILIANO.</t>
  </si>
  <si>
    <t>20-25356857-8</t>
  </si>
  <si>
    <t>taller de gnc</t>
  </si>
  <si>
    <t>ARMANI 1441</t>
  </si>
  <si>
    <t>jaquelinabofinger@hotmail.com</t>
  </si>
  <si>
    <t>2613610816 / 2615345462 / 2614286365</t>
  </si>
  <si>
    <t>396/2021</t>
  </si>
  <si>
    <t>G - 001398</t>
  </si>
  <si>
    <t>EX-2021-04000165-GDEMZA-DPA#SAYOT</t>
  </si>
  <si>
    <t>MUNICIPALIDAD DE GUAYMALLEN</t>
  </si>
  <si>
    <t>30-99914707-7</t>
  </si>
  <si>
    <t>LIBERTAD 720</t>
  </si>
  <si>
    <t>TROPERO SOSA 896</t>
  </si>
  <si>
    <t xml:space="preserve">gestionambiental.gllen@gmail.com, apoderado@guaymallen.gob.ar, </t>
  </si>
  <si>
    <t>2614184227 / 4498235 / 2614532489</t>
  </si>
  <si>
    <t>398/2021</t>
  </si>
  <si>
    <t>G - 001399</t>
  </si>
  <si>
    <t>EX-2021-04000303-GDEMZA-DPA#SAYOT</t>
  </si>
  <si>
    <t>STAITI GUSTAVO CESAR</t>
  </si>
  <si>
    <t>23-23387270-9</t>
  </si>
  <si>
    <t>RENATO DELLA SANTA 843</t>
  </si>
  <si>
    <t>VIILA HIPODROMO</t>
  </si>
  <si>
    <t>Armani 1448</t>
  </si>
  <si>
    <t>399/2021</t>
  </si>
  <si>
    <t>G - 001400</t>
  </si>
  <si>
    <t>EX-2021- 4000253-GDEMZA-DPA#SAYOT</t>
  </si>
  <si>
    <t>SCHLUMBERGER ARGENTINA S.A..</t>
  </si>
  <si>
    <t>30-52659878-0</t>
  </si>
  <si>
    <t>GRAL VILLEGAS OESTE 759</t>
  </si>
  <si>
    <t>rodostorelli@gmail.com, aluna19@slb.com</t>
  </si>
  <si>
    <t>3873660768, 02613372769</t>
  </si>
  <si>
    <t>390/2021</t>
  </si>
  <si>
    <t>G - 001401</t>
  </si>
  <si>
    <t xml:space="preserve"> EX-2021-04000216-GDEMZA-DPA#SAYOT</t>
  </si>
  <si>
    <t>TEKMAQ S.A</t>
  </si>
  <si>
    <t>30-71162472-0</t>
  </si>
  <si>
    <t>VENTA - REPARACIÓN DE MAQUINARIAS - METALÚRGICA - ENSAMBLE DE EQUIPOS PARA BODEGAS Y LA INDUSTRIA ALIMENTICIA - DEPÓSITO DE BARRICAS</t>
  </si>
  <si>
    <t>JUAN A. MAZA 1597</t>
  </si>
  <si>
    <t>ESPAÑA 3352</t>
  </si>
  <si>
    <t xml:space="preserve">info@tekmaq.com.ar, </t>
  </si>
  <si>
    <t>4811100 / 2612114661 / 2613 72-5518 /  2612 70-4051</t>
  </si>
  <si>
    <t>394/2021</t>
  </si>
  <si>
    <t>G - 001402</t>
  </si>
  <si>
    <t xml:space="preserve"> EX-2017-215787- -GDEMZA-DPA#SAYOT</t>
  </si>
  <si>
    <t>INC S.A. - Guaymallen</t>
  </si>
  <si>
    <t>SUPERMERCADO</t>
  </si>
  <si>
    <t>COMERCIO</t>
  </si>
  <si>
    <t xml:space="preserve">Lateral sur Acceso Este y Rondeau. </t>
  </si>
  <si>
    <t>osvaldo_derrigo@carrefour.com, gutisjd@gmail.com</t>
  </si>
  <si>
    <t xml:space="preserve">2615690461 - </t>
  </si>
  <si>
    <t>Y8,Y12,Y29,Y31,,Y48</t>
  </si>
  <si>
    <t>439/2021</t>
  </si>
  <si>
    <t>G - 001403</t>
  </si>
  <si>
    <t>EX-2021- 4294410-GDEMZA-DPA#SAYOT</t>
  </si>
  <si>
    <t>PIEDRABUENA, ARIEL ROMAN</t>
  </si>
  <si>
    <t>ventas de autopartes nuevas y usadas</t>
  </si>
  <si>
    <t>ADOLFO CALLE 105</t>
  </si>
  <si>
    <t xml:space="preserve">2617100722 / 2614537869 / </t>
  </si>
  <si>
    <t>417/2021</t>
  </si>
  <si>
    <t>G - 001404</t>
  </si>
  <si>
    <t>EX-2021- 4294420-GDEMZA-DPA#SAYOT</t>
  </si>
  <si>
    <t>FERNANDEZ MARIA GUADALUPE</t>
  </si>
  <si>
    <t>27-41113403-8</t>
  </si>
  <si>
    <t>Lubricentro y venta de repuestos</t>
  </si>
  <si>
    <t xml:space="preserve">C.C. MONTECASEROS Y RUTA 50 - KM 1039 - </t>
  </si>
  <si>
    <t>ortegamarioruben@gmail.com, mnr.guevara@gmail.com</t>
  </si>
  <si>
    <t>2634759065 / 2634502605</t>
  </si>
  <si>
    <t>G - 001405</t>
  </si>
  <si>
    <t>EX-2021- 04577322-GDEMZA-DPA#SAYOT</t>
  </si>
  <si>
    <t>RAEL SOCIEDAD ANONIMA</t>
  </si>
  <si>
    <t>30-71137643-3</t>
  </si>
  <si>
    <t>RECONSTRUCCION Y VENTAS DE NEUMATICOS</t>
  </si>
  <si>
    <t>CARRIL RODRIGUEZ PEÑA 5754</t>
  </si>
  <si>
    <t>yudica.neumaticos@raelmendoza.com.ar, ernestoaguero1@yahoo.com.ar</t>
  </si>
  <si>
    <t xml:space="preserve">2612377943 / 2614169151
</t>
  </si>
  <si>
    <t>Y13,Y48</t>
  </si>
  <si>
    <t>425/2021</t>
  </si>
  <si>
    <t>G - 001406</t>
  </si>
  <si>
    <t>EX-2021-04536234-GDEMZA-DPA#SAYOT</t>
  </si>
  <si>
    <t>RECOIL S.A.</t>
  </si>
  <si>
    <t>30-71677412-7</t>
  </si>
  <si>
    <t>RECOLECCIÓN, TRANSPORTE, TRATAMIENTO Y DISPOSICIÓN FINAL DE RESIDUOS PELIGROSOS</t>
  </si>
  <si>
    <t xml:space="preserve">CERRO SANTA ELENA S/N </t>
  </si>
  <si>
    <t>recoilsa2020@gmail.com, mcraia@gmail.com, ricardofuentes2027@gmail.com</t>
  </si>
  <si>
    <t xml:space="preserve">2615898699 / 2613 608416 / </t>
  </si>
  <si>
    <t>Y8,Y9,Y11,Y48</t>
  </si>
  <si>
    <t>415/2021</t>
  </si>
  <si>
    <t>G - 001407</t>
  </si>
  <si>
    <t>EX-2021- 4585640-GDEMZA-DPA#SAYOT</t>
  </si>
  <si>
    <t>ACONCAGUA ENERGIA SERVICIOS S A.</t>
  </si>
  <si>
    <t>30-71620690-0</t>
  </si>
  <si>
    <t>EXPLORACIÓN Y EXPLOTACIÓN DE HIDROCARBUROS</t>
  </si>
  <si>
    <t>PEDRO VARGAS 632</t>
  </si>
  <si>
    <t xml:space="preserve">RUTA 40 KM 52 </t>
  </si>
  <si>
    <t>ngorrono@aconcaguaenergia.com, arodriguez@rodriguezdeinhardt.com.ar, nancybarrera@biosconsultores.com.ar</t>
  </si>
  <si>
    <t>2614238060 / 261 4169170</t>
  </si>
  <si>
    <t>432/2021</t>
  </si>
  <si>
    <t>G - 001408</t>
  </si>
  <si>
    <t>EX-2021- 4590847-GDEMZA-DPA#SAYOT</t>
  </si>
  <si>
    <t>LA CASA DEL REY SA</t>
  </si>
  <si>
    <t>30-69472789-8</t>
  </si>
  <si>
    <t>CULTIVO DE VID, ELABORACIÓN DE MOSTO, ELABORACIÓN DE VINOS</t>
  </si>
  <si>
    <t>ALZAGA 3972</t>
  </si>
  <si>
    <t>vbravomellado@gmail.com, francisco@altavistawines.com</t>
  </si>
  <si>
    <t>4964684 / 2613601260 / 261 419 2222</t>
  </si>
  <si>
    <t>431/2021</t>
  </si>
  <si>
    <t>G - 001409</t>
  </si>
  <si>
    <t>EX-2021- 4714751-GDEMZA-DPA#SAYOT</t>
  </si>
  <si>
    <t>MECCHIA GLADYS LEONOR</t>
  </si>
  <si>
    <t>27-06415308-6</t>
  </si>
  <si>
    <t>REPARACIONES NO MECÁNICAS DE LANCHAS</t>
  </si>
  <si>
    <t xml:space="preserve">ELENA DE ROFFO 2669.  </t>
  </si>
  <si>
    <t>VILLA HIPÓDROMO.</t>
  </si>
  <si>
    <t>Vchamorro2017@gmail.com, Vchamorro2017@gmail.com, b.vera@avconsultora.com</t>
  </si>
  <si>
    <t>2615409971 / 261 5541242</t>
  </si>
  <si>
    <t>Y12,Y13,Y48</t>
  </si>
  <si>
    <t>457/2021</t>
  </si>
  <si>
    <t>G - 001410</t>
  </si>
  <si>
    <t>EX-2021-4749612-GDEMZA-DPA#SAYOT</t>
  </si>
  <si>
    <t>NIHUIL CONSTRUCCIONES S A</t>
  </si>
  <si>
    <t>30-70869302-9</t>
  </si>
  <si>
    <t>CONSTRUCCIÓN</t>
  </si>
  <si>
    <t>AV. EL LIBERTADOR 266</t>
  </si>
  <si>
    <t xml:space="preserve"> CIUDAD</t>
  </si>
  <si>
    <t>ALVAREZ CONDARCO 692.</t>
  </si>
  <si>
    <t>nihuil.construcciones@gmail.com, higiene.seguridad.sr@gmail.com</t>
  </si>
  <si>
    <t>2604687400 / 2604008487</t>
  </si>
  <si>
    <t>458/2021</t>
  </si>
  <si>
    <t>G - 001411</t>
  </si>
  <si>
    <t>EX-2021-808450-GDEMZA-DPA#SAYOT</t>
  </si>
  <si>
    <t>FORACO ARGENTINA S.A.</t>
  </si>
  <si>
    <t>33-70948752-9</t>
  </si>
  <si>
    <t>Mantenimiento de equipos de sondaje</t>
  </si>
  <si>
    <t xml:space="preserve">CARRIL RODRIGUEZ PEÑA 4581 </t>
  </si>
  <si>
    <t>juan.coronel@foraco.com, alejandro.beltran@foraco.com</t>
  </si>
  <si>
    <t>2616510086 - 2615320160</t>
  </si>
  <si>
    <t>Y8,Y9,Y12,Y31,Y48</t>
  </si>
  <si>
    <t>473/2021</t>
  </si>
  <si>
    <t>G - 001412</t>
  </si>
  <si>
    <t>EX-2021-4933712-GDEMZA-DPA#SAYOT</t>
  </si>
  <si>
    <t>APARO ORLANDO MAURICIO ARIEL</t>
  </si>
  <si>
    <t>20-25356714-8</t>
  </si>
  <si>
    <t>Alineación y balanceo</t>
  </si>
  <si>
    <t>ROBERTO M. ORTIZ 1737.</t>
  </si>
  <si>
    <t xml:space="preserve"> GODOY CRUZ</t>
  </si>
  <si>
    <t>BOULGNE SUR MER 1493.</t>
  </si>
  <si>
    <t xml:space="preserve">consulgreenmendoza@gmail.com, </t>
  </si>
  <si>
    <t>474/2021</t>
  </si>
  <si>
    <t>G - 001413</t>
  </si>
  <si>
    <t>EX-2021-5225754-GDEMZA-DPA#SAYOT</t>
  </si>
  <si>
    <t>LA CASA DEL REY S A (TUNUYÁN)</t>
  </si>
  <si>
    <t xml:space="preserve">ALZAGA 3972. </t>
  </si>
  <si>
    <t xml:space="preserve">CLODOMIRA SILVA S/N </t>
  </si>
  <si>
    <t xml:space="preserve">TUNUYÁN </t>
  </si>
  <si>
    <t>261 419 2222 / 4964684</t>
  </si>
  <si>
    <t>508/2021</t>
  </si>
  <si>
    <t>G - 001414</t>
  </si>
  <si>
    <t>EX-2021-5225708-GDEMZA-DPA#SAYOT</t>
  </si>
  <si>
    <t>HENISA SUDAMERICANA S A</t>
  </si>
  <si>
    <t>33-66821775-9</t>
  </si>
  <si>
    <t>CONSTRUCCIÓN DE OBRAS DE INGENIERÍA CIVIL N.C.P FABRICACIÓN DE CARPINTERÍA METÁLICA; FABRICACIÓN DE PREMOLDEADAS PARA LA CONSTRUCCIÓN</t>
  </si>
  <si>
    <t xml:space="preserve">Avda. Champagnat entre calles Dr. Emilio Coni y Dr. Posse . </t>
  </si>
  <si>
    <t>rvarela@henisa.com, henisa@henisa.com</t>
  </si>
  <si>
    <t>351156166326 / 54 (351) 484 2884</t>
  </si>
  <si>
    <t>506/2021</t>
  </si>
  <si>
    <t>G - 001415</t>
  </si>
  <si>
    <t>EX-2021-5175542-GDEMZA-DPA#SAYOT</t>
  </si>
  <si>
    <t>BATERIAS BORGIA SOCIEDAD ANONIMA</t>
  </si>
  <si>
    <t>30-71250073-1</t>
  </si>
  <si>
    <t xml:space="preserve"> VENTA AL POR MENOR DE BATERIAS  FUNDICION DE METALES NO FERROSOS</t>
  </si>
  <si>
    <t>JOSE VICENTE ZAPATA 2690</t>
  </si>
  <si>
    <t>LOTE "E" 4 PIM. DISTRITO INDUSTRIAL.</t>
  </si>
  <si>
    <t xml:space="preserve"> LUJÁN DE  CUYO</t>
  </si>
  <si>
    <t>pborgia@bateriasborgia.com, administraciosn@firstsafety.com.ar</t>
  </si>
  <si>
    <t>2615055691 / 2616773920</t>
  </si>
  <si>
    <t>507/2021</t>
  </si>
  <si>
    <t>G - 001416</t>
  </si>
  <si>
    <t>EX-2021-5432710-GDEMZA-DPA#SAYOT</t>
  </si>
  <si>
    <t>ARTIGAS CARLOS MARIA</t>
  </si>
  <si>
    <t xml:space="preserve">20-20631926-8 </t>
  </si>
  <si>
    <t xml:space="preserve">RUTA 40 KM 13. </t>
  </si>
  <si>
    <t>BORBOLLON</t>
  </si>
  <si>
    <t>estacion.artigas.mza@gmail.com</t>
  </si>
  <si>
    <t>583/2021</t>
  </si>
  <si>
    <t>G - 001417</t>
  </si>
  <si>
    <t>EX-2021-5436831-GDEMZA-DPA#SAYOT</t>
  </si>
  <si>
    <t>DIAZ MARIA CRISTINA GLADYS - PARQUE IND LAS HERAS</t>
  </si>
  <si>
    <t>FABRICA DE BATERIAS</t>
  </si>
  <si>
    <t>CORONEL MOLDES 1432</t>
  </si>
  <si>
    <t>SANTA RITA S/N, COSTADO NORTE PARQUE INDUSTRIAL</t>
  </si>
  <si>
    <t>EL RESGUARDO</t>
  </si>
  <si>
    <t xml:space="preserve">2616631257 / </t>
  </si>
  <si>
    <t>592/2021</t>
  </si>
  <si>
    <t>G - 001418</t>
  </si>
  <si>
    <t>EX-2021-5487537-GDEMZA-DPA#SAYOT</t>
  </si>
  <si>
    <t>LA RURAL VIÑEDOS Y BODEGAS S.A LTDA.</t>
  </si>
  <si>
    <t>30-52719611-2</t>
  </si>
  <si>
    <t xml:space="preserve">MONTECASEROS 2625. </t>
  </si>
  <si>
    <t>fdigiovambattista@rutiniwines.com, maguilar@mahs.com.ar</t>
  </si>
  <si>
    <t>2615634227 - 2612412377</t>
  </si>
  <si>
    <t>Y8,Y9,Y12,Y13,Y48</t>
  </si>
  <si>
    <t>580/2021</t>
  </si>
  <si>
    <t>G - 001419</t>
  </si>
  <si>
    <t>EX-2021-5642277-GDEMZA-DPA#SAYOT</t>
  </si>
  <si>
    <t>GONZALEZ NICOLAS MAXIMILIANO</t>
  </si>
  <si>
    <t>20-37137161-4</t>
  </si>
  <si>
    <t xml:space="preserve">CORRIENTES 984. </t>
  </si>
  <si>
    <t xml:space="preserve">PELLEGRINI 930 Dpto:1 </t>
  </si>
  <si>
    <t>gonzaleznicom@gmail.com</t>
  </si>
  <si>
    <t>563/2021</t>
  </si>
  <si>
    <t>G - 001420</t>
  </si>
  <si>
    <t>EX-2021-5682486-GDEMZA-DPA#SAYOT</t>
  </si>
  <si>
    <t>BODEGA ATAMISQUE SOCIEDAD ANONIMA</t>
  </si>
  <si>
    <t xml:space="preserve">30-70964181-2 </t>
  </si>
  <si>
    <t xml:space="preserve">Ruta Provincial 86 Kilometro 30. </t>
  </si>
  <si>
    <t>SAN JOSE</t>
  </si>
  <si>
    <t>yanimarin1984@hotmail.com, av@atamisque.com</t>
  </si>
  <si>
    <t>597/2021</t>
  </si>
  <si>
    <t>G - 001421</t>
  </si>
  <si>
    <t>EX-2021-5682483-GDEMZA-DPA#SAYOT</t>
  </si>
  <si>
    <t>VIÑA COBOS S.A.</t>
  </si>
  <si>
    <t xml:space="preserve">30-70728374-9 </t>
  </si>
  <si>
    <t>Costa Flores s/n y, RN7.</t>
  </si>
  <si>
    <t>yaelscuartini@vinacobos.com, josegimenez@vinacobos.com</t>
  </si>
  <si>
    <t>2604530619 - 2612396067</t>
  </si>
  <si>
    <t>635/2021</t>
  </si>
  <si>
    <t>G - 001422</t>
  </si>
  <si>
    <t>EX-2021-5682478-GDEMZA-DPA#SAYOT</t>
  </si>
  <si>
    <t>BODEGA ARGENTO SOCIEDAD ANONIMA</t>
  </si>
  <si>
    <t xml:space="preserve">Ruta Provincial 86 km11. </t>
  </si>
  <si>
    <t>andres.valero@grupoavinea.com, gchirino66@gmail.com, rafael.calderon@grupoavinea.com, marina.lopez@grupoavinea.com</t>
  </si>
  <si>
    <t>699/2021</t>
  </si>
  <si>
    <t>G - 001423</t>
  </si>
  <si>
    <t>EX-2021-5818752-GDEMZA-DPA#SAYOT</t>
  </si>
  <si>
    <t>RIVAS RODRIGO MARTIN</t>
  </si>
  <si>
    <t>20-28584860-2</t>
  </si>
  <si>
    <t xml:space="preserve">CALINGASTA 1321. BARRIO TRAPICHE. </t>
  </si>
  <si>
    <t xml:space="preserve">PASO DE LOS ANDES 2025. </t>
  </si>
  <si>
    <t>xr600motoquero@hotmail.com</t>
  </si>
  <si>
    <t>4282401 / 2612571872</t>
  </si>
  <si>
    <t>596/2021</t>
  </si>
  <si>
    <t>G - 001424</t>
  </si>
  <si>
    <t>EX-2021-5828379-GDEMZA-DPA#SAYOT</t>
  </si>
  <si>
    <t>S.D.A. SA</t>
  </si>
  <si>
    <t>30-70946172-5</t>
  </si>
  <si>
    <t>VENTA DE COMBUSTIBLES GASEOSOS (GNC)</t>
  </si>
  <si>
    <t>QUITO 7628.</t>
  </si>
  <si>
    <t>LA PUNTILLA</t>
  </si>
  <si>
    <t xml:space="preserve">SAN MARTIN 1881. </t>
  </si>
  <si>
    <t xml:space="preserve"> sdasa.adm@gmail.com, emilambertucci@hotmail.com</t>
  </si>
  <si>
    <t xml:space="preserve">2615081398 / 2615273461 
</t>
  </si>
  <si>
    <t>590/2021</t>
  </si>
  <si>
    <t>G - 001425</t>
  </si>
  <si>
    <t>EX-2021-5873921-GDEMZA-DPA#SAYOT</t>
  </si>
  <si>
    <t>NOVIGGO S.A.</t>
  </si>
  <si>
    <t>30-71431586-9</t>
  </si>
  <si>
    <t>SAN ISIDRO NORTE Nº 1105</t>
  </si>
  <si>
    <t xml:space="preserve">SAN ISIDRO NORTE Nº 1105. </t>
  </si>
  <si>
    <t>noviggosa@gmail.com</t>
  </si>
  <si>
    <t>654/2021</t>
  </si>
  <si>
    <t>G - 001426</t>
  </si>
  <si>
    <t>EX-2021-6026463-GDEMZA-DPA#SAYOT</t>
  </si>
  <si>
    <t>AMEGA S.A.</t>
  </si>
  <si>
    <t xml:space="preserve">30-70853034-0 </t>
  </si>
  <si>
    <t xml:space="preserve">SARMIENTO Y BELISARIO GIL. </t>
  </si>
  <si>
    <t>SARMIENTO Y BELISARIO GIL. 325</t>
  </si>
  <si>
    <t>amega.sa17@gmail.com, hugo.baldin@gmail.com</t>
  </si>
  <si>
    <t>683/2021</t>
  </si>
  <si>
    <t>G - 001427</t>
  </si>
  <si>
    <t>EX-2021-6026435-GDEMZA-DPA#SAYOT</t>
  </si>
  <si>
    <t>CHEDIACK-CEOSA-OBRA RN 40 PLUMERILLO-UT</t>
  </si>
  <si>
    <t>30-71598713-5</t>
  </si>
  <si>
    <t>Construccion, reforma y reparacion de obras de infraestructurapara el transporte</t>
  </si>
  <si>
    <t>EMP CONSTRUCTORA</t>
  </si>
  <si>
    <t>Patricias Mendocinas 617 4° piso of 4</t>
  </si>
  <si>
    <t>calle 12 s/n MR - Parque Industrial Mendoza Norte</t>
  </si>
  <si>
    <t>martin.salvo@chediack.com.ar, rubenrijavec@gmail.com, fernando.lisazo@chediack.com.ar</t>
  </si>
  <si>
    <t>01150378076 / 02614161994</t>
  </si>
  <si>
    <t>674/2021</t>
  </si>
  <si>
    <t>G - 001429</t>
  </si>
  <si>
    <t>EX-2021-6202780-GDEMZA-DPA#SAYOT</t>
  </si>
  <si>
    <t>KM. 1107 S.A.</t>
  </si>
  <si>
    <t xml:space="preserve">EESS </t>
  </si>
  <si>
    <t>ESPEJO 156</t>
  </si>
  <si>
    <t>RUTA NAC. Nº 7 KM 1151</t>
  </si>
  <si>
    <t>USPALLATA</t>
  </si>
  <si>
    <t>2615348216 / 261 6244666 0 261 4213921</t>
  </si>
  <si>
    <t>72/2022</t>
  </si>
  <si>
    <t>G - 001430</t>
  </si>
  <si>
    <t>EX-2021-6071581-GDEMZA-DPA#SAYOT</t>
  </si>
  <si>
    <t>CASTRO RAMOS LAURA VERONICA</t>
  </si>
  <si>
    <t>27-24012849-2</t>
  </si>
  <si>
    <t xml:space="preserve">BARRIO EL CASCO B 20. </t>
  </si>
  <si>
    <t>LUJN DE CUYO</t>
  </si>
  <si>
    <t xml:space="preserve">BALCARSE 497. </t>
  </si>
  <si>
    <t>lic.verdaguer@hotmail.com, manuverdaguer@gmail.com</t>
  </si>
  <si>
    <t xml:space="preserve">2613050927 / </t>
  </si>
  <si>
    <t>680/2021</t>
  </si>
  <si>
    <t>G - 001431</t>
  </si>
  <si>
    <t>EX-2021-6078074-GDEMZA-DPA#SAYOT</t>
  </si>
  <si>
    <t>CAMILETTI S.A.</t>
  </si>
  <si>
    <t>30-61309111-0</t>
  </si>
  <si>
    <t>CONSTRUCCION</t>
  </si>
  <si>
    <t xml:space="preserve">SAN JUAN BOSCO 81, </t>
  </si>
  <si>
    <t xml:space="preserve">SAN RAFAEL </t>
  </si>
  <si>
    <t>navarrete@camilettisa.com, higiene.seguridad.sr@gmail.com</t>
  </si>
  <si>
    <t>26044429000 / 2604580761 / 2604624337</t>
  </si>
  <si>
    <t>681/2021</t>
  </si>
  <si>
    <t>G - 001432</t>
  </si>
  <si>
    <t>EX-2021-6110749-GDEMZA-DPA#SAYOT</t>
  </si>
  <si>
    <t>MYG S R L</t>
  </si>
  <si>
    <t xml:space="preserve">30-70744206-5 </t>
  </si>
  <si>
    <t xml:space="preserve">Rufino Ortega 1209 </t>
  </si>
  <si>
    <t>frubio@mygsrlservicios.com.ar, jbarro@mygsrlservicios.com.ar, cmartinez@mygsrlservicios.com.ar</t>
  </si>
  <si>
    <t>2604470385 / 02604679725 / 02604409346</t>
  </si>
  <si>
    <t>697/2021</t>
  </si>
  <si>
    <t>G - 001433</t>
  </si>
  <si>
    <t>EX-2021-6240848-GDEMZA-DPA#SAYOT</t>
  </si>
  <si>
    <t>OIL DASSA SA</t>
  </si>
  <si>
    <t>30-71154906-0</t>
  </si>
  <si>
    <t>BRANDSEN 8400</t>
  </si>
  <si>
    <t>gaston.torrico@oildassa.com, dassaservicios@oildassa.com</t>
  </si>
  <si>
    <t>698/2021</t>
  </si>
  <si>
    <t>G - 001434</t>
  </si>
  <si>
    <t>EX-2024-08567464-   -GDEMZA-DPA#SAYOT - TC - EX-2021-6598877-GDEMZA-DPA#SAYOT</t>
  </si>
  <si>
    <t>GYG OIL SERVICE SRL</t>
  </si>
  <si>
    <t>30-71029033-0</t>
  </si>
  <si>
    <t>EXTRACCIÓN DE PETROLEO CRUDO</t>
  </si>
  <si>
    <t>RUTA NACIONAL 144 650</t>
  </si>
  <si>
    <t>CUADRO BENEGAS</t>
  </si>
  <si>
    <t xml:space="preserve">RUTA PROVINCIAL N°220 </t>
  </si>
  <si>
    <t>EL SOSNEADO</t>
  </si>
  <si>
    <t>vlstokic@gmail.com, administracion@gygoilservice.com</t>
  </si>
  <si>
    <t>2614201492 / 261 5090682</t>
  </si>
  <si>
    <t>Y8-Y9-Y18-Y488</t>
  </si>
  <si>
    <t>726/2021</t>
  </si>
  <si>
    <t>G - 001435</t>
  </si>
  <si>
    <t>EX-2021-6598841-GDEMZA-DPA#SAYOT</t>
  </si>
  <si>
    <t>EDGARDO PEREZ - SANTA ROSA</t>
  </si>
  <si>
    <t>33-71040932-9</t>
  </si>
  <si>
    <t>VENTA AL POR MENOR DE COMBUSTIBLE GNC</t>
  </si>
  <si>
    <t>SALTA 1830</t>
  </si>
  <si>
    <t>RUTA 7 ESQ. SUARES 9680</t>
  </si>
  <si>
    <t>rmorales@edgardoperez.com.ar, carlojbaggio@yahoo.com.ar</t>
  </si>
  <si>
    <t>4251912 / 2616848521 / 261-5733244 / 261-5691415</t>
  </si>
  <si>
    <t>Y8-Y9-Y18</t>
  </si>
  <si>
    <t>53/2022</t>
  </si>
  <si>
    <t>G - 001436</t>
  </si>
  <si>
    <t>EX-2021-6598808-GDEMZA-DPA#SAYOT</t>
  </si>
  <si>
    <t>BODEGA VISTALBA FINCA VISTALBA</t>
  </si>
  <si>
    <t>Produccion de vino - Bodega</t>
  </si>
  <si>
    <t>ROQUE SAENZ PEÑA 3531</t>
  </si>
  <si>
    <t>2614989400 / 2613536151 / 2614853669</t>
  </si>
  <si>
    <t>Y8-Y9-Y12-Y41-Y48</t>
  </si>
  <si>
    <t>730/2021</t>
  </si>
  <si>
    <t>G - 001437</t>
  </si>
  <si>
    <t>EX-2021-6598701-GDEMZA-DPA#SAYOT</t>
  </si>
  <si>
    <t>INDUSTRIAS METALMECANICAS ESPECIALES SACI.</t>
  </si>
  <si>
    <t>INDEPENDENCIA 504</t>
  </si>
  <si>
    <t>vesnal@imesaci.com.ar, azakalik@imesaci.com.ar</t>
  </si>
  <si>
    <t>614316032 / 2613268031</t>
  </si>
  <si>
    <t>91/2022</t>
  </si>
  <si>
    <t>G - 001438</t>
  </si>
  <si>
    <t>EX-2021-6598733-GDEMZA-DPA#SAYOT</t>
  </si>
  <si>
    <t>RPB S.A. - BODEGA VIEJO VIÑEDO</t>
  </si>
  <si>
    <t>ALIMENTICIA -BODEGA</t>
  </si>
  <si>
    <t>VARIANTE RUTA 50 Y CHIMBAS</t>
  </si>
  <si>
    <t>PALMIRA</t>
  </si>
  <si>
    <t>CARRIL RODRIGUEZ PEÑA 10</t>
  </si>
  <si>
    <t>jmarganaraz@baggio.com.ar, carlos.delgado@baggio.com.ar</t>
  </si>
  <si>
    <t xml:space="preserve">4819300 / 2613447737 / 2616977922 / </t>
  </si>
  <si>
    <t>722/2021</t>
  </si>
  <si>
    <t>G - 001440</t>
  </si>
  <si>
    <t>EX-2021-6745140-GDEMZA-DPA#SAYOT</t>
  </si>
  <si>
    <t>FUERZA AEREA ARGENTINA</t>
  </si>
  <si>
    <t>33-62830272-9</t>
  </si>
  <si>
    <t>seguridad y defensa</t>
  </si>
  <si>
    <t xml:space="preserve">AV. FUERZA AÉREA KM 7,5 </t>
  </si>
  <si>
    <t>EL PLUMERILLO</t>
  </si>
  <si>
    <t>prevac_4brig@faa.mil.ar, hdneira@faa.mil.ar</t>
  </si>
  <si>
    <t>4410900 / 2615070730 / 2657506936</t>
  </si>
  <si>
    <t>Y8-Y9-Y13-Y14-Y48</t>
  </si>
  <si>
    <t>757/2022</t>
  </si>
  <si>
    <t>G - 001441</t>
  </si>
  <si>
    <t>EX-2021-6745094-GDEMZA-DPA#SAYOT</t>
  </si>
  <si>
    <t>HI TECH FACTORY S.A..</t>
  </si>
  <si>
    <t>30-71237310-1</t>
  </si>
  <si>
    <t>Reciclado de Lamparas Fluorescente</t>
  </si>
  <si>
    <t>Pergamino sn</t>
  </si>
  <si>
    <t>LOS BARRIALES</t>
  </si>
  <si>
    <t>nicolas.stoessel@hi-techfactory.com.ar, Licduiliohodar@gmail.com</t>
  </si>
  <si>
    <t xml:space="preserve">011-46743494 / 2634 36-3047 / </t>
  </si>
  <si>
    <t>Y29</t>
  </si>
  <si>
    <t>729/2021</t>
  </si>
  <si>
    <t>G - 001442</t>
  </si>
  <si>
    <t>EX-2021-7192667-GDEMZA-DPA#SAYOT</t>
  </si>
  <si>
    <t>PAOLINI HNOS S.A.</t>
  </si>
  <si>
    <t>30-50509809-5</t>
  </si>
  <si>
    <t>CALLE PUEYRREDON ESQUINA RUTA PROVINCIAL 82 (PANAMERICANA KM14)</t>
  </si>
  <si>
    <t>CHCRAS DE CORIA</t>
  </si>
  <si>
    <t>vgassibe@paolini.com.ar, gvaldivieso@paolini.com.ar</t>
  </si>
  <si>
    <t>2616521351 / 2615430436</t>
  </si>
  <si>
    <t>23/2022</t>
  </si>
  <si>
    <t>G - 001443</t>
  </si>
  <si>
    <t>EX-2021-6299836-GDEMZA-DPA#SAYOT</t>
  </si>
  <si>
    <t>MENDOZA FUNDACIONAL S.A.</t>
  </si>
  <si>
    <t>ESTACION DE SERVICIOS LIQUIDOS (DIESEL)</t>
  </si>
  <si>
    <t>BELTRAN 634</t>
  </si>
  <si>
    <t>AVDA DE ACCESO ESTE Y COSTANERA 1</t>
  </si>
  <si>
    <t xml:space="preserve">anticipar3@gmail.com, mendozafundacionalsa@hotmail.com, </t>
  </si>
  <si>
    <t>2614340202 / 2613058503</t>
  </si>
  <si>
    <t>57/2022</t>
  </si>
  <si>
    <t>G - 001444</t>
  </si>
  <si>
    <t>EX-2021-7235537-GDEMZA-DPA#SAYOT</t>
  </si>
  <si>
    <t>MUNICIPALIDAD LUJAN DE CUYO</t>
  </si>
  <si>
    <t>30-99908760-0</t>
  </si>
  <si>
    <t>MUNICIPIO</t>
  </si>
  <si>
    <t>BOEDO 505</t>
  </si>
  <si>
    <t>CARRODILLA</t>
  </si>
  <si>
    <t>gestionambiental.lujan@gmail.com, miguelrissopatron@gmail.com</t>
  </si>
  <si>
    <t>4989919 / 2615928662</t>
  </si>
  <si>
    <t>824/2021</t>
  </si>
  <si>
    <t>G - 001445</t>
  </si>
  <si>
    <t>EX-2021-7236277-GDEMZA-DPA#SAYOT</t>
  </si>
  <si>
    <t>VALLE AGRICOLA S.A.</t>
  </si>
  <si>
    <t>30-71004670-7</t>
  </si>
  <si>
    <t>ESTACIÓN DE SERVICIO DUAL (LIQUIDO/GNC)</t>
  </si>
  <si>
    <t xml:space="preserve">SAN MARTIN S/N </t>
  </si>
  <si>
    <t>VISTA FLORES</t>
  </si>
  <si>
    <t>valleagricolaadm@hotmail.com, matiascoletto@yahoo.com.ar</t>
  </si>
  <si>
    <t>2622310551 / 2613832253</t>
  </si>
  <si>
    <t>71/2022</t>
  </si>
  <si>
    <t>G - 001446</t>
  </si>
  <si>
    <t>EX-2021-7289062-GDEMZA-DPA#SAYOT</t>
  </si>
  <si>
    <t>RPB SA - SAN MARTIN</t>
  </si>
  <si>
    <t xml:space="preserve"> 30-66313737-5 </t>
  </si>
  <si>
    <t>ALIMENTICIA</t>
  </si>
  <si>
    <t>CARRIL CHIVILCOY Y ROBERT</t>
  </si>
  <si>
    <t>EL RAMBLON</t>
  </si>
  <si>
    <t>4819300 / 2613447737 / 2616977922</t>
  </si>
  <si>
    <t>Y8-Y9-12-Y27-Y30-Y48</t>
  </si>
  <si>
    <t>54/2022</t>
  </si>
  <si>
    <t>G - 001447</t>
  </si>
  <si>
    <t>EX-2021-7324946-GDEMZA-DPA#SAYOT</t>
  </si>
  <si>
    <t>AZULES SOCIEDAD ANONIMA</t>
  </si>
  <si>
    <t xml:space="preserve">GODOY CRUZ 6596. </t>
  </si>
  <si>
    <t>33/2022</t>
  </si>
  <si>
    <t>G - 001448</t>
  </si>
  <si>
    <t>EX-2021-7324997-GDEMZA-DPA#SAYOT</t>
  </si>
  <si>
    <t>ARCOR S A I C. FINCA EL PARAISO</t>
  </si>
  <si>
    <t xml:space="preserve">MITRE 1925. </t>
  </si>
  <si>
    <t xml:space="preserve">Veliz y Burruchaga. </t>
  </si>
  <si>
    <t>amcampos@arcor.com</t>
  </si>
  <si>
    <t>49/2022</t>
  </si>
  <si>
    <t>G - 001449</t>
  </si>
  <si>
    <t>EX-2021-7325324-GDEMZA-DPA#SAYOT</t>
  </si>
  <si>
    <t>ARCOR S A I C. FINCA NUEVA AURORA</t>
  </si>
  <si>
    <t>La Colonia s/n</t>
  </si>
  <si>
    <t>46/2022</t>
  </si>
  <si>
    <t>G - 001450</t>
  </si>
  <si>
    <t>EX-2021-7351849-GDEMZA-DPA#SAYOT</t>
  </si>
  <si>
    <t>ARCOR S A I C. FINCA EL PORVENIR</t>
  </si>
  <si>
    <t xml:space="preserve">Benigno Aguirre. </t>
  </si>
  <si>
    <t>61/2022</t>
  </si>
  <si>
    <t>G - 001451</t>
  </si>
  <si>
    <t>EX-2021-7351897-GDEMZA-DPA#SAYOT</t>
  </si>
  <si>
    <t>ARCOR S A I C. FINCA EL DESAFIO</t>
  </si>
  <si>
    <t xml:space="preserve">Ruta 99. </t>
  </si>
  <si>
    <t>73/2022</t>
  </si>
  <si>
    <t>G - 001452</t>
  </si>
  <si>
    <t>EX-2021-7379425-GDEMZA-DPA#SAYOT</t>
  </si>
  <si>
    <t>BASILE MARTIN LEONARDO</t>
  </si>
  <si>
    <t>20-29375578-8</t>
  </si>
  <si>
    <t xml:space="preserve">san martín y ruta 20. LOS ALAMOS. </t>
  </si>
  <si>
    <t>FRAY LUIS BELTRAN</t>
  </si>
  <si>
    <t>natalie01@hotmail.com, carlosjbaggio@yahoo.com.ar, mbasile.serviagro@yahoo.com.ar</t>
  </si>
  <si>
    <t>2613077093 - 2615691415</t>
  </si>
  <si>
    <t>29/2022</t>
  </si>
  <si>
    <t>G - 001453</t>
  </si>
  <si>
    <t>EX-2021-7427141-GDEMZA-DPA#SAYOT</t>
  </si>
  <si>
    <t>MKT INVERSIONES SOCIEDAD ANONIMA</t>
  </si>
  <si>
    <t>30-71153166-8</t>
  </si>
  <si>
    <t xml:space="preserve">LOS FRANCESES 240. </t>
  </si>
  <si>
    <t>carolina.mktinversiones@gmail.com</t>
  </si>
  <si>
    <t>50/2022</t>
  </si>
  <si>
    <t>G - 001454</t>
  </si>
  <si>
    <t>EX-2021-7427112-GDEMZA-DPA#SAYOT</t>
  </si>
  <si>
    <t>SEGURA LUIS ANGEL</t>
  </si>
  <si>
    <t>20-16767782-8</t>
  </si>
  <si>
    <t xml:space="preserve">RUTA 92 Y QUINTANA. </t>
  </si>
  <si>
    <t>COLONIA LAS ROSAS</t>
  </si>
  <si>
    <t>sys_servicios@hotmail.com, diegocasado10.dc@gmail.com</t>
  </si>
  <si>
    <t>28/2022</t>
  </si>
  <si>
    <t>G - 001455</t>
  </si>
  <si>
    <t>EX-2021-7468650-GDEMZA-DPA#SAYOT</t>
  </si>
  <si>
    <t>ASPRO MZA. SA - LUJAN DE CUYO</t>
  </si>
  <si>
    <t>30-70820194-0</t>
  </si>
  <si>
    <t xml:space="preserve">ACCESO SUR 8021. </t>
  </si>
  <si>
    <t>44/2022</t>
  </si>
  <si>
    <t>G - 001456</t>
  </si>
  <si>
    <t>EX-2021-7468613-GDEMZA-DPA#SAYOT</t>
  </si>
  <si>
    <t>USPES S.A.S.</t>
  </si>
  <si>
    <t>30-71683741-2</t>
  </si>
  <si>
    <t xml:space="preserve">RUTA 7 KM 1145. </t>
  </si>
  <si>
    <t>luisrobertoromano@hotmail.com</t>
  </si>
  <si>
    <t>65/2022</t>
  </si>
  <si>
    <t>G - 001457</t>
  </si>
  <si>
    <t>EX-2021-7516506-GDEMZA-DPA#SAYOT</t>
  </si>
  <si>
    <t>EL SIETE S.A.</t>
  </si>
  <si>
    <t>30-71549913-0</t>
  </si>
  <si>
    <t xml:space="preserve">CARRIL FLORIDA S/N. ESQUINA MALVINAS ARGENTINAS </t>
  </si>
  <si>
    <t>hamusri@gmail.com, carlosjbaggio@yahoo.com.ar</t>
  </si>
  <si>
    <t>60/2022</t>
  </si>
  <si>
    <t>G - 001458</t>
  </si>
  <si>
    <t>EX-2021-7580075-GDEMZA-DPA#SAYOT</t>
  </si>
  <si>
    <t>PETROMAC S R L</t>
  </si>
  <si>
    <t>30-70935414-7</t>
  </si>
  <si>
    <t>Metalmecánica</t>
  </si>
  <si>
    <t>BELGRANO 1993 - Lote 60</t>
  </si>
  <si>
    <t>silvio.beron@gmail.com, danielmassolin@huincan.com.ar</t>
  </si>
  <si>
    <t>2616530272 - 2614192455</t>
  </si>
  <si>
    <t>26/2022</t>
  </si>
  <si>
    <t>G - 001459</t>
  </si>
  <si>
    <t>EX-2021-7615776-GDEMZA-DPA#SAYOT</t>
  </si>
  <si>
    <t>METANGAS SA</t>
  </si>
  <si>
    <t>30-70815590-6</t>
  </si>
  <si>
    <t>BOULOGNE SUR MER 1789</t>
  </si>
  <si>
    <t>metangasgnc@gmail.com, matiascoletto@yahoo.com.ar</t>
  </si>
  <si>
    <t>4274481 / 2613832253</t>
  </si>
  <si>
    <t>27/2022</t>
  </si>
  <si>
    <t>G - 001460</t>
  </si>
  <si>
    <t>EX-2021-7642996-GDEMZA-DPA#SAYOT</t>
  </si>
  <si>
    <t>FLAMARIQUE GUILLERMO DANIEL</t>
  </si>
  <si>
    <t>20-10350534-9</t>
  </si>
  <si>
    <t>Venta al por menor de combustible para vehículos automotores</t>
  </si>
  <si>
    <t>AVENIDA COLÓN 194.</t>
  </si>
  <si>
    <t>gflamarique@guillermoflamarique.com.ar, ricardofuentes2027@gmail.com, administracion@guillermoflamarique.com.ar</t>
  </si>
  <si>
    <t>4292806 / 2615095511</t>
  </si>
  <si>
    <t>63/2022</t>
  </si>
  <si>
    <t>G - 001461</t>
  </si>
  <si>
    <t>EX-2021-7644338-GDEMZA-DPA#SAYOT</t>
  </si>
  <si>
    <t>CETANO ARGENTINA SOCIEDAD ANONIMA</t>
  </si>
  <si>
    <t>30-71561554-8</t>
  </si>
  <si>
    <t>RUTA 7 KM 984</t>
  </si>
  <si>
    <t>ALTO VERDE</t>
  </si>
  <si>
    <t>mgechegaray@hotmail.com</t>
  </si>
  <si>
    <t>62/2022</t>
  </si>
  <si>
    <t>G - 001462</t>
  </si>
  <si>
    <t>EX-2021-7686685-GDEMZA-DPA#SAYOT</t>
  </si>
  <si>
    <t>MENDOGLASS S A</t>
  </si>
  <si>
    <t>30-61192337-2</t>
  </si>
  <si>
    <t>PROCESO DE VIDRIO PLANO, VENTA Y COLOCACION DE CARPINTERIA DE ALUMINIO Y VIDRIO</t>
  </si>
  <si>
    <t xml:space="preserve">Calle 5 </t>
  </si>
  <si>
    <t>PARQUE INDUSTRIAL</t>
  </si>
  <si>
    <t>administracion@mendoglass.com, carina.gomez@mendoglass.com, alejandrodellinnocenti@yahoo.com.ar</t>
  </si>
  <si>
    <t>48/2022</t>
  </si>
  <si>
    <t>G - 001463</t>
  </si>
  <si>
    <t>EX-2021-6630536-GDEMZA-DPA#SAYOT</t>
  </si>
  <si>
    <t>PRODUMEN S.A.</t>
  </si>
  <si>
    <t>30-70934652-7</t>
  </si>
  <si>
    <t>BARANDICA 10</t>
  </si>
  <si>
    <t>abandiera@lafarruca.com.ar,  jsoria@lafarruca.com.ar</t>
  </si>
  <si>
    <t>58/2022</t>
  </si>
  <si>
    <t>G - 001464</t>
  </si>
  <si>
    <t>EX-2021-7727493-GDEMZA-DPA#SAYOT</t>
  </si>
  <si>
    <t>NIEVA LUIS DAMIAN</t>
  </si>
  <si>
    <t>20-33517495-0</t>
  </si>
  <si>
    <t>LAVADERO, TALLER CHAPA Y PINTURA</t>
  </si>
  <si>
    <t xml:space="preserve">ARIZU 597 - ENTRE LAS CALLES : ARIZU. BARRIO BOMBAL SUD. </t>
  </si>
  <si>
    <t>juanmanuelnieva744@gmail.com</t>
  </si>
  <si>
    <t>124/2022</t>
  </si>
  <si>
    <t>G - 001465</t>
  </si>
  <si>
    <t>EX-2021-7733823-GDEMZA-DPA#SAYOT</t>
  </si>
  <si>
    <t>VALENCIA &amp; CUYO S.A.</t>
  </si>
  <si>
    <t>30-70894189-8</t>
  </si>
  <si>
    <t>VENTA AL POR MENOR DE COMBUSTIBLE PARA VEHÍCULOS.</t>
  </si>
  <si>
    <t>Esquina Acceso Este y Juan Isidro Maza</t>
  </si>
  <si>
    <t>moralesariel02@gmail.com, laposta.maxi@gmail.com, lapostagnc@gmail.com</t>
  </si>
  <si>
    <t>47/2022</t>
  </si>
  <si>
    <t>G - 001466</t>
  </si>
  <si>
    <t>EX-2021-7923717-GDEMZA-DPA#SAYOT</t>
  </si>
  <si>
    <t>LIBERTADOR SOCIEDAD ANONIMA</t>
  </si>
  <si>
    <t>30-69473270-0</t>
  </si>
  <si>
    <t>Estacion de GNC</t>
  </si>
  <si>
    <t xml:space="preserve">PERU 2822 . SECCIÓN SEXTA. </t>
  </si>
  <si>
    <t>anticipar3@gmail.com, libertadorsa@hotmail.com</t>
  </si>
  <si>
    <t>2614307126 / 2613058503</t>
  </si>
  <si>
    <t>55/2022</t>
  </si>
  <si>
    <t>G - 001467</t>
  </si>
  <si>
    <t>EX-2021-7923847-GDEMZA-DPA#SAYOT</t>
  </si>
  <si>
    <t>FINCA LA PRUDENCIA S.R.L.</t>
  </si>
  <si>
    <t>30-71423292-0</t>
  </si>
  <si>
    <t xml:space="preserve">IRRAZABAL S/N.  </t>
  </si>
  <si>
    <t xml:space="preserve">ALTO VERDE </t>
  </si>
  <si>
    <t xml:space="preserve">IRRAZABAL S/N. </t>
  </si>
  <si>
    <t>consultingsafework2021@gmail.com</t>
  </si>
  <si>
    <t>56/2022</t>
  </si>
  <si>
    <t>G - 001468</t>
  </si>
  <si>
    <t>EX-2021-8160818-GDEMZA-DPA#SAYOT</t>
  </si>
  <si>
    <t>STORNINI SA</t>
  </si>
  <si>
    <t>30-70742488-1</t>
  </si>
  <si>
    <t xml:space="preserve">LUIS PASTEUR 56 PISO:PB. </t>
  </si>
  <si>
    <t xml:space="preserve">Lateral Oeste Acceso Sur 2200. </t>
  </si>
  <si>
    <t>danieldebandi@gmail.com, fstornini@stornini.com.ar</t>
  </si>
  <si>
    <t>4244262 / 2612180415</t>
  </si>
  <si>
    <t>89/2022</t>
  </si>
  <si>
    <t>G - 001469</t>
  </si>
  <si>
    <t>EX-2022-02549382-GDEMZA-DPA#SAYOT</t>
  </si>
  <si>
    <t>ALLEX S.A.</t>
  </si>
  <si>
    <t>30-64025193-6</t>
  </si>
  <si>
    <t>GOMERIA- TALLER</t>
  </si>
  <si>
    <t>RODRIGUEZ PEÑA 1948</t>
  </si>
  <si>
    <t>proveedores@neumaventro.com, vallee@neumacentro.com, ingpablodanitz@yahoo.com.ar</t>
  </si>
  <si>
    <t>2614533316 / 4932555</t>
  </si>
  <si>
    <t>214/2022</t>
  </si>
  <si>
    <t>G - 001471</t>
  </si>
  <si>
    <t>EX-2021-8433761-GDEMZA-DPA#SAYOT</t>
  </si>
  <si>
    <t>DALVIAN S A</t>
  </si>
  <si>
    <t>30-54733781-2</t>
  </si>
  <si>
    <t>ESTACION DE SERVICIOS EXPENDIO DE COMBUSTIBLES LIQUIDOS</t>
  </si>
  <si>
    <t xml:space="preserve">CALLE SIETE COLORES 2960  BARRIO DALVIAN - COMPLEJO RESIDENCIAL LOS CERROS 2496
</t>
  </si>
  <si>
    <t>nbidegain@dalviansa.com.ar,  jcortes@dalviansa.com.ar, nelsongenna68@gmail.com</t>
  </si>
  <si>
    <t>4440847 / 2614152183 / 2614547529</t>
  </si>
  <si>
    <t>59/2022</t>
  </si>
  <si>
    <t>G - 001472</t>
  </si>
  <si>
    <t>EX-2021-8435074-GDEMZA-DPA#SAYOT</t>
  </si>
  <si>
    <t>ROPLAS SRL</t>
  </si>
  <si>
    <t>30-71585038-5</t>
  </si>
  <si>
    <t>COMPRA Y VENTA DE MATERIALES FERROSOS Y NO FERROSOS</t>
  </si>
  <si>
    <t>PEDRO PASCUAL SEGURA 2760</t>
  </si>
  <si>
    <t>PLUMERILLO</t>
  </si>
  <si>
    <t xml:space="preserve">CARRIL RODRIGUEZ PEÑA 1311 </t>
  </si>
  <si>
    <t>roplasmza@gmail.com, licmartinaguero@gmail.com</t>
  </si>
  <si>
    <t>2612086246 / 2616944362</t>
  </si>
  <si>
    <t>Y8,Y9, Y22,Y31, Y48</t>
  </si>
  <si>
    <t>147/2022</t>
  </si>
  <si>
    <t>G - 001473</t>
  </si>
  <si>
    <t>EX-2021-8434873-GDEMZA-DPA#SAYOT</t>
  </si>
  <si>
    <t>MONTE REAL S.A.</t>
  </si>
  <si>
    <t>30-70821748-0</t>
  </si>
  <si>
    <t xml:space="preserve">VITIVINICOLA </t>
  </si>
  <si>
    <t xml:space="preserve">EMILIO JOFRE 265
</t>
  </si>
  <si>
    <t xml:space="preserve">Alem y Urquiza </t>
  </si>
  <si>
    <t>miguelabdala@royalmount.com.ar, carlosjbaggio@yahoo.com.ar, marcelo@royalmount.com.ar</t>
  </si>
  <si>
    <t>2614542498 - 2615691415</t>
  </si>
  <si>
    <t>Y8,Y9, Y12, Y42, Y48</t>
  </si>
  <si>
    <t>90/2022</t>
  </si>
  <si>
    <t>G - 001474</t>
  </si>
  <si>
    <t>EX-2021-8436431-GDEMZA-DPA#SAYOT</t>
  </si>
  <si>
    <t>LAS PALMAS S A</t>
  </si>
  <si>
    <t>30-67982664-2</t>
  </si>
  <si>
    <t>Clasificación de Coque - Fabricación de Coque Metalúrgico</t>
  </si>
  <si>
    <t xml:space="preserve">HUARPES 734
</t>
  </si>
  <si>
    <t xml:space="preserve">Calle 3 S/N. 
</t>
  </si>
  <si>
    <t>PIP</t>
  </si>
  <si>
    <t>pablo.perlbach@laspalmassa.com.ar, flavibonet@gmail.com</t>
  </si>
  <si>
    <t>2613044415  / 2615688342</t>
  </si>
  <si>
    <t>74/2022</t>
  </si>
  <si>
    <t>G - 001475</t>
  </si>
  <si>
    <t>EX-2022-02467515-GDEMZA-DPA#SAYOT</t>
  </si>
  <si>
    <t>ALDO A. MILITELLO GRUAS Y TRANSPORTE S.A.S.</t>
  </si>
  <si>
    <t>20-24447632-6</t>
  </si>
  <si>
    <t>Transporte</t>
  </si>
  <si>
    <t>ALSINA 2545 Entre Mallea y J. A. Maza</t>
  </si>
  <si>
    <t>aamilitello@gmail.com, soledad.brandi@gmail.com</t>
  </si>
  <si>
    <t>2616109544 / 2613478372</t>
  </si>
  <si>
    <t>212/2022</t>
  </si>
  <si>
    <t>G - 001476</t>
  </si>
  <si>
    <t>EX-2022-364220-GDEMZA-DPA#SAYOT</t>
  </si>
  <si>
    <t>FECOVITA FEDERACION DE COOPERATIVAS VITIVINICOLAS ARGENTINAS</t>
  </si>
  <si>
    <t>PLANTA DE FRACCIONAMIENTO DE VINO</t>
  </si>
  <si>
    <t>CARRIL GOMEZ 265</t>
  </si>
  <si>
    <t>RUTA 50 S/N</t>
  </si>
  <si>
    <t>gonzalezp@fecovita.com, ruffoloa@fecovita.com</t>
  </si>
  <si>
    <t>2614973400 / 2615399256</t>
  </si>
  <si>
    <t>154/2022</t>
  </si>
  <si>
    <t>G - 001477</t>
  </si>
  <si>
    <t>EX-2022-00669955-   -GDEMZA-DPA#SAYOT</t>
  </si>
  <si>
    <t>GRUPO AVINEA S.A.</t>
  </si>
  <si>
    <t>Molienda y Elaboración de vinos, venta de vinos a granel</t>
  </si>
  <si>
    <t>Carril Barrancas / Ruta Provincial 14</t>
  </si>
  <si>
    <t>BARRANCAS</t>
  </si>
  <si>
    <t xml:space="preserve">andres.valero@grupoavinea.com, marina.lopez@grupoavinea.com </t>
  </si>
  <si>
    <t>2614990050 / 2612759371</t>
  </si>
  <si>
    <t>108/2022</t>
  </si>
  <si>
    <t>G - 001478</t>
  </si>
  <si>
    <t>EX-2022-633277-   -GDEMZA-DPA#SAYOT</t>
  </si>
  <si>
    <t>DOLCEMASCOLO PAOLA LORENA - DOLCEMASCOLO JORGE DAVID</t>
  </si>
  <si>
    <t>30-70896876-1</t>
  </si>
  <si>
    <t>CONSTRUCCIÓN, REFORMA Y REPARACIÓN DE EDIFICIOS NO RESIDENCIALES</t>
  </si>
  <si>
    <t>SAN MARTÍN 3281</t>
  </si>
  <si>
    <t>CL PARQUE INDUSTRIAL MUNICIPAL 0 B 2</t>
  </si>
  <si>
    <t>vbravomellado@gmail.com, revestimientosyarenados@yahoo.com.ar</t>
  </si>
  <si>
    <t xml:space="preserve">2615674514 / </t>
  </si>
  <si>
    <t>155/2022</t>
  </si>
  <si>
    <t>G - 001479</t>
  </si>
  <si>
    <t>EX-2018-03156240- -GDEMZA-DPA#SAYOT</t>
  </si>
  <si>
    <t>HEINZ LOOS SRL</t>
  </si>
  <si>
    <t>30-51813321-3</t>
  </si>
  <si>
    <t>Rodriguez Peña 1829</t>
  </si>
  <si>
    <t>jloos@hloos.com.ar, sraiti.asociados@gmail.com</t>
  </si>
  <si>
    <t>261 4930034 - 2614685408</t>
  </si>
  <si>
    <t>87/2022</t>
  </si>
  <si>
    <t>G - 001480</t>
  </si>
  <si>
    <t>EX-2022-694618- -GDEMZA-DPA#SAYOT</t>
  </si>
  <si>
    <t>NAHUEN ENERGIA S.A</t>
  </si>
  <si>
    <t>30-71573142-4</t>
  </si>
  <si>
    <t>PLANTA GENERADORA DE ENERGIA</t>
  </si>
  <si>
    <t>CALLEJON ZAPATA Y CANAL SAN MARTIN</t>
  </si>
  <si>
    <t>LUNLUNTA</t>
  </si>
  <si>
    <t>CANAL SAN MARTIN Y CALLE NUEVA</t>
  </si>
  <si>
    <t>renzo_scilipoti@hotmail.com, pllauro@nexoenergia.com</t>
  </si>
  <si>
    <t>160/2022</t>
  </si>
  <si>
    <t>G - 001481</t>
  </si>
  <si>
    <t>EX-2022-694712- -GDEMZA-DPA#SAYOT</t>
  </si>
  <si>
    <t>CAP - INGENIERIA S.A.S.</t>
  </si>
  <si>
    <t>30-71690122-6</t>
  </si>
  <si>
    <t>CONSTRUCCIÓN Y REPARACIÓN DE REDES DE GAS</t>
  </si>
  <si>
    <t>FOURNIER 2250</t>
  </si>
  <si>
    <t>gestoriaambiental.mza@gmail.com, capingenieria.mza@gmail.com</t>
  </si>
  <si>
    <t>2616946980 - 2616631257</t>
  </si>
  <si>
    <t>156/2022</t>
  </si>
  <si>
    <t>G - 001482</t>
  </si>
  <si>
    <t>EX-2022-0694676- -GDEMZA-DPA#SAYOT</t>
  </si>
  <si>
    <t>PAMAR SACIFI Y A</t>
  </si>
  <si>
    <t>30-52157495-6</t>
  </si>
  <si>
    <t>Ingenieria y Construcciones</t>
  </si>
  <si>
    <t>Rodriguez Peña 2300</t>
  </si>
  <si>
    <t>mkovac@pamar.com.ar, ggiordano@pamar.com.ar, aarrieta@pamar.com.ar</t>
  </si>
  <si>
    <t xml:space="preserve">2615896438 / 11 6115-1341
</t>
  </si>
  <si>
    <t>162/2022</t>
  </si>
  <si>
    <t>G - 001483</t>
  </si>
  <si>
    <t>EX-2022-00820810-   -GDEMZA-DPA#SAYOT</t>
  </si>
  <si>
    <t>VOLTA ENERGIA SA</t>
  </si>
  <si>
    <t>30-71551856-9</t>
  </si>
  <si>
    <t>Obras de redes de gas</t>
  </si>
  <si>
    <t>CORRIENTES 44</t>
  </si>
  <si>
    <t>gestoriaambiental.mza@gmail.com, romina_124@hotmail.com</t>
  </si>
  <si>
    <t xml:space="preserve">2616631257 - 2604267059
</t>
  </si>
  <si>
    <t>123/2022</t>
  </si>
  <si>
    <t>G - 001484</t>
  </si>
  <si>
    <t>EX-2022-1345480-   -GDEMZA-DPA#SAYOT</t>
  </si>
  <si>
    <t>G.N.C. EL MIRADOR S.A.</t>
  </si>
  <si>
    <t>30-71460536-0</t>
  </si>
  <si>
    <t>ESTACION DE SERVICIO DE GNC</t>
  </si>
  <si>
    <t>JUSTO DE ESTRADA S/Nº 1</t>
  </si>
  <si>
    <t xml:space="preserve">EL MIRADOR </t>
  </si>
  <si>
    <t>anticipar3@gmail.com, constructora@fullhome.com.ar</t>
  </si>
  <si>
    <t>2617001770 / 2613058503</t>
  </si>
  <si>
    <t>158/2022</t>
  </si>
  <si>
    <t>G - 001485</t>
  </si>
  <si>
    <t>EX-2022-1441621-   -GDEMZA-DPA#SAYOT</t>
  </si>
  <si>
    <t>PETRINI EDUARDO RAUL</t>
  </si>
  <si>
    <t>23-14077239-9</t>
  </si>
  <si>
    <t>Ruta Provincial 89 KM 11</t>
  </si>
  <si>
    <t>arielcasapetrini@gmail.com, casapetrinioficina@gmail.com</t>
  </si>
  <si>
    <t>2615062769 / 2622661203</t>
  </si>
  <si>
    <t>Y8,Y9,Y10,Y12,Y48</t>
  </si>
  <si>
    <t>201/2022</t>
  </si>
  <si>
    <t>G - 001486</t>
  </si>
  <si>
    <t>EX-2022-1489740-   -GDEMZA-DPA#SAYOT</t>
  </si>
  <si>
    <t>RPB SOCIEDAD ANONIMA - SAN MARTIN carril chimbas</t>
  </si>
  <si>
    <t>CARRIL CHIMBAS Y VARIANTE RUTA 50 S/N</t>
  </si>
  <si>
    <t>2614819300 / 02613447737</t>
  </si>
  <si>
    <t>195/2022</t>
  </si>
  <si>
    <t>G - 001487</t>
  </si>
  <si>
    <t>EX-2022-1549548-   -GDEMZA-DPA#SAYOT</t>
  </si>
  <si>
    <t>YPF GAS SOCIEDAD ANONIMA</t>
  </si>
  <si>
    <t>30-51548847-9</t>
  </si>
  <si>
    <t>FRACCIONAMIENTO Y DISTRIBUCIÓN DE GAS LICUADO</t>
  </si>
  <si>
    <t>TIRASSO 5601</t>
  </si>
  <si>
    <t>EL CERRITO</t>
  </si>
  <si>
    <t>facundo.messa@ypf.com, alejandro.alfaro@ypf.com, alesandra.insaurralde@ypf.com</t>
  </si>
  <si>
    <t>2616166938 / 2616414896 / 2615343710</t>
  </si>
  <si>
    <t>197/2022</t>
  </si>
  <si>
    <t>G - 001488</t>
  </si>
  <si>
    <t>EX-2022-1565069-   -GDEMZA-DPA#SAYOT</t>
  </si>
  <si>
    <t>NEUMATICOS CORRAL S.A.</t>
  </si>
  <si>
    <t>30-70917340-1</t>
  </si>
  <si>
    <t>Venta de Neumáticos Nuevos, Alineación, balanceo y tren delantero</t>
  </si>
  <si>
    <t>SAN MARTÍN 1335</t>
  </si>
  <si>
    <t>oskaral2002@yahoo.com.ar, leandro.maffoni@neumaticoscorral.com</t>
  </si>
  <si>
    <t>2616319704
 / 2644188316</t>
  </si>
  <si>
    <t>200/2022</t>
  </si>
  <si>
    <t>G - 001489</t>
  </si>
  <si>
    <t>EX-2022-1569692-   -GDEMZA-DPA#SAYOT</t>
  </si>
  <si>
    <t>ROPLAS SRL - MAIPU</t>
  </si>
  <si>
    <t>CARRIL RODRIGUEZ PEÑA 1311</t>
  </si>
  <si>
    <t>Y8,Y22,Y31,Y48</t>
  </si>
  <si>
    <t>196/2022</t>
  </si>
  <si>
    <t>G - 001490</t>
  </si>
  <si>
    <t>EX-2022-1569655-   -GDEMZA-DPA#SAYOT</t>
  </si>
  <si>
    <t>ROPLAS SRL - LAS HERAS</t>
  </si>
  <si>
    <t>198/2022</t>
  </si>
  <si>
    <t>G - 001491</t>
  </si>
  <si>
    <t>EX-2022-1633250-   -GDEMZA-DPA#SAYOT</t>
  </si>
  <si>
    <t>SOLVENCIA SA</t>
  </si>
  <si>
    <t>30-70857191-8</t>
  </si>
  <si>
    <t>PREPARACIÓN DE CONSERVAS DE FRUTAS, HORTALIZAS Y LEGUMBRES</t>
  </si>
  <si>
    <t>LA SALADA Y DIAMANTE - PARQUE INDUSTRIAL SAN CARLOS 0</t>
  </si>
  <si>
    <t>EUGENIO BUSTOS</t>
  </si>
  <si>
    <t>molmendo@yahoo.com.ar, rbianchetti@solvenciasa.com.ar</t>
  </si>
  <si>
    <t xml:space="preserve"> 2614 17-1517</t>
  </si>
  <si>
    <t>Y8,Y9,Y12,,Y48</t>
  </si>
  <si>
    <t>199/2022</t>
  </si>
  <si>
    <t>G - 001492</t>
  </si>
  <si>
    <t>EX-2022-1653768-   -GDEMZA-DPA#SAYOT</t>
  </si>
  <si>
    <t>CONINSA S A</t>
  </si>
  <si>
    <t>30-58778632-6</t>
  </si>
  <si>
    <t>RUTA NACIONAL 7. LOS HORCONES</t>
  </si>
  <si>
    <t>LAS CUEVAS</t>
  </si>
  <si>
    <t>carolinaozollo@gmail.com, jormazabal@coninsa.com</t>
  </si>
  <si>
    <t>Y8,,Y9,Y12,,Y48</t>
  </si>
  <si>
    <t>193/2022</t>
  </si>
  <si>
    <t>G - 001493</t>
  </si>
  <si>
    <t>EX-2022-1666151-   -GDEMZA-DPA#SAYOT</t>
  </si>
  <si>
    <t>DUROX ENOLOGIA SRL</t>
  </si>
  <si>
    <t>30-69027361-2</t>
  </si>
  <si>
    <t>Venta insumos enológicos y servicio técnico etiquetadoras</t>
  </si>
  <si>
    <t>ALSINA 2336 -</t>
  </si>
  <si>
    <t>administracion@durox.com.ar, onguarnieri@yahoo.com.ar</t>
  </si>
  <si>
    <t>261313666 / 2616530652</t>
  </si>
  <si>
    <t>Y9-Y12-Y48</t>
  </si>
  <si>
    <t>192/2022</t>
  </si>
  <si>
    <t>G - 001494</t>
  </si>
  <si>
    <t>EX-2022-1737744-   -GDEMZA-DPA#SAYOT</t>
  </si>
  <si>
    <t>NEUMATICOS DEL OESTE SAS</t>
  </si>
  <si>
    <t>30-71705848-4</t>
  </si>
  <si>
    <t>alineación y balanceo y cambio de aceites</t>
  </si>
  <si>
    <t>SAN MARTIN 559</t>
  </si>
  <si>
    <t>deloesteneumaticos@gmail.com, consulgreenmendoza@gmail.com</t>
  </si>
  <si>
    <t xml:space="preserve">2614301132 / 2613057770 </t>
  </si>
  <si>
    <t>146/2022</t>
  </si>
  <si>
    <t>G - 001495</t>
  </si>
  <si>
    <t>EX-2022-01817598- -GDEMZA-DPA#SAYOT</t>
  </si>
  <si>
    <t>MOTO MECANICA ARGENTINA SOCIEDAD ANONIMA</t>
  </si>
  <si>
    <t>30-50078693-7</t>
  </si>
  <si>
    <t>FRANCISCO J. GABRIELLI 3850</t>
  </si>
  <si>
    <t>dmanchini@motomec.com.ar, rodostorelli@gmail.com</t>
  </si>
  <si>
    <t>165/2022</t>
  </si>
  <si>
    <t>G - 001496</t>
  </si>
  <si>
    <t>EX-2022-02205113-GDEMZA-DPA#SAYOT</t>
  </si>
  <si>
    <t>ALVAREZ GUILLERMO JESUS</t>
  </si>
  <si>
    <t>23-24983428-9</t>
  </si>
  <si>
    <t>Electricidad del automotor y como tareas secundarias mantenimiento Automotriz</t>
  </si>
  <si>
    <t>RENATO DELLA SANTA 2145 -</t>
  </si>
  <si>
    <t>guillermojalvarez76@gmail.com, diegoescayol@hotmail.com</t>
  </si>
  <si>
    <t>2615787314 / 261-4168551</t>
  </si>
  <si>
    <t>181/2022</t>
  </si>
  <si>
    <t>G - 001497</t>
  </si>
  <si>
    <t>EX-2022-02321668-GDEMZA-DPA#SAYOT</t>
  </si>
  <si>
    <t>LA RURAL VIÑEDOS Y BODEGAS S.A. LTDA</t>
  </si>
  <si>
    <t>MONTECASEROS 2625</t>
  </si>
  <si>
    <t>RUTA PROVINCIAL 89</t>
  </si>
  <si>
    <t>GUALTALLARY</t>
  </si>
  <si>
    <t>maguilar@mahs.com.ar, fdigiovambattista@rutiniwines.com</t>
  </si>
  <si>
    <t>2612412377 / 2615634227</t>
  </si>
  <si>
    <t>190/2022</t>
  </si>
  <si>
    <t>G - 001498</t>
  </si>
  <si>
    <t>EX-2022-02327769-GDEMZA-DPA#SAYOT</t>
  </si>
  <si>
    <t>FERNANDEZ JAVIER ALBERTO</t>
  </si>
  <si>
    <t>20-23941039-2</t>
  </si>
  <si>
    <t>ESTACIÓN DE SERVICIO</t>
  </si>
  <si>
    <t>TRES ACEQUIAS 44</t>
  </si>
  <si>
    <t>MEDRANO</t>
  </si>
  <si>
    <t>lorenaabdala@hotmail.com, carlosjbaggio@yahoo.com.ar</t>
  </si>
  <si>
    <t>2634507325 / 261-5691415</t>
  </si>
  <si>
    <t>183/2022</t>
  </si>
  <si>
    <t>G - 001499</t>
  </si>
  <si>
    <t>EX-2022-02384388-GDEMZA-DPA#SAYOT</t>
  </si>
  <si>
    <t>RODRIGUEZ RICARDO</t>
  </si>
  <si>
    <t>20-12711893-1</t>
  </si>
  <si>
    <t>cria y faenamoiento de aves de corral para consumo</t>
  </si>
  <si>
    <t>ZAMARBIDE 1305</t>
  </si>
  <si>
    <t>LAS PAREDES</t>
  </si>
  <si>
    <t>lic.leonardo.ortega@gmail.com, oficina_personal@rinapollos.com.ar</t>
  </si>
  <si>
    <t>2604047005 / 2604590986</t>
  </si>
  <si>
    <t>Y8, Y9, Y31, Y48</t>
  </si>
  <si>
    <t>211/2022</t>
  </si>
  <si>
    <t>G - 001500</t>
  </si>
  <si>
    <t>EX-2022-02423831-GDEMZA-DPA#SAYOT</t>
  </si>
  <si>
    <t>ARTURO YACOPINI E HIJOS S.A</t>
  </si>
  <si>
    <t>30-54330821-4</t>
  </si>
  <si>
    <t>Venta de autos, camionetas y utilitarios nuevos y usados. Mantenimiento y reparación del motor; mecánica integral. Venta al por menor de partes, piezas y accesorios nuevos.</t>
  </si>
  <si>
    <t>RODRÍGUEZ PEÑA 744</t>
  </si>
  <si>
    <t>ffrassoni@yacopinimb.com, quique@yacopinimb.com, rsvyasociados1@hotmail.com</t>
  </si>
  <si>
    <t>2615453844 / 4978585</t>
  </si>
  <si>
    <t>215/2022</t>
  </si>
  <si>
    <t>G - 001501</t>
  </si>
  <si>
    <t>EX-2022-02446791-GDEMZA-DPA#SAYOT</t>
  </si>
  <si>
    <t>EJE S R L</t>
  </si>
  <si>
    <t>30-64118587-2</t>
  </si>
  <si>
    <t>PERITO MORENO 736 -</t>
  </si>
  <si>
    <t>182/2022</t>
  </si>
  <si>
    <t>G - 001502</t>
  </si>
  <si>
    <t>EX-2022-02691911-GDEMZA-DPA#SAYOT</t>
  </si>
  <si>
    <t>RUMBO SUR S.R.L.</t>
  </si>
  <si>
    <t>30-70941774-2</t>
  </si>
  <si>
    <t>ESTACION DE SERVICIO CON BANDERA AXION</t>
  </si>
  <si>
    <t>MOLDES 1645</t>
  </si>
  <si>
    <t>equipo.rumbosur@gmail.com</t>
  </si>
  <si>
    <t xml:space="preserve">4321235 / 2616403084
</t>
  </si>
  <si>
    <t>245/2022</t>
  </si>
  <si>
    <t>G - 001503</t>
  </si>
  <si>
    <t>EX-2022-02737185-GDEMZA-DPA#SAYOT</t>
  </si>
  <si>
    <t>ASERRADERO Y FABRICA DE ENVASES LOS ANDES S.A</t>
  </si>
  <si>
    <t>30-71410410-8</t>
  </si>
  <si>
    <t>Aserradero y fabrica de envases de madera</t>
  </si>
  <si>
    <t>ACCESO ESTE KM. 1023 0 - ESQUINA : JUAN I. MAZZA</t>
  </si>
  <si>
    <t>gimena.ortega@pueblaequipo.com.ar, molmendo@yahoo.com.ar</t>
  </si>
  <si>
    <t xml:space="preserve">2613825821 / 2615116189
</t>
  </si>
  <si>
    <t>246/2022</t>
  </si>
  <si>
    <t>G - 001504</t>
  </si>
  <si>
    <t>EX-2022-3090692-GDEMZA-DPA#SAYOT</t>
  </si>
  <si>
    <t>GENCO S.A. - LAUGERO CONSTRUCCIONES S.A. - UT</t>
  </si>
  <si>
    <t>30-71664110-0</t>
  </si>
  <si>
    <t>Construcción, Reforma y Reparación de Obras de Infraestructura para el Transporte</t>
  </si>
  <si>
    <t>RODRIGUEZ PEÑA 401 -</t>
  </si>
  <si>
    <t>OBRADOR RUTA 7 LAS AVISPAS, YAC CACHEUTA</t>
  </si>
  <si>
    <t>esanchez@gencosa.com.ar, rubenrijavec@gmail.com</t>
  </si>
  <si>
    <t>615682972 / 2614161994</t>
  </si>
  <si>
    <t>289/2022</t>
  </si>
  <si>
    <t>G - 001505</t>
  </si>
  <si>
    <t>EX-2022-3099497-GDEMZA-DPA#SAYOT</t>
  </si>
  <si>
    <t>Construcción, Reforma y Reparación de Edificios no Residenciales</t>
  </si>
  <si>
    <t>RODRIGUEZ PEÑA 401</t>
  </si>
  <si>
    <t>OBRADOR BARRIO CONGRESO</t>
  </si>
  <si>
    <t>rubenrijavec@gmail.com, jlhauille@gencosa.com.ar</t>
  </si>
  <si>
    <t>2614161994 / 2615745371</t>
  </si>
  <si>
    <t>287/2022</t>
  </si>
  <si>
    <t>G - 001506</t>
  </si>
  <si>
    <t>EX-2022-3422360-GDEMZA-DPA#SAYOT</t>
  </si>
  <si>
    <t>CORPORACION DEL SUR S.A. - LAUGERO CONSTRUCCIONES S.A. U. T.</t>
  </si>
  <si>
    <t>30-71744893-2</t>
  </si>
  <si>
    <t>Construcciones</t>
  </si>
  <si>
    <t>OBRADOR B° CONGERSO</t>
  </si>
  <si>
    <t>slaugero@laugero.com.ar, rubenrjavec@gmail.com</t>
  </si>
  <si>
    <t>2614311848 / 2614161994 / 2614691749</t>
  </si>
  <si>
    <t>286/2022</t>
  </si>
  <si>
    <t>G - 001507</t>
  </si>
  <si>
    <t>EX-2022-03279619-GDEMZA-DPA#SAYOT</t>
  </si>
  <si>
    <t>construcciones civiles y viales</t>
  </si>
  <si>
    <t>RUTA NAC. Nº 40 3.278</t>
  </si>
  <si>
    <t>lg@lgingenieriasrl.com, egauna@vialmani.com.ar, germanperezperea@yahoo.com.ar</t>
  </si>
  <si>
    <t xml:space="preserve">4255201 / 02615064844 / 2613415450
</t>
  </si>
  <si>
    <t>288/2022</t>
  </si>
  <si>
    <t>G - 001508</t>
  </si>
  <si>
    <t>EX-2022-3802943-GDEMZA-DPA#SAYOT</t>
  </si>
  <si>
    <t>AVANZ TRUCK SRL. - MAIPU</t>
  </si>
  <si>
    <t>30-71596414-3</t>
  </si>
  <si>
    <t>VENTA Y POST VENTA DE VEHICULOS</t>
  </si>
  <si>
    <t>RODRIGUEZ PEÑA 1130</t>
  </si>
  <si>
    <t>jmbellene@hotmail.com, kanzulovich@toyotaalianz.com</t>
  </si>
  <si>
    <t>1133524821 / 2615443094</t>
  </si>
  <si>
    <t>451/2022</t>
  </si>
  <si>
    <t>G - 001509</t>
  </si>
  <si>
    <t>EX-2022-04332719- -GDEMZA-DPA#SAYOT</t>
  </si>
  <si>
    <t>MARCALBA SA</t>
  </si>
  <si>
    <t>30-60867483-3</t>
  </si>
  <si>
    <t>BARCALA 3000</t>
  </si>
  <si>
    <t>vbravomellado@gmail.com</t>
  </si>
  <si>
    <t>356/2022</t>
  </si>
  <si>
    <t>INSC EVENTUAL</t>
  </si>
  <si>
    <t>G - 001510</t>
  </si>
  <si>
    <t>EX-2022-4046969-GDEMZA-DPA#SAYOT</t>
  </si>
  <si>
    <t>OBRAS ANDINAS SA - HUGO DEL CARMEN OJEDA - UTE</t>
  </si>
  <si>
    <t>30-71751304-1</t>
  </si>
  <si>
    <t>INSTALACIÓN DE GASODUCTO, RAMALES Y REDES DE GAS</t>
  </si>
  <si>
    <t>PELTIER 50 PISO:2 DPTO:21</t>
  </si>
  <si>
    <t>LAS VIRGENES 1901</t>
  </si>
  <si>
    <t>2615396346 / 2616631257</t>
  </si>
  <si>
    <t>311/2022</t>
  </si>
  <si>
    <t>G - 001511</t>
  </si>
  <si>
    <t>EX-2022-4049075-GDEMZA-DPA#SAYOT</t>
  </si>
  <si>
    <t>NEUMASHOP NARVAEZ SA</t>
  </si>
  <si>
    <t>30-69024089-7</t>
  </si>
  <si>
    <t>BANDERA DE LOS ANDES 2077</t>
  </si>
  <si>
    <t>nvnarvaes@yahoo.com.ar, rossjoseluis@yahoo.com.ar</t>
  </si>
  <si>
    <t>2612632419 / 2615192321</t>
  </si>
  <si>
    <t>346/2022</t>
  </si>
  <si>
    <t>G - 001512</t>
  </si>
  <si>
    <t>EX-2022-4049041-GDEMZA-DPA#SAYOT</t>
  </si>
  <si>
    <t>FACULTAD DE INSGENIERIA - UNIVERSIDD NACIONAL DE CUYO</t>
  </si>
  <si>
    <t>30-67643075-6</t>
  </si>
  <si>
    <t>Educacion Superior</t>
  </si>
  <si>
    <t>Centro Universitario s/n° Univ. Nac. De Cuyo</t>
  </si>
  <si>
    <t>secretaria.vinculacion@ingenieria.uncuyo.edu.ar, patricia.infante@ingenieria.uncuyo.edu.ar, veronica.silioni@ingenieria.uncuyo.edu.ar</t>
  </si>
  <si>
    <t>4135000 int 2134</t>
  </si>
  <si>
    <t>Y8-Y9-Y12-Y21-Y34-Y41-Y45-Y48</t>
  </si>
  <si>
    <t>348/2022</t>
  </si>
  <si>
    <t>G - 001513</t>
  </si>
  <si>
    <t>EX-2022-4049003-GDEMZA-DPA#SAYOT</t>
  </si>
  <si>
    <t>VILLA MATIAS ADRIAN</t>
  </si>
  <si>
    <t>23-30987331-9</t>
  </si>
  <si>
    <t>MECANICA LIGERA</t>
  </si>
  <si>
    <t>Benjamín Matienzo N° 1427</t>
  </si>
  <si>
    <t>matiasvilla425@gmail.com</t>
  </si>
  <si>
    <t>347/2022</t>
  </si>
  <si>
    <t>G - 001514</t>
  </si>
  <si>
    <t>EX-2022-4048975-GDEMZA-DPA#SAYOT</t>
  </si>
  <si>
    <t>AGOSTINI GRISELDA</t>
  </si>
  <si>
    <t>G - 001515</t>
  </si>
  <si>
    <t>EX-2022-4048934-GDEMZA-DPA#SAYOT</t>
  </si>
  <si>
    <t>MILANI CONSTRUCCIONES METALURGICAS SA</t>
  </si>
  <si>
    <t>30-70889182-3</t>
  </si>
  <si>
    <t>TALLER METALÚRGICO</t>
  </si>
  <si>
    <t>Acceso Sur km. 13 y Araoz</t>
  </si>
  <si>
    <t>administracion@milani-sa.com, milanianarosa@gmail.com</t>
  </si>
  <si>
    <t xml:space="preserve">2615434223 / </t>
  </si>
  <si>
    <t>345/2022</t>
  </si>
  <si>
    <t>G - 001516</t>
  </si>
  <si>
    <t>EX-2022-4048902-GDEMZA-DPA#SAYOT</t>
  </si>
  <si>
    <t>SILLAS SAS</t>
  </si>
  <si>
    <t>30-71643109-2</t>
  </si>
  <si>
    <t>ESTACION DE SERVICIOS</t>
  </si>
  <si>
    <t>Av. España N° 551</t>
  </si>
  <si>
    <t>Av. Alberdi esq. Tierra del Fuego</t>
  </si>
  <si>
    <t>luisdesilvestre@hotmail.com, hysriveros@gmail.com</t>
  </si>
  <si>
    <t>2604267103 / 2604578074</t>
  </si>
  <si>
    <t>336/2022</t>
  </si>
  <si>
    <t>G - 001517</t>
  </si>
  <si>
    <t>EX-2022-04680382--GDEMZA-DPA#SAYOT</t>
  </si>
  <si>
    <t>PROPOWER INC. S.A.S.</t>
  </si>
  <si>
    <t>30-71696527-5</t>
  </si>
  <si>
    <t>LAVADERO, LUBRICENTRO, VENTA Y REPARACIÓN DE CUBIERTAS</t>
  </si>
  <si>
    <t xml:space="preserve">GUAYAQUIL 293. </t>
  </si>
  <si>
    <t>CERRO CRISTO</t>
  </si>
  <si>
    <t>dalvian@prolube.com.ar, yanimarin1984@hotmail.com</t>
  </si>
  <si>
    <t>2613422222 / 2616079181</t>
  </si>
  <si>
    <t xml:space="preserve">Y8-Y9-Y31-Y48, </t>
  </si>
  <si>
    <t>357/2022</t>
  </si>
  <si>
    <t>G - 001518</t>
  </si>
  <si>
    <t>EX-2022-04683154-GDEMZA-DPA#SAYOT</t>
  </si>
  <si>
    <t>LUBREX S.A.S.</t>
  </si>
  <si>
    <t>33-71697746-9</t>
  </si>
  <si>
    <t>Mecánica Integral de automotor. Venta por menor de repuestos</t>
  </si>
  <si>
    <t>J. AGUSTÍN MAZA 347</t>
  </si>
  <si>
    <t>prolubemaipu@gmail.com, maipu@prolube.com.ar</t>
  </si>
  <si>
    <t>355/2022</t>
  </si>
  <si>
    <t>G - 001519</t>
  </si>
  <si>
    <t>EX-2022-04683673-GDEMZA-DPA#SAYOT</t>
  </si>
  <si>
    <t>EMPRESA MENDOCINA DE ENERGIA SOCIEDAD ANONIMA CON PARTICIPACIPACION ESTATAL MAYORITARIA - EMESA</t>
  </si>
  <si>
    <t>30-71404774-0</t>
  </si>
  <si>
    <t>PATRICIAS MENDOCINAS 1285.</t>
  </si>
  <si>
    <t>RUTA PROVINCIAL N°220</t>
  </si>
  <si>
    <t>pmagistocchi@emesa.com.ar, mscattolon@emesa.com.ar</t>
  </si>
  <si>
    <t>Y8,Y9,Y18,Y48</t>
  </si>
  <si>
    <t>354/2022</t>
  </si>
  <si>
    <t>G - 001520</t>
  </si>
  <si>
    <t>EX-2022-04683963-GDEMZA-DPA#SAYOT</t>
  </si>
  <si>
    <t>PETROLERA ACONCAGUA ENERGIA</t>
  </si>
  <si>
    <t>PEDRO VARGAS 632.</t>
  </si>
  <si>
    <t>DISTRITO RÍO BARRACAS, ENTRE 36° 56´ LATITUD SUR Y 69° 35´ LONGITUD OESTE</t>
  </si>
  <si>
    <t>2614238060 / 1158207102</t>
  </si>
  <si>
    <t>425/2022</t>
  </si>
  <si>
    <t>G - 001521</t>
  </si>
  <si>
    <t>EX-2022-04684350-GDEMZA-DPA#SAYOT</t>
  </si>
  <si>
    <t>SIMONAZZI EMMANUEL MATIAS</t>
  </si>
  <si>
    <t>20-32562204-1</t>
  </si>
  <si>
    <t>taller mecanico automotriz</t>
  </si>
  <si>
    <t>BARRIO KOBE MANZANA C CASA 12</t>
  </si>
  <si>
    <t>BERNARDINO RIVADAVIA 1257</t>
  </si>
  <si>
    <t xml:space="preserve">emsimonazzi@gmail.com, </t>
  </si>
  <si>
    <t xml:space="preserve">2614675744 / </t>
  </si>
  <si>
    <t>359/2022</t>
  </si>
  <si>
    <t>G - 001522</t>
  </si>
  <si>
    <t>EX-2022-04685869-GDEMZA-DPA#SAYOT</t>
  </si>
  <si>
    <t>MENDOZA VINEYARDS S. A</t>
  </si>
  <si>
    <t>30-70869704-0</t>
  </si>
  <si>
    <t>CARRIL RODRIGUEZ PEÑA 2147</t>
  </si>
  <si>
    <t>b.vera@avconsultora.com, celinarosas@mendozavineyards.com, eduardosuarez@mendozavineyards.com</t>
  </si>
  <si>
    <t>4326900 / 2615455069</t>
  </si>
  <si>
    <t>363/2022</t>
  </si>
  <si>
    <t>G - 001523</t>
  </si>
  <si>
    <t>EX-2022-04686238-GDEMZA-DPA#SAYOT</t>
  </si>
  <si>
    <t>MENDOZA VINEYARDS S. A - Lujan de Cuyo</t>
  </si>
  <si>
    <t>Vitivinícola</t>
  </si>
  <si>
    <t>COBOS 13750</t>
  </si>
  <si>
    <t>denisvicino@mendozavineyards.com, eduardosuarez@mendozavineyards.com, b.vera@avconsultora.com</t>
  </si>
  <si>
    <t>2614326900 / 2615252369 / 2615541242</t>
  </si>
  <si>
    <t>360/2022</t>
  </si>
  <si>
    <t>G - 001524</t>
  </si>
  <si>
    <t>EX-2022-04686495-GDEMZA-DPA#SAYOT</t>
  </si>
  <si>
    <t>GALVANOTECNIA DEL OESTE S.A</t>
  </si>
  <si>
    <t>30-71406218-9</t>
  </si>
  <si>
    <t>fabricación de maquinaria para la explotación de minas y canteras y para obras de construcción</t>
  </si>
  <si>
    <t>1014 1 lote en parque industrial provincial</t>
  </si>
  <si>
    <t>walter.chaves@gdosa.com.ar, diego.yancarelli@gmail.com</t>
  </si>
  <si>
    <t>351/2022</t>
  </si>
  <si>
    <t>G - 001525</t>
  </si>
  <si>
    <t>EX-2022-04686928-GDEMZA-DPA#SAYOT</t>
  </si>
  <si>
    <t>ZUMER JOSE DANIEL</t>
  </si>
  <si>
    <t>20-23840355-4</t>
  </si>
  <si>
    <t>ESPAÑA 1473 B° Trapiche</t>
  </si>
  <si>
    <t xml:space="preserve">danielzumer@hotmail.com, </t>
  </si>
  <si>
    <t>370/2022</t>
  </si>
  <si>
    <t>G - 001526</t>
  </si>
  <si>
    <t>EX-2022-04687320-GDEMZA-DPA#SAYOT</t>
  </si>
  <si>
    <t>ROMBLAN SA</t>
  </si>
  <si>
    <t>30-71453632-6</t>
  </si>
  <si>
    <t>florencia@estudiomendez.com.ar, mromito@la-stampa.com.ar</t>
  </si>
  <si>
    <t>371/2022</t>
  </si>
  <si>
    <t>G - 001527</t>
  </si>
  <si>
    <t>EX-2022-04688639-GDEMZA-DPA#SAYOT</t>
  </si>
  <si>
    <t>SERVICIOS PETROLEROS - PROVISIÓN DE PRODUCTOS QUIMICOS PARA PERFORACIÓN Y COMPLETACIÓN DE POZOS</t>
  </si>
  <si>
    <t>RUTA 40 SUR KM 4338</t>
  </si>
  <si>
    <t xml:space="preserve">francisco.storelli@marbar.com.ar, luciano.farroni@marbar.com.ar, </t>
  </si>
  <si>
    <t>2615582470 / 02994440103</t>
  </si>
  <si>
    <t>Y8,Y18,Y34,Y35,Y48</t>
  </si>
  <si>
    <t>372/2022</t>
  </si>
  <si>
    <t>G - 001528</t>
  </si>
  <si>
    <t>EX-2022-4679735-GDEMZA-DPA#SAYOT</t>
  </si>
  <si>
    <t>FABIAN SERNA SRL</t>
  </si>
  <si>
    <t>30-71190307-7</t>
  </si>
  <si>
    <t>ACTIVIDAD RELACIONADA CON LA CONSTRUCCION</t>
  </si>
  <si>
    <t>OLAVARRIA 1371</t>
  </si>
  <si>
    <t>esernasrl@gmail.com, sh1sernasrl@gmail.com</t>
  </si>
  <si>
    <t>2616304408 / 2613 82-9765</t>
  </si>
  <si>
    <t>408/2022</t>
  </si>
  <si>
    <t>G - 001529</t>
  </si>
  <si>
    <t>EX-2022-04679329-GDEMZA-DPA#SAYOT</t>
  </si>
  <si>
    <t>MONDO CESAR</t>
  </si>
  <si>
    <t>23-16801136-9</t>
  </si>
  <si>
    <t>MANTENIMIENTO Y REPARACIÓN DEL MOTOR N.C.P., MECÁNICA INTEGRAL</t>
  </si>
  <si>
    <t>ARAMBURU 2210</t>
  </si>
  <si>
    <t>CAÑADITA ALEGRE</t>
  </si>
  <si>
    <t>REPUBLICA DEL LIBANO 661</t>
  </si>
  <si>
    <t xml:space="preserve">antomondo@hotmail.com, </t>
  </si>
  <si>
    <t>389/2022</t>
  </si>
  <si>
    <t>G - 001530</t>
  </si>
  <si>
    <t>EX-2022-04678613-GDEMZA-DPA#SAYOT</t>
  </si>
  <si>
    <t>MORAD VALERIA YAMILE CATALINA</t>
  </si>
  <si>
    <t>desarmadero de automotoeres</t>
  </si>
  <si>
    <t>TOBARES S/N.</t>
  </si>
  <si>
    <t>ALGARROBO GRANDE</t>
  </si>
  <si>
    <t>RUTA PROV. 50 ESQUINA EL ALTO</t>
  </si>
  <si>
    <t>consulgreenmendoza@gmail.com, desarmaderoelturco@hayoo.com.ar</t>
  </si>
  <si>
    <t>390/2022</t>
  </si>
  <si>
    <t>G - 001531</t>
  </si>
  <si>
    <t>EX-2022-05007931-GDEMZA-DPA#SAYOT</t>
  </si>
  <si>
    <t>LAVASTROU PABLO JOSE</t>
  </si>
  <si>
    <t>20-27270116-5</t>
  </si>
  <si>
    <t>elaboración de productos de limpieza, desinfección y tratamiento de agua</t>
  </si>
  <si>
    <t>BARRIO SOLAR DEL TREBOL M D C 9.</t>
  </si>
  <si>
    <t>SARMIENTO 2957</t>
  </si>
  <si>
    <t>pablo@palagua.com.ar, ing.debona@gmail.com</t>
  </si>
  <si>
    <t>Y34,35,Y48</t>
  </si>
  <si>
    <t>394/2022</t>
  </si>
  <si>
    <t>G - 001532</t>
  </si>
  <si>
    <t>EX-2022-05046853-GDEMZA-DPA#SAYOT</t>
  </si>
  <si>
    <t>OSNI S.A.</t>
  </si>
  <si>
    <t>30-71634545-5</t>
  </si>
  <si>
    <t>Fabricación de muebles y partes de mueble principalmente de madera</t>
  </si>
  <si>
    <t>PRIMER BARRIO BELGRANO M:I C:3.</t>
  </si>
  <si>
    <t>LATERAL SUR, RUTA NACIONAL 7 Y CALLE SOSA VELIZ</t>
  </si>
  <si>
    <t>jgallo@giuliani.com.ar, dmarcos@guiliani.com.ar, gastonmorales06@hotmail.com</t>
  </si>
  <si>
    <t>2614766000 - 2622685128</t>
  </si>
  <si>
    <t>Y8-Y12-Y13-Y29-Y48</t>
  </si>
  <si>
    <t>391/2022</t>
  </si>
  <si>
    <t>G - 001533</t>
  </si>
  <si>
    <t>EX-2022-05046845-GDEMZA-DPA#SAYOT</t>
  </si>
  <si>
    <t>ARABERA S.A.</t>
  </si>
  <si>
    <t>30-70515019-9</t>
  </si>
  <si>
    <t>Recuperadora de materiales</t>
  </si>
  <si>
    <t>MONTES DE OCA 888</t>
  </si>
  <si>
    <t>CHAPANAY 4001.</t>
  </si>
  <si>
    <t>araberasa@gmail.com, eduardo.peinado@outlook.com.ar</t>
  </si>
  <si>
    <t>2616951978 / 2612198732</t>
  </si>
  <si>
    <t>358/2022</t>
  </si>
  <si>
    <t>G - 001535</t>
  </si>
  <si>
    <t>EX-2022-05088756-GDEMZA-DPA#SAYOT</t>
  </si>
  <si>
    <t>LO GIUDICE HUGO MANUEL</t>
  </si>
  <si>
    <t>20-07647938-1</t>
  </si>
  <si>
    <t>CHAMPAGNAT M F C 4. BARRIO SANIDAD</t>
  </si>
  <si>
    <t>CARRIL CERVANTES 20310</t>
  </si>
  <si>
    <t>carloslogiudice@hotmail.com, gslogiudice123@gmail.com</t>
  </si>
  <si>
    <t>407/2022</t>
  </si>
  <si>
    <t>G - 001536</t>
  </si>
  <si>
    <t>EX-2022-05637320-GDEMZA-DPA#SAYOT</t>
  </si>
  <si>
    <t>LATAM AIRLINES GROUP S.A.</t>
  </si>
  <si>
    <t>30-60962072-9</t>
  </si>
  <si>
    <t>LINEA AÉREA</t>
  </si>
  <si>
    <t>AVDA. FUERZA AÉREA ARGENTINA S/NCC 199. KM 12</t>
  </si>
  <si>
    <t>433/2022</t>
  </si>
  <si>
    <t>G - 001537</t>
  </si>
  <si>
    <t>EX-2022-05712510-GDEMZA-DPA#SAYOT</t>
  </si>
  <si>
    <t>SUR FRANCE S A</t>
  </si>
  <si>
    <t>MANTENIMIENTO Y REPARACIÓN DEL MOTOR, MECÁNICA INTEGRAL</t>
  </si>
  <si>
    <t>SAN MARTIN 540</t>
  </si>
  <si>
    <t>FANGIO 370</t>
  </si>
  <si>
    <t>434/2022</t>
  </si>
  <si>
    <t>G - 001538</t>
  </si>
  <si>
    <t>EX-2022-05746294-GDEMZA-DPA#SAYOT</t>
  </si>
  <si>
    <t>OTHALA S.A.</t>
  </si>
  <si>
    <t>30-71092953-6</t>
  </si>
  <si>
    <t>CALLEJON GENTILI 1133</t>
  </si>
  <si>
    <t>maguilar@mahs.com.ar, danygentili@yahoo.com.ar</t>
  </si>
  <si>
    <t>432/2022</t>
  </si>
  <si>
    <t>G - 001539</t>
  </si>
  <si>
    <t>EX-2022-05759311-GDEMZA-DPA#SAYOT</t>
  </si>
  <si>
    <t>DUPAUS ARGENTINA S. A. S.</t>
  </si>
  <si>
    <t>30-71734212-3</t>
  </si>
  <si>
    <t>VENTA DE AUTOPARTES</t>
  </si>
  <si>
    <t>BARRIO BELGRANO 0 DPTO: 5 M: C</t>
  </si>
  <si>
    <t>RUTA Nº7. LATERAL NORTE</t>
  </si>
  <si>
    <t>santinochavez336@gmail.com</t>
  </si>
  <si>
    <t>435/2022</t>
  </si>
  <si>
    <t>G - 001540</t>
  </si>
  <si>
    <t>EX-2022-6049680-GDEMZA-DPA#SAYOT</t>
  </si>
  <si>
    <t>BODEGAS ESMERALDA SOCIEDAD ANONIMA</t>
  </si>
  <si>
    <t>Finca y Bodega</t>
  </si>
  <si>
    <t>CALLE JUSTO ESTRADA S/N</t>
  </si>
  <si>
    <t>COCHABAMBA S/N</t>
  </si>
  <si>
    <t>pgutierrez@bodegasesmeralda.com.ar, lkuschnaroff@bodegasesmeralda.com.ar, valessi@catenazapata.com</t>
  </si>
  <si>
    <t>2614629100 / 261-6966066</t>
  </si>
  <si>
    <t>445/2022</t>
  </si>
  <si>
    <t>G - 001541</t>
  </si>
  <si>
    <t>EX-2022-6147262-GDEMZA-DPA#SAYOT</t>
  </si>
  <si>
    <t>BOCCIA PEDRO GERMAN Y BOCCIA RODRIGO DOMINGO SOCIEDAD DE HECHO</t>
  </si>
  <si>
    <t>33-71403505-9</t>
  </si>
  <si>
    <t>TALLER DE PINTURA</t>
  </si>
  <si>
    <t>MIGUEL DE CERVANTES 2946</t>
  </si>
  <si>
    <t>MIGUEL DE CERVANTES 1669</t>
  </si>
  <si>
    <t>rodrigodomingoboccia@hotmail.com, rogelioomarbertolin@yahoo.com.ar</t>
  </si>
  <si>
    <t>261-5614075 / 2616337789</t>
  </si>
  <si>
    <t>446/2022</t>
  </si>
  <si>
    <t>G - 001542</t>
  </si>
  <si>
    <t>EX-2022-6482160-GDEMZA-DPA#SAYOT</t>
  </si>
  <si>
    <t>INSTITUTO NACIONAL DE VITIVINICULTURA</t>
  </si>
  <si>
    <t>30-54668584-1</t>
  </si>
  <si>
    <t>SAN MARTIN 430 PISO:2 DPTO:21</t>
  </si>
  <si>
    <t>TIRASSO 2131</t>
  </si>
  <si>
    <t>alejandro_benito@inv.gov.ar, gestoriaambiental.mza@gmail.com</t>
  </si>
  <si>
    <t>2616631257 / 2615253888</t>
  </si>
  <si>
    <t>Y18,Y34,Y35,Y48</t>
  </si>
  <si>
    <t>506/2022</t>
  </si>
  <si>
    <t>G - 001543</t>
  </si>
  <si>
    <t>EX-2022-6494858-GDEMZA-DPA#SAYOT</t>
  </si>
  <si>
    <t>PROLUBE LH SAS</t>
  </si>
  <si>
    <t>30-71677588-3</t>
  </si>
  <si>
    <t>MANTENIMIENTO Y REPARACION DE MOTOR- MANTENIMIENTO INTEGRAL- VENTA POR MAYOR DE COMBUSTIBLES Y LUBRICANTES PARA AUTOMOTOR</t>
  </si>
  <si>
    <t>BURGOS 505</t>
  </si>
  <si>
    <t>lasheras@prolube.com.ar, yanimarin1984@hotmail.com</t>
  </si>
  <si>
    <t xml:space="preserve">2613400744 / 2616079181
</t>
  </si>
  <si>
    <t>Y8-Y9-Y31-Y48</t>
  </si>
  <si>
    <t>512/2022</t>
  </si>
  <si>
    <t>G - 001544</t>
  </si>
  <si>
    <t>EX-2022-6494893-GDEMZA-DPA#SAYOT</t>
  </si>
  <si>
    <t>FINCA SOPHENIA SA</t>
  </si>
  <si>
    <t>30-69439267-5</t>
  </si>
  <si>
    <t>CULTIVO DE VID Y ELABORACION DE VINOS</t>
  </si>
  <si>
    <t>RUTA 89, KM 12,5 S/N</t>
  </si>
  <si>
    <t>- GUALTALLARY</t>
  </si>
  <si>
    <t>smartinez@sophenia.com.ar,  yanimarin1984@hotmail.com</t>
  </si>
  <si>
    <t>2622596011 / 2616079181</t>
  </si>
  <si>
    <t>505/2022</t>
  </si>
  <si>
    <t>G - 001545</t>
  </si>
  <si>
    <t>EX-2023-137827-GDEMZA-DPA#SAYOT - TC - EX-2022-6494936-GDEMZA-DPA#SAYOT</t>
  </si>
  <si>
    <t>LA TORRE VIAJES SRL</t>
  </si>
  <si>
    <t>30-71591380-8</t>
  </si>
  <si>
    <t>Limpieza y Lavado de vehiculos</t>
  </si>
  <si>
    <t>AV. GOBERNADOR VIDELA Y ACCESO ESTE</t>
  </si>
  <si>
    <t>mmartagatica@yahoo.com.ar</t>
  </si>
  <si>
    <t>2615439794 / 2615686100</t>
  </si>
  <si>
    <t>471/2022</t>
  </si>
  <si>
    <t>G - 001546</t>
  </si>
  <si>
    <t>EX-2022-06633021-GDEMZA-DPA#SAYOT</t>
  </si>
  <si>
    <t>MUNICIPALIDAD DE JUNIN EST. SERVICIO</t>
  </si>
  <si>
    <t>30-67205543-8</t>
  </si>
  <si>
    <t>AV. MITRE Y GONZALEZ</t>
  </si>
  <si>
    <t>serviciospublicos@juninmendoza.gov.ar</t>
  </si>
  <si>
    <t>Y8, Y9,Y48</t>
  </si>
  <si>
    <t>489/2022</t>
  </si>
  <si>
    <t>G - 001547</t>
  </si>
  <si>
    <t>EX-2022-06660423-GDEMZA-DPA#SAYOT</t>
  </si>
  <si>
    <t>AGROINDUSTRIAS CIALPIL SA</t>
  </si>
  <si>
    <t>30-70707324-8</t>
  </si>
  <si>
    <t>CONSERVERA</t>
  </si>
  <si>
    <t>ARTURO GONZALEZ N° 905</t>
  </si>
  <si>
    <t>ARTURO GONZALEZ N° 918</t>
  </si>
  <si>
    <t>ajorqueraadmin@cialpil.com.ar, c.fidel@cialpil.com.ar</t>
  </si>
  <si>
    <t>4911527 -2616754683</t>
  </si>
  <si>
    <t>514/2022</t>
  </si>
  <si>
    <t>G - 001548</t>
  </si>
  <si>
    <t>EX-2022-6674222-GDEMZA-DPA#SAYOT</t>
  </si>
  <si>
    <t>VALENTIN BIANCHI S.A.C.I.F</t>
  </si>
  <si>
    <t>30-50167832-1</t>
  </si>
  <si>
    <t>RUTA 143 KM 11</t>
  </si>
  <si>
    <t>marite.juri@bodegasbianchi.com.ar, damian.sanjuan@bodegasbianchi.com.ar</t>
  </si>
  <si>
    <t>2604532279 - 26044449600</t>
  </si>
  <si>
    <t>Y8,Y12,Y29,Y31,Y48</t>
  </si>
  <si>
    <t>515/2022</t>
  </si>
  <si>
    <t>G - 001549</t>
  </si>
  <si>
    <t>EX-2022-06660378-GDEMZA-DPA#SAYOT</t>
  </si>
  <si>
    <t>SANTOS LUIS IGNACIO</t>
  </si>
  <si>
    <t>20-11687001-6</t>
  </si>
  <si>
    <t>BOLIVIA 1043</t>
  </si>
  <si>
    <t>hugo.baldin@gmail.com, lajirafa.sa@hotmail.com</t>
  </si>
  <si>
    <t>532/2022</t>
  </si>
  <si>
    <t>G - 001550</t>
  </si>
  <si>
    <t>EX-2022-06660332-GDEMZA-DPA#SAYOT</t>
  </si>
  <si>
    <t>LOS CIRUELOS S.A.</t>
  </si>
  <si>
    <t>30-68928221-7</t>
  </si>
  <si>
    <t>LISANDRO MOYANO 340</t>
  </si>
  <si>
    <t>538/2022</t>
  </si>
  <si>
    <t>G - 001551</t>
  </si>
  <si>
    <t>EX-2022-06665974-GDEMZA-DPA#SAYOT</t>
  </si>
  <si>
    <t>LITO ENERGIA S.A.S.</t>
  </si>
  <si>
    <t>30-71697742-7</t>
  </si>
  <si>
    <t>MINUZZI 439</t>
  </si>
  <si>
    <t>litoenergia@gmail.com, matiascoletto@yahoo.com.ar</t>
  </si>
  <si>
    <t>540/2022</t>
  </si>
  <si>
    <t>G - 001552</t>
  </si>
  <si>
    <t>EX-2022-06667609-GDEMZA-DPA#SAYOT</t>
  </si>
  <si>
    <t>EXPERIENCIA FATUVI UCO SOCIEDAD ANONIMA</t>
  </si>
  <si>
    <t>30-71591343-3</t>
  </si>
  <si>
    <t>BODEGAA</t>
  </si>
  <si>
    <t>RUTA 94 S/N°</t>
  </si>
  <si>
    <t>mpizarro.gr@gmail.com</t>
  </si>
  <si>
    <t>490/2022</t>
  </si>
  <si>
    <t>G - 001553</t>
  </si>
  <si>
    <t>EX-2022-6674386-GDEMZA-DPA#SAYOT</t>
  </si>
  <si>
    <t>VITO LOMBARDO S.A.</t>
  </si>
  <si>
    <t>33-71405299-9</t>
  </si>
  <si>
    <t>RUTA 50 N° 1431</t>
  </si>
  <si>
    <t>SANTA MARINA S/N°</t>
  </si>
  <si>
    <t>vnlombardo@gmail.com</t>
  </si>
  <si>
    <t>491/2022</t>
  </si>
  <si>
    <t>G - 001554</t>
  </si>
  <si>
    <t>EX-2022-6674347-GDEMZA-DPA#SAYOT</t>
  </si>
  <si>
    <t>BODEGA LOS HAROLDOS S.A.</t>
  </si>
  <si>
    <t>30-67211214-8</t>
  </si>
  <si>
    <t>RUTA 7 Y MIGUES</t>
  </si>
  <si>
    <t>SAN MRTIN</t>
  </si>
  <si>
    <t>sustentabilidadlh@gmail.com</t>
  </si>
  <si>
    <t>8102221434 - 2634420140</t>
  </si>
  <si>
    <t>513/2022</t>
  </si>
  <si>
    <t>G - 001555</t>
  </si>
  <si>
    <t>EX-2022-6694718-GDEMZA-DPA#SAYOT</t>
  </si>
  <si>
    <t>VINO TOURISM ARG. S.R.L.</t>
  </si>
  <si>
    <t>30-70922128-7</t>
  </si>
  <si>
    <t>walter.carrizo@wineofmendoza.com</t>
  </si>
  <si>
    <t>495/2022</t>
  </si>
  <si>
    <t>G - 001556</t>
  </si>
  <si>
    <t>EX-2022-6695224-GDEMZA-DPA#SAYOT</t>
  </si>
  <si>
    <t>RUTA 33 7.5</t>
  </si>
  <si>
    <t>ESTANISLAO DEL CAMPO S/N</t>
  </si>
  <si>
    <t>alucero@familiazuccardi.com, pgiovanniello@familiazuccardi.com, gbriccola@familiazuccardi.com</t>
  </si>
  <si>
    <t>2622689208 - 4410000 INT 218</t>
  </si>
  <si>
    <t>535/2022</t>
  </si>
  <si>
    <t>G - 001557</t>
  </si>
  <si>
    <t>EX-2022-6699140-GDEMZA-DPA#SAYOT</t>
  </si>
  <si>
    <t>MAGADEA S.R.L. - PUEYRREDON</t>
  </si>
  <si>
    <t>30-70834155-6</t>
  </si>
  <si>
    <t>gomeria, lubricentro</t>
  </si>
  <si>
    <t>PUEYRREDON 101</t>
  </si>
  <si>
    <t>MENODZA</t>
  </si>
  <si>
    <t>mendoza@vgneumaticos.com.ar, vgneumaticos@gmail.com, mdeantonio@vgneumaticos.com.ar, gomezoscardavid@gmail.com</t>
  </si>
  <si>
    <t>2614239698 / 02625422067</t>
  </si>
  <si>
    <t>494/2022</t>
  </si>
  <si>
    <t>G - 001558</t>
  </si>
  <si>
    <t>EX-2022-06845959-GDEMZA-DPA#SAYOT</t>
  </si>
  <si>
    <t>JC LORENZO INV. S.A.</t>
  </si>
  <si>
    <t>CONCESIONARIA DE AUTOMÓVILES Y OTROS</t>
  </si>
  <si>
    <t>AVENIDA MITRE 585</t>
  </si>
  <si>
    <t>ALLAYME 160</t>
  </si>
  <si>
    <t>2604435738 / 2612123509</t>
  </si>
  <si>
    <t>496/2022</t>
  </si>
  <si>
    <t>G - 001559</t>
  </si>
  <si>
    <t>EX-2022-06845995-GDEMZA-DPA#SAYOT</t>
  </si>
  <si>
    <t>OBLEAS Y TERRENOS S.A.</t>
  </si>
  <si>
    <t>30-71152278-2</t>
  </si>
  <si>
    <t>AV. LIBERTADOR Y 17 DE AGOSTO</t>
  </si>
  <si>
    <t>lapostadcastilla@gmail.com</t>
  </si>
  <si>
    <t>521/2022</t>
  </si>
  <si>
    <t>G - 001560</t>
  </si>
  <si>
    <t>EX-2022-06846073-GDEMZA-DPA#SAYOT</t>
  </si>
  <si>
    <t>OSNI S.A - Remedios de Escalada 404</t>
  </si>
  <si>
    <t>REMEDIOS DE ESCALADA 404</t>
  </si>
  <si>
    <t>jlgallo@giuliani.com.ar, dmarcos@giuliani.com.ar, gastonmorales06@gmail.com</t>
  </si>
  <si>
    <t>520/2022</t>
  </si>
  <si>
    <t>G - 001561</t>
  </si>
  <si>
    <t>EX-2022-06845846-GDEMZA-DPA#SAYOT</t>
  </si>
  <si>
    <t>TIRECOR S.A.</t>
  </si>
  <si>
    <t>30-71261580-6</t>
  </si>
  <si>
    <t xml:space="preserve">TALLER </t>
  </si>
  <si>
    <t>RODRIGUEZ PEÑA 2225</t>
  </si>
  <si>
    <t>arq.laurapineiro@gmail.com, pablobaigorri@pylneumaticos.com.ar, flaviapotenzone@pylneumaticos.com.ar</t>
  </si>
  <si>
    <t>119/2023</t>
  </si>
  <si>
    <t>G - 001562</t>
  </si>
  <si>
    <t>EX-2022-06846570-GDEMZA-DPA#SAYOT</t>
  </si>
  <si>
    <t>MODICA S.A.</t>
  </si>
  <si>
    <t>30-70846733-9</t>
  </si>
  <si>
    <t>taller</t>
  </si>
  <si>
    <t>ALFONSINA STORNI 292</t>
  </si>
  <si>
    <t>veronicamodica@modicamotos.com.ar, bibidicesare@yahoo.com.ar</t>
  </si>
  <si>
    <t>2616953761 - 2615583460</t>
  </si>
  <si>
    <t>519/2022</t>
  </si>
  <si>
    <t>G - 001563</t>
  </si>
  <si>
    <t> EX-2021-3231673- -GDEMZA-DPA#SAYOT</t>
  </si>
  <si>
    <t>SIP SRL -SERVICIOS INDUSTRIALES Y PETROLEROS-</t>
  </si>
  <si>
    <t>33-57216759-9</t>
  </si>
  <si>
    <t xml:space="preserve">RODRIGUEZ PEÑA 158. </t>
  </si>
  <si>
    <t>info@sip-srl.com</t>
  </si>
  <si>
    <t>2614318722 / 2616627581</t>
  </si>
  <si>
    <t>Y8,Y9,Y10,Y12,Y17,Y48</t>
  </si>
  <si>
    <t>G - 001564</t>
  </si>
  <si>
    <t>EX-2022-7048366-GDEMZA-DPA#SAYOT</t>
  </si>
  <si>
    <t>PAN AMERICAN ENERGY S.L. SUCURSAL MENDOZA</t>
  </si>
  <si>
    <t>30-69554247-6</t>
  </si>
  <si>
    <t xml:space="preserve">BANDERA DE LOS ANDES 5600 </t>
  </si>
  <si>
    <t xml:space="preserve">ndorbesi@ecotempo.com.ar, pglezer@pan-energy.com, </t>
  </si>
  <si>
    <t>1154916086 / 011 47057349</t>
  </si>
  <si>
    <t>536/2022</t>
  </si>
  <si>
    <t>G - 001565</t>
  </si>
  <si>
    <t>EX-2024-540469- -GDEMZA-DPA#SAYOT - TC - EX-2022-7047901-GDEMZA-DPA#SAYOT</t>
  </si>
  <si>
    <t>OSCAR NORBERTO DE HOYOS</t>
  </si>
  <si>
    <t>20-08029107-9</t>
  </si>
  <si>
    <t>MITRE 1553</t>
  </si>
  <si>
    <t>SAN MARTIN 19</t>
  </si>
  <si>
    <t>537/2022</t>
  </si>
  <si>
    <t>G - 001566</t>
  </si>
  <si>
    <t>EX-2022-7171791-GDEMZA-DPA#SAYOT</t>
  </si>
  <si>
    <t>INSPECCION ARROYO LAS MULAS</t>
  </si>
  <si>
    <t>30-69465473-4</t>
  </si>
  <si>
    <t>OBRA CONSTRUCCION</t>
  </si>
  <si>
    <t>EUSEBIO BLANCO 242</t>
  </si>
  <si>
    <t>AV. DEL SOL S/N°</t>
  </si>
  <si>
    <t>bmgarciamartinez@gmail.com, asicaltamontana@gmail.com</t>
  </si>
  <si>
    <t>45/2023</t>
  </si>
  <si>
    <t>G - 001567</t>
  </si>
  <si>
    <t>EX-2022-7171747-GDEMZA-DPA#SAYOT</t>
  </si>
  <si>
    <t>GENDARMERIA NACIONAL</t>
  </si>
  <si>
    <t>30-54669426-3</t>
  </si>
  <si>
    <t>SEGURIDAD PUBLICA</t>
  </si>
  <si>
    <t>PEDRO VARGAS N° 90</t>
  </si>
  <si>
    <t>agr11-criefor@gendarmeria.gob.ar, gabrielaedithcasajus@gna.gob.ar</t>
  </si>
  <si>
    <t>4319973 / 2614664443</t>
  </si>
  <si>
    <t>Y6-Y9-Y34-Y35-Y42-Y48</t>
  </si>
  <si>
    <t>557/2022</t>
  </si>
  <si>
    <t>G - 001568</t>
  </si>
  <si>
    <t>EX-2022-7171819-GDEMZA-DPA#SAYOT</t>
  </si>
  <si>
    <t>BIOSANO SOCIEDAD ANONIMA</t>
  </si>
  <si>
    <t>30-71526287-4</t>
  </si>
  <si>
    <t>Fabricación de productos quimicos</t>
  </si>
  <si>
    <t>RODRIGUEZ PEÑA N° 2163</t>
  </si>
  <si>
    <t>administracion@bsnchem.com, mbenito@bsnchem.com, osman.rodriguez@sycsi.com.ar</t>
  </si>
  <si>
    <t>2616314744 / 2615559523</t>
  </si>
  <si>
    <t>Y9-Y8-Y48</t>
  </si>
  <si>
    <t>47/2023</t>
  </si>
  <si>
    <t>G - 001569</t>
  </si>
  <si>
    <t>EX-2022-7545725-GDEMZA-DPA#SAYOT</t>
  </si>
  <si>
    <t>HOSPITALES PRIVADOS DE MENDOZA S.A.</t>
  </si>
  <si>
    <t>30-70861335-1</t>
  </si>
  <si>
    <t>HOSPITAL</t>
  </si>
  <si>
    <t>MITRE N° 667</t>
  </si>
  <si>
    <t xml:space="preserve">rodolfotorres@live.com.ar, </t>
  </si>
  <si>
    <t>Y36</t>
  </si>
  <si>
    <t>588/2022</t>
  </si>
  <si>
    <t>G - 001570</t>
  </si>
  <si>
    <t>EX-2022-7714849-GDEMZA-DPA#SAYOT</t>
  </si>
  <si>
    <t>EPAV S.A.</t>
  </si>
  <si>
    <t>30-71125514-8</t>
  </si>
  <si>
    <t>Clasificación de áridos y elaboración de asfalto</t>
  </si>
  <si>
    <t>PARQ. DES. IND. MAIPU BELGRANO S/N°</t>
  </si>
  <si>
    <t>gabriel10velasco@yahoo.com.ar, info@tdfgroup.com.ar, javi10gomez@hotmail.com</t>
  </si>
  <si>
    <t>2616516929 / 2614525592 / 2615585994</t>
  </si>
  <si>
    <t>108/2023</t>
  </si>
  <si>
    <t>G - 001571</t>
  </si>
  <si>
    <t>EX-2022-7714872-GDEMZA-DPA#SAYOT</t>
  </si>
  <si>
    <t>TEC S.A.</t>
  </si>
  <si>
    <t>30-59747260-5</t>
  </si>
  <si>
    <t>TALLER METALURGICO DE CORE Y PLEGADO DE CHAPA, CARPINTERIA METALICA, HERRERIA ARTISTICA</t>
  </si>
  <si>
    <t>INDEPENDENCIA N° 889</t>
  </si>
  <si>
    <t>brunoraina2@gmail.com, mrmg1473@hotmail.com</t>
  </si>
  <si>
    <t>100/2023</t>
  </si>
  <si>
    <t>G - 001572</t>
  </si>
  <si>
    <t>EX-2022-7714894-GDEMZA-DPA#SAYOT</t>
  </si>
  <si>
    <t>MAQUINARIAS PARA LA INDUSTRIA ALIMENTICIA S.A.</t>
  </si>
  <si>
    <t>30-70781300-4</t>
  </si>
  <si>
    <t>Fabricación de máquinas para la industria alimenticia</t>
  </si>
  <si>
    <t>9 DE JULIO N° 732</t>
  </si>
  <si>
    <t>San Frncisco del Monte</t>
  </si>
  <si>
    <t>info@cpm-mza.com, otecnicapersonal@gmail.com</t>
  </si>
  <si>
    <t>35/2023</t>
  </si>
  <si>
    <t>G - 001573</t>
  </si>
  <si>
    <t>EX-2022-8085279-GDEMZA-DPA#SAYOT</t>
  </si>
  <si>
    <t>OLEPA S.R.L.</t>
  </si>
  <si>
    <t>30-71557061-7</t>
  </si>
  <si>
    <t>TALLER MECANICA</t>
  </si>
  <si>
    <t>BALCARCE Y SANTA MARIA DE ORO N° 102</t>
  </si>
  <si>
    <t>afernandez@paulllaver.com.ar, paul@paulllaver.com.ar, maurilunello@gmail.com</t>
  </si>
  <si>
    <t>2634403324 - 2616921380</t>
  </si>
  <si>
    <t>Y8-Y12-Y31-Y48</t>
  </si>
  <si>
    <t>98/2023</t>
  </si>
  <si>
    <t>G - 001574</t>
  </si>
  <si>
    <t>EX-2022-8254833-GDEMZA-DPA#SAYOT</t>
  </si>
  <si>
    <t>IMAN S.A. EXPLOTACIONES MINERAS</t>
  </si>
  <si>
    <t>30-64061249-1</t>
  </si>
  <si>
    <t>Explotaciones mineras</t>
  </si>
  <si>
    <t>San Juan 1309 piso 1 dpto 10</t>
  </si>
  <si>
    <t>RUTA N° 145 KM 24</t>
  </si>
  <si>
    <t>msviriglio@gmail.com, rubenrijavec@gmail.com</t>
  </si>
  <si>
    <t>610/2022</t>
  </si>
  <si>
    <t>G - 001575</t>
  </si>
  <si>
    <t>EX-2022-08254773- -GDEMZA-DPA#SAYOT</t>
  </si>
  <si>
    <t>HIERRO INDIO SA</t>
  </si>
  <si>
    <t>30-71438359-7</t>
  </si>
  <si>
    <t>25 DE MAYO Nº 1078</t>
  </si>
  <si>
    <t>RUTA N° 40 KM 3042</t>
  </si>
  <si>
    <t>federicocolonnese@gmail.com</t>
  </si>
  <si>
    <t>261 370921 - 4052218</t>
  </si>
  <si>
    <t>611/2022</t>
  </si>
  <si>
    <t>G - 001576</t>
  </si>
  <si>
    <t>EX-2022-9195060- -GDEMZA-DPA#SAYOT</t>
  </si>
  <si>
    <t>CENTRAL PUERTO SA - Cruz de Piedra</t>
  </si>
  <si>
    <t>Generación de Energía Eléctrica</t>
  </si>
  <si>
    <t>JORGE CESPEDES 520</t>
  </si>
  <si>
    <t>CRUZ DE PIEDRA</t>
  </si>
  <si>
    <t xml:space="preserve">pamela.ulloa@centralpuerto.com, osvaldoreca@fibertel.com.ar </t>
  </si>
  <si>
    <t>2615216200 / 2615076923</t>
  </si>
  <si>
    <t>Y9-Y29-Y36-Y48</t>
  </si>
  <si>
    <t>44/2023</t>
  </si>
  <si>
    <t>G - 001577</t>
  </si>
  <si>
    <t>EX-2022-8616453- -GDEMZA-DPA#SAYOT</t>
  </si>
  <si>
    <t>SANCO S.A. - HORMICON S.R.L. - CIUDAD U. T.</t>
  </si>
  <si>
    <t>30-71737356-8</t>
  </si>
  <si>
    <t>PATRICIAS MENDOCINAS 617 PISO 3 DPTO 3</t>
  </si>
  <si>
    <t>Lencinas S/N,</t>
  </si>
  <si>
    <t>vbravomellado@gmail.com, jorgesanchis@sancosa.com.ar, martinsanchis@sancosa.com.ar</t>
  </si>
  <si>
    <t>2614238185 / 2615604129</t>
  </si>
  <si>
    <t>46/2023</t>
  </si>
  <si>
    <t>G - 001578</t>
  </si>
  <si>
    <t>EX-2022-8616420- -GDEMZA-DPA#SAYOT</t>
  </si>
  <si>
    <t>BATISTELLA VICTORIO AGUSTIN</t>
  </si>
  <si>
    <t>20-42479207-7</t>
  </si>
  <si>
    <t>venta de repuestos de motos colocacion de accesorios y repraciones menores</t>
  </si>
  <si>
    <t>GUIDO SPANO 28</t>
  </si>
  <si>
    <t>COSTANERA N° 2026</t>
  </si>
  <si>
    <t>battistellamotos@gmail.com, victoriobattistella@gmail.com, battistella.agustin@gmail.com</t>
  </si>
  <si>
    <t>2612576033 / 2616552541</t>
  </si>
  <si>
    <t>43/2023</t>
  </si>
  <si>
    <t>G - 001579</t>
  </si>
  <si>
    <t>EX-2022-9195051- -GDEMZA-DPA#SAYOT</t>
  </si>
  <si>
    <t>SERVICIOS MILENIUN S.A.</t>
  </si>
  <si>
    <t>30-71030459-1</t>
  </si>
  <si>
    <t>FABRICACIÓN DE PRODUCTOS METÁLICOS PARA USO ESTRUCTURAL</t>
  </si>
  <si>
    <t>CALLEJÓN GENTILLI S/N LOTE 5</t>
  </si>
  <si>
    <t>davidquiroga@cuencadelsur.com, info@cuencadelsur.com</t>
  </si>
  <si>
    <t>4981509 / 2616787008</t>
  </si>
  <si>
    <t>42/2023</t>
  </si>
  <si>
    <t>G - 001580</t>
  </si>
  <si>
    <t>EX-2022-8980263- -GDEMZA-DPA#SAYOT</t>
  </si>
  <si>
    <t>TRANTOR S.A. (Guaymallen)</t>
  </si>
  <si>
    <t>30-70722288-9</t>
  </si>
  <si>
    <t>GOB. VIDELA Y PASCUAL TOSO</t>
  </si>
  <si>
    <t xml:space="preserve">consultoralatinasrl@gmail.com, </t>
  </si>
  <si>
    <t>124/2023</t>
  </si>
  <si>
    <t>G - 001581</t>
  </si>
  <si>
    <t>EX-2022-8980327- -GDEMZA-DPA#SAYOT</t>
  </si>
  <si>
    <t>TRANTOR S.A. (Lujan de Cuyo)</t>
  </si>
  <si>
    <t>REMEDIOS ESCALADA N° 47</t>
  </si>
  <si>
    <t>consultoralatinasrl@gmail.com rurquiza@nicoshopping.com</t>
  </si>
  <si>
    <t>125/2023</t>
  </si>
  <si>
    <t>G - 001582</t>
  </si>
  <si>
    <t>EX-2022-8987660- -GDEMZA-DPA#SAYOT</t>
  </si>
  <si>
    <t>TRANTOR S.A. (Maipu)</t>
  </si>
  <si>
    <t>OZAMIS Y CORREA</t>
  </si>
  <si>
    <t>consultoralatinasrl@gmail.com, tallernicoshopping@gmail.com</t>
  </si>
  <si>
    <t>132/2023</t>
  </si>
  <si>
    <t>G - 001583</t>
  </si>
  <si>
    <t>EX-2022-8822856- -GDEMZA-DPA#SAYOT</t>
  </si>
  <si>
    <t>MGV S.A.</t>
  </si>
  <si>
    <t>30-71231876-3</t>
  </si>
  <si>
    <t>Lateral Oeste Ruta 7 s/n°</t>
  </si>
  <si>
    <t>camad@tecnovid.com.ar</t>
  </si>
  <si>
    <t>136/2023</t>
  </si>
  <si>
    <t>G - 001584</t>
  </si>
  <si>
    <t>EX-2022-8987698- -GDEMZA-DPA#SAYOT</t>
  </si>
  <si>
    <t>MAGADEA S.R.L. (Coronel Plaza)</t>
  </si>
  <si>
    <t>CORONEL PLAZA N° 72</t>
  </si>
  <si>
    <t>vallegrandega@hotmail.com, gomezoscardavid@gmail.com</t>
  </si>
  <si>
    <t>133/2023</t>
  </si>
  <si>
    <t>G - 001585</t>
  </si>
  <si>
    <t>EX-2022-9163930- -GDEMZA-DPA#SAYOT</t>
  </si>
  <si>
    <t>AMERICAN GARLIC PRODUCTS SA.</t>
  </si>
  <si>
    <t>30-70937340-0</t>
  </si>
  <si>
    <t>AGROINDUSTRIA</t>
  </si>
  <si>
    <t>MARIANI Y TABANERA</t>
  </si>
  <si>
    <t>calidad@americangarlic.com.ar</t>
  </si>
  <si>
    <t>4821883 / 2617210734</t>
  </si>
  <si>
    <t>109/2023</t>
  </si>
  <si>
    <t>G - 001586</t>
  </si>
  <si>
    <t>EX-2023-209292- -GDEMZA-DPA#SAYOT</t>
  </si>
  <si>
    <t>ALFA DESARROLLOS S.A.S.</t>
  </si>
  <si>
    <t>30-71782415-2</t>
  </si>
  <si>
    <t>INSTALACION Y EXTENSION DE LINEAS DE GAS - REDES</t>
  </si>
  <si>
    <t>RECONQUISTA N° 1232</t>
  </si>
  <si>
    <t>SANTIAGO DEL ESTERO N° 443</t>
  </si>
  <si>
    <t>alfadesarrollos.sas@gmail.com, fannyfarias@gmail.com</t>
  </si>
  <si>
    <t>2615184507 / 261-3447549</t>
  </si>
  <si>
    <t>110/2023</t>
  </si>
  <si>
    <t>G - 001587</t>
  </si>
  <si>
    <t>EX-2023-554817- -GDEMZA-DPA#SAYOT</t>
  </si>
  <si>
    <t>MINISTERIO PUBLICO FISCAL</t>
  </si>
  <si>
    <t>30-71544492-1</t>
  </si>
  <si>
    <t>Organismo Público - Servicios de justicia</t>
  </si>
  <si>
    <t>PLANTAMURA Y SAN FELIPE</t>
  </si>
  <si>
    <t>BELGRANO Y VIRGEN DEL CARMEN DE CUYO</t>
  </si>
  <si>
    <t>maxcortez@mpfmza.gob.ar</t>
  </si>
  <si>
    <t>3487577 / 348-7683</t>
  </si>
  <si>
    <t>Y14-Y41-Y42-Y48</t>
  </si>
  <si>
    <t>107/2023</t>
  </si>
  <si>
    <t>G - 001588</t>
  </si>
  <si>
    <t>EX-2023-586082- -GDEMZA-DPA#SAYOT</t>
  </si>
  <si>
    <t>NRN SOLUCIONES DIGITALES SAS</t>
  </si>
  <si>
    <t>30-71688670-7</t>
  </si>
  <si>
    <t>Impresión de etiquetas para botellas de vino</t>
  </si>
  <si>
    <t>PERITO MORENO 1886</t>
  </si>
  <si>
    <t>infoadm@signeus.com, fabricionaz@gmail.com</t>
  </si>
  <si>
    <t>2613070124 / 2616585527</t>
  </si>
  <si>
    <t>99/2023</t>
  </si>
  <si>
    <t>G - 001589</t>
  </si>
  <si>
    <t>EX-2023-935200- -GDEMZA-DPA#SAYOT</t>
  </si>
  <si>
    <t>CONSTRUCCIONES ELECTROMECANICAS DEL OESTE SA -OBRAS ANDINAS</t>
  </si>
  <si>
    <t>30-7162991-0</t>
  </si>
  <si>
    <t>ACCESO SUR N° 7567</t>
  </si>
  <si>
    <t>Ruta Prov. Nº 28</t>
  </si>
  <si>
    <t>126/2023</t>
  </si>
  <si>
    <t>G - 001590</t>
  </si>
  <si>
    <t>EX-2023-669177- -GDEMZA-DPA#SAYOT</t>
  </si>
  <si>
    <t>VENTA DE AUTOPARTES NUEVAS Y USADAS</t>
  </si>
  <si>
    <t>VICENTE ZAPATA N° 169</t>
  </si>
  <si>
    <t>DOREGO</t>
  </si>
  <si>
    <t>97/2023</t>
  </si>
  <si>
    <t>G - 001591</t>
  </si>
  <si>
    <t>EX-2023-934528- -GDEMZA-DPA#SAYOT</t>
  </si>
  <si>
    <t>TRIVENTO BODEGAS Y VIÑEDOS SA</t>
  </si>
  <si>
    <t>3-68989817-9</t>
  </si>
  <si>
    <t>Vitivinicola</t>
  </si>
  <si>
    <t>SAN MARTIN N° 2071</t>
  </si>
  <si>
    <t>2615866002 - 2616163564</t>
  </si>
  <si>
    <t>123/2023</t>
  </si>
  <si>
    <t>G - 001592</t>
  </si>
  <si>
    <t>EX-2023-1118868- -GDEMZA-DPA#SAYOT</t>
  </si>
  <si>
    <t>TRANSPOL S.R.L.</t>
  </si>
  <si>
    <t>30-70936768-0</t>
  </si>
  <si>
    <t>SERVICIO DE TRANSPORTE AUTOMOTOR DE PASAJEROS</t>
  </si>
  <si>
    <t>PASO DE LOS ANDES N° 540</t>
  </si>
  <si>
    <t>vbravomellado@gmail.com, transpol.srl.mza@gmail.com</t>
  </si>
  <si>
    <t>127/2023</t>
  </si>
  <si>
    <t>G - 001593</t>
  </si>
  <si>
    <t>EX-2023-1869889- -GDEMZA-DPA#SAYOT</t>
  </si>
  <si>
    <t>CUYOCREM ARGENTINA S.A.</t>
  </si>
  <si>
    <t>30-70860120-5</t>
  </si>
  <si>
    <t>PRODUCCION Y VENTA DE HELADOS</t>
  </si>
  <si>
    <t>Urquiza 980</t>
  </si>
  <si>
    <t>rrhh@heladoslomoro.com.ar, wurrutia@hotmail.com</t>
  </si>
  <si>
    <t>2616849898 - 2615176075</t>
  </si>
  <si>
    <t>210/2023</t>
  </si>
  <si>
    <t>G - 001594</t>
  </si>
  <si>
    <t>EX-2023-1865193- -GDEMZA-DPA#SAYOT</t>
  </si>
  <si>
    <t>MEL &amp; SAN S. A.</t>
  </si>
  <si>
    <t>33-71755547-9</t>
  </si>
  <si>
    <t>Don Pancho 4419</t>
  </si>
  <si>
    <t>MAYOR DRUDMOND</t>
  </si>
  <si>
    <t>Boedo y Lat. Este Acceso Sur</t>
  </si>
  <si>
    <t>marilinamelendo1981@gmail.com, yanimarin1983@hotmail.com</t>
  </si>
  <si>
    <t>2616795625 - 2616079181</t>
  </si>
  <si>
    <t>174/2023</t>
  </si>
  <si>
    <t>G - 001595</t>
  </si>
  <si>
    <t>EX-2023-1865231- -GDEMZA-DPA#SAYOT</t>
  </si>
  <si>
    <t>VAGRAM S.A.S.</t>
  </si>
  <si>
    <t>33-71710043-9</t>
  </si>
  <si>
    <t>TALLER DE EQUIPOS DE COMPUTACION Y VENTA DE INSUMOS</t>
  </si>
  <si>
    <t>Saavedra 758</t>
  </si>
  <si>
    <t>vagramsa@gmail.com, asyhlaboral@yahoo.com.ar</t>
  </si>
  <si>
    <t>2615058697 - 2615955810</t>
  </si>
  <si>
    <t>211/2023</t>
  </si>
  <si>
    <t>G - 001596</t>
  </si>
  <si>
    <t>EX-2023-1869854- -GDEMZA-DPA#SAYOT</t>
  </si>
  <si>
    <t>FERNANDEZ JOSE LUIS</t>
  </si>
  <si>
    <t>20-12564030-4</t>
  </si>
  <si>
    <t>RECUPERACIÓN DE MATERIALES Y DESECHOS NO METÁLICOS</t>
  </si>
  <si>
    <t>Milagros 7173</t>
  </si>
  <si>
    <t xml:space="preserve">LOS CORRALITOS </t>
  </si>
  <si>
    <t>fernandezplanillas@gmail.com, zammitto15@gmail.com</t>
  </si>
  <si>
    <t>2613682574 - 2613473915</t>
  </si>
  <si>
    <t>173/2023</t>
  </si>
  <si>
    <t>G - 001597</t>
  </si>
  <si>
    <t>EX-2023-1869936- -GDEMZA-DPA#SAYOT</t>
  </si>
  <si>
    <t>LOPEZ PABLO</t>
  </si>
  <si>
    <t>20-26781210-2</t>
  </si>
  <si>
    <t>VENTA ,INSTALACIONES ,REPARACIONES DE EQUIPOS DE GNC</t>
  </si>
  <si>
    <t>Joaquin V. Gonzalez 134</t>
  </si>
  <si>
    <t xml:space="preserve">geord2015@gmail.com, </t>
  </si>
  <si>
    <t>188/2023</t>
  </si>
  <si>
    <t>G - 001598</t>
  </si>
  <si>
    <t>EX-2023-1869978- -GDEMZA-DPA#SAYOT</t>
  </si>
  <si>
    <t>ANSELMINO PLASTICOS S.R.L.</t>
  </si>
  <si>
    <t>30-71172083-5</t>
  </si>
  <si>
    <t>FABRICACIÓN DE PRODUCTOS PLÁSTICOS EN FORMAS BÁSICAS Y ARTÍCULOS DE PLÁSTICO</t>
  </si>
  <si>
    <t>9 de Julio 2249</t>
  </si>
  <si>
    <t>anselplast@gmail.com, joseluisanselmino@gmail.com, zammitto15@gmail.com</t>
  </si>
  <si>
    <t>2616918480 - 2613473915</t>
  </si>
  <si>
    <t>189/2023</t>
  </si>
  <si>
    <t>G - 001599</t>
  </si>
  <si>
    <t>EX-2023-1869806- -GDEMZA-DPA#SAYOT</t>
  </si>
  <si>
    <t>DIRECCION NACIONAL DE VIALIDAD - LAS HERAS</t>
  </si>
  <si>
    <t>Taller de vehículos y expendio de combustibles uso privado</t>
  </si>
  <si>
    <t>Pedro Molina y Belgrano</t>
  </si>
  <si>
    <t>Ruta Nac. 7 km 1183</t>
  </si>
  <si>
    <t>mgmendez@vialidad.gob.ar, gamstutz@vialidad.gob.ar</t>
  </si>
  <si>
    <t>4291901 - 2615860581</t>
  </si>
  <si>
    <t>190/2023</t>
  </si>
  <si>
    <t>G - 001600</t>
  </si>
  <si>
    <t>EX-2023-2004412- -GDEMZA-DPA#SAYOT</t>
  </si>
  <si>
    <t>HUINCAN S.A.S.</t>
  </si>
  <si>
    <t>30-65247026-9</t>
  </si>
  <si>
    <t>BELGRANO S/N° LOTE 60 PARQUE DESARROLLO EMP</t>
  </si>
  <si>
    <t>silvioberon@huincan.com.ar, danielmassolin@huincan.com.ar</t>
  </si>
  <si>
    <t>266/2023</t>
  </si>
  <si>
    <t>G - 001601</t>
  </si>
  <si>
    <t>EX-2023-2004458- -GDEMZA-DPA#SAYOT</t>
  </si>
  <si>
    <t>CICAMET S.A.S.</t>
  </si>
  <si>
    <t>30-71745853-9</t>
  </si>
  <si>
    <t>Taller de fundición y metalúrgico</t>
  </si>
  <si>
    <t>MONTEAGUDO S/N°</t>
  </si>
  <si>
    <t>cicametsas@gmail.com</t>
  </si>
  <si>
    <t>230/2023</t>
  </si>
  <si>
    <t>G - 001602</t>
  </si>
  <si>
    <t>EX-2023-2004775- -GDEMZA-DPA#SAYOT</t>
  </si>
  <si>
    <t>FERNANDEZ JORGE</t>
  </si>
  <si>
    <t>20-29056971-1</t>
  </si>
  <si>
    <t>SANTIAGO DEL ESTERO N° 1766</t>
  </si>
  <si>
    <t>jorge.pelado.1981@gmail.com</t>
  </si>
  <si>
    <t>262/2023</t>
  </si>
  <si>
    <t>G - 001603</t>
  </si>
  <si>
    <t>EX-2023-2490473- -GDEMZA-DPA#SAYOT</t>
  </si>
  <si>
    <t>COOP. TRABAJO TEXTIL SEUCA LTDA</t>
  </si>
  <si>
    <t>30-71156688-7</t>
  </si>
  <si>
    <t>Empresa Textil</t>
  </si>
  <si>
    <t>LAS HERAS N° 513</t>
  </si>
  <si>
    <t>compras@viatrading.com.ar, oskaral2002@yahoo.com.ar</t>
  </si>
  <si>
    <t>2614312891 - 2613012199</t>
  </si>
  <si>
    <t>Y8-Y12-Y31-Y32-Y48</t>
  </si>
  <si>
    <t>263/2023</t>
  </si>
  <si>
    <t>G - 001604</t>
  </si>
  <si>
    <t>EX-2023-2491959- -GDEMZA-DPA#SAYOT</t>
  </si>
  <si>
    <t>ARGENSUN S.A.</t>
  </si>
  <si>
    <t>30-64078319-9</t>
  </si>
  <si>
    <t>AGROALIMENTICIA</t>
  </si>
  <si>
    <t>MITRE N° 4055</t>
  </si>
  <si>
    <t>danilo.carrazco@argensun.com.ar, marina.herrera@argensun.com.ar, carlos.moyano@argensun.com.ar</t>
  </si>
  <si>
    <t>251/2023</t>
  </si>
  <si>
    <t>G - 001605</t>
  </si>
  <si>
    <t>EX-2023-2521454- -GDEMZA-DPA#SAYOT</t>
  </si>
  <si>
    <t>ROMEU DAVILA JOSE MARIA</t>
  </si>
  <si>
    <t>23-24512461-9</t>
  </si>
  <si>
    <t>Reparación de cámaras y cubiertas ,reparación de amortiguadores ,alineación y balanceo de ruedas</t>
  </si>
  <si>
    <t>SANTA MARIA DE ORO N° 230</t>
  </si>
  <si>
    <t>RODEO DEL MEDIO</t>
  </si>
  <si>
    <t>joseromeux99@gmail.com</t>
  </si>
  <si>
    <t>229/2023</t>
  </si>
  <si>
    <t>G - 001606</t>
  </si>
  <si>
    <t>EX-2023-2857604- -GDEMZA-DPA#SAYOT</t>
  </si>
  <si>
    <t>MAZARA HNOS SA</t>
  </si>
  <si>
    <t>30-60660242-8</t>
  </si>
  <si>
    <t>Elaboración de durazno en mitades y pulpa de durazno enlatados</t>
  </si>
  <si>
    <t>RUTA PROV 50 Y VIOR</t>
  </si>
  <si>
    <t>mazara@mazarahnos.com.ar, consultingsafework2021@gmail.com</t>
  </si>
  <si>
    <t>269/2023</t>
  </si>
  <si>
    <t>G - 001607</t>
  </si>
  <si>
    <t>EX-2023-2935371- -GDEMZA-DPA#SAYOT</t>
  </si>
  <si>
    <t>MINISTERIO DE SALUD, DESARROLLO SOCIAL Y DEPORTES</t>
  </si>
  <si>
    <t>30-99927974-7</t>
  </si>
  <si>
    <t>SERVICIOS PARA LA REGULACIÓN DE LAS ACTIVIDADES SANITARIAS, EDUCATIVAS, CULTURALES, Y RESTANTES</t>
  </si>
  <si>
    <t>Casa de Gobierno 5° Piso</t>
  </si>
  <si>
    <t>Videla Castillo N° 2961</t>
  </si>
  <si>
    <t>CUARTA SECCION</t>
  </si>
  <si>
    <t>abastecimiento-salud@mendoza.gov.ar, vpalomo@mendoza.gov.ar</t>
  </si>
  <si>
    <t>Y4-Y16-Y48</t>
  </si>
  <si>
    <t>264/2023</t>
  </si>
  <si>
    <t>G - 001608</t>
  </si>
  <si>
    <t>EX-2023-2857560- -GDEMZA-DPA#SAYOT</t>
  </si>
  <si>
    <t>COMPAÑÍA TSB S.A.</t>
  </si>
  <si>
    <t>Compañía de transportes y servicios</t>
  </si>
  <si>
    <t>RUTA PROV 180 LOTE 4</t>
  </si>
  <si>
    <t>dcorrea@vdntys.com.ar, fpereyra@tsbsa.com.ar, dgonzaleznqn@gmail.com</t>
  </si>
  <si>
    <t>2994413105 - 2994533704</t>
  </si>
  <si>
    <t>284/2023</t>
  </si>
  <si>
    <t>G - 001609</t>
  </si>
  <si>
    <t>EX-2023-2859007- -GDEMZA-DPA#SAYOT</t>
  </si>
  <si>
    <t>HIMAN RECICLAJES SA</t>
  </si>
  <si>
    <t>30-71479125-3</t>
  </si>
  <si>
    <t>VENTA AL POR MAYOR DE PRODUCTOS INTERMEDIOS, DESPERDICIOS Y DESECHOS METÁLICOS, MADERAS Y OTROS</t>
  </si>
  <si>
    <t>FRANCISCO ALVAREZ N° 3190</t>
  </si>
  <si>
    <t>9 DE JULIO N° 202</t>
  </si>
  <si>
    <t>vbravomellado@gmail.com, andresmanrique@himan.com.ar</t>
  </si>
  <si>
    <t>4315687 - 2615704806</t>
  </si>
  <si>
    <t>286/2023</t>
  </si>
  <si>
    <t>G - 001610</t>
  </si>
  <si>
    <t>EX-2023-2935336- -GDEMZA-DPA#SAYOT</t>
  </si>
  <si>
    <t>EL CRUCE S.A.</t>
  </si>
  <si>
    <t>30-70899307-3</t>
  </si>
  <si>
    <t>VENTA POR MENOR DE CÁMARAS Y CUBIERTAS, REPARACIÓN DE AMORTIGUADORES, LUBRICENTRO, ALINEACIÓN DE</t>
  </si>
  <si>
    <t>RODRIGUEZ PEÑA N° 850</t>
  </si>
  <si>
    <t>vbravomellado@gmail.com, elcrucemendoza@hotmail.com, cobranzaselcruce@gmail.com</t>
  </si>
  <si>
    <t>205/2023</t>
  </si>
  <si>
    <t>G - 001611</t>
  </si>
  <si>
    <t>EX-2023-2935285- -GDEMZA-DPA#SAYOT</t>
  </si>
  <si>
    <t>INVO S.A.</t>
  </si>
  <si>
    <t>30-54527603-4</t>
  </si>
  <si>
    <t>VENTA DE REPUESTOS Y MANTENIMIENTO - LUBRICENTRO</t>
  </si>
  <si>
    <t>BERUTI N° 164</t>
  </si>
  <si>
    <t>VICENTE ZAPATA N° 111</t>
  </si>
  <si>
    <t>j.l.venier@hotmail.com, silvina.hz@invosa.com</t>
  </si>
  <si>
    <t>2616244666 - 2615101264</t>
  </si>
  <si>
    <t>287/2023</t>
  </si>
  <si>
    <t>G - 001612</t>
  </si>
  <si>
    <t>EX-2023-3256657- -GDEMZA-DPA#SAYOT</t>
  </si>
  <si>
    <t>EL AZUFRE S.A.</t>
  </si>
  <si>
    <t>30-71609616-1</t>
  </si>
  <si>
    <t>Servicios Turisticos</t>
  </si>
  <si>
    <t>RUTA PROVINCIA 226 KM. 92</t>
  </si>
  <si>
    <t>mpandolfo@elazufre.com, grivaben@elazufre.com</t>
  </si>
  <si>
    <t>2614161994 - 1173619358</t>
  </si>
  <si>
    <t>204/2023</t>
  </si>
  <si>
    <t>G - 001613</t>
  </si>
  <si>
    <t>EX-2023-3329295- -GDEMZA-DPA#SAYOT</t>
  </si>
  <si>
    <t>TERRA ENERGIA S.A.</t>
  </si>
  <si>
    <t>30-71670728-4</t>
  </si>
  <si>
    <t>DISTRIBUIDOR DE COMBUSTIBLES, LUBRICANTES Y FERTILIZANTES</t>
  </si>
  <si>
    <t>RUTA N° 60 Y PUEYRREDON</t>
  </si>
  <si>
    <t>2613467907 - 2616631257</t>
  </si>
  <si>
    <t>532/2023</t>
  </si>
  <si>
    <t>G - 001614</t>
  </si>
  <si>
    <t>EX-2023-3329257- -GDEMZA-DPA#SAYOT</t>
  </si>
  <si>
    <t>AITOR IDER BALBO S.A. A.C.E.I.</t>
  </si>
  <si>
    <t>30-55166780-0</t>
  </si>
  <si>
    <t>Elaboración de vinos</t>
  </si>
  <si>
    <t>BOUDREL Y VIOR</t>
  </si>
  <si>
    <t>228/2023</t>
  </si>
  <si>
    <t>G - 001615</t>
  </si>
  <si>
    <t>EX-2023-3329232- -GDEMZA-DPA#SAYOT</t>
  </si>
  <si>
    <t>ARION S.A.S.</t>
  </si>
  <si>
    <t>30-71685263-2</t>
  </si>
  <si>
    <t>VENTA POR MENOR DE COMBUSTIBLE PARA VEHÍCULOS, AUTOMOTORES Y MOTOCICLETAS</t>
  </si>
  <si>
    <t>BARRIO EL TORREON D 2</t>
  </si>
  <si>
    <t>ALBUERA N° 126</t>
  </si>
  <si>
    <t>sanmartin@prolube.com.ar, cdavidrequena@gmail.com, maurilunello@gmail.com</t>
  </si>
  <si>
    <t>2634849820 - 2612050931</t>
  </si>
  <si>
    <t>301/2023</t>
  </si>
  <si>
    <t>G - 001616</t>
  </si>
  <si>
    <t>EX-2023-3329195- -GDEMZA-DPA#SAYOT</t>
  </si>
  <si>
    <t>EMPRENDIMIENTOS INMOBILIARIOS SAN AGUSTIN SOCIEDAD ANONIMA</t>
  </si>
  <si>
    <t>30-71194383-4</t>
  </si>
  <si>
    <t>SERVICIOS INMOBILIARIOS. SERVICIOS DE ASESORAMIENTO, DIRECCIÓN Y GESTIÓN EMPRESARIAL</t>
  </si>
  <si>
    <t>MITRE N° 1353</t>
  </si>
  <si>
    <t>CORREDOR DEL OESTE N° 3400</t>
  </si>
  <si>
    <t>GODOY CRUZ-LUJAN DE CUYO</t>
  </si>
  <si>
    <t>legales@ohaconstrucciones.com.ar, abog.julietadehoyos@hotmail.com, constanzacres@gmail.com</t>
  </si>
  <si>
    <t xml:space="preserve">4380648 - 261-5336314 </t>
  </si>
  <si>
    <t>377/2023</t>
  </si>
  <si>
    <t>G - 001617</t>
  </si>
  <si>
    <t>EX-2023-3329146- -GDEMZA-DPA#SAYOT</t>
  </si>
  <si>
    <t>AMC REFLEX ARGENTINA S.A.</t>
  </si>
  <si>
    <t>30-70750891-0</t>
  </si>
  <si>
    <t>VENTA Y DISTRIBUCIÓN DE PRODUCTOS QUÍMICOS Y SERVICIOS DE APOYO PARA LA MINERÍA</t>
  </si>
  <si>
    <t>PARQUE INDUSTRIAL 9 DE JULIO N° 891</t>
  </si>
  <si>
    <t>vbravomellado@gmail.com, David.flores@imdexlimited.com</t>
  </si>
  <si>
    <t>Y8-Y18-Y34-Y35-Y48</t>
  </si>
  <si>
    <t>288/2023</t>
  </si>
  <si>
    <t>G - 001618</t>
  </si>
  <si>
    <t>EX-2023-3615080- -GDEMZA-DPA#SAYOT</t>
  </si>
  <si>
    <t>AGUERO JORGE</t>
  </si>
  <si>
    <t>20-18103197-3</t>
  </si>
  <si>
    <t>SERVICIOS DE MECÁNICA LIGERA E INTEGRAL DE AUTOMOTORES NAFTEROS Y DIESEL</t>
  </si>
  <si>
    <t>OTERO N° 323</t>
  </si>
  <si>
    <t>GUTIERREZ</t>
  </si>
  <si>
    <t>vbravomellado@gmail.com, tinchoaguero18@gmail.com</t>
  </si>
  <si>
    <t>357/2023</t>
  </si>
  <si>
    <t>G - 001619</t>
  </si>
  <si>
    <t>EX-2023-3630215- -GDEMZA-DPA#SAYOT</t>
  </si>
  <si>
    <t>DELTA CONSTRUCTORA S.A.</t>
  </si>
  <si>
    <t>30-61263389-0</t>
  </si>
  <si>
    <t>CONSTRUCCIÓN, REFORMA Y REPARACIÓN DE EDIFICIOS RESIDENCIALES Y NO RESIDENCIALES</t>
  </si>
  <si>
    <t>BELTRAN N° 536</t>
  </si>
  <si>
    <t>RUTA N° 143</t>
  </si>
  <si>
    <t>vbravomellado@gmail.com, elopez@damoregroup.com</t>
  </si>
  <si>
    <t>289/2023</t>
  </si>
  <si>
    <t>G - 001620</t>
  </si>
  <si>
    <t>EX-2023-3688341- -GDEMZA-DPA#SAYOT</t>
  </si>
  <si>
    <t>COMPAÑIA DE TRANSPORTE DE ENERGIA ELECTRICA EN ALTA TENSION - TRANSENER SA</t>
  </si>
  <si>
    <t>30-66314877-6</t>
  </si>
  <si>
    <t>Transporte de energía eléctrica en alta tensión</t>
  </si>
  <si>
    <t>RUTA N° 60 Y RUTA 6</t>
  </si>
  <si>
    <t>laureano.pernasetti@transener.com.ar, mariano.palacios@transener.com.ar, federico.mahia@transener.com.ar</t>
  </si>
  <si>
    <t>345/2023</t>
  </si>
  <si>
    <t>G - 001621</t>
  </si>
  <si>
    <t>EX-2023-4036989- -GDEMZA-DPA#SAYOT</t>
  </si>
  <si>
    <t>VIAL AGRO S A</t>
  </si>
  <si>
    <t>30-50501218-2</t>
  </si>
  <si>
    <t>Construcción, reforma y reparación de obras de infraestructura</t>
  </si>
  <si>
    <t>RUTA 143 ENTRE ZAMARBIDE Y BIANCHI</t>
  </si>
  <si>
    <t>cristianpolimeni05@gmail.com, cpereyra@vialagro.com.ar, jgimenez@vialagro.com.ar</t>
  </si>
  <si>
    <t>302/2023</t>
  </si>
  <si>
    <t>G - 001622</t>
  </si>
  <si>
    <t>EX-2023-4029592- -GDEMZA-DPA#SAYOT</t>
  </si>
  <si>
    <t>MARENGO PEDRO ESTANISLAO</t>
  </si>
  <si>
    <t>20-24192586-3</t>
  </si>
  <si>
    <t>Lavadero Automatico de Vehiculos</t>
  </si>
  <si>
    <t>ADOLFO CALLE N° 4200</t>
  </si>
  <si>
    <t xml:space="preserve">pedromarengogestion@gmail.com, </t>
  </si>
  <si>
    <t>491/2023</t>
  </si>
  <si>
    <t>G - 001623</t>
  </si>
  <si>
    <t>EX-2023-4029599- -GDEMZA-DPA#SAYOT</t>
  </si>
  <si>
    <t>DLR SERVICIOS S.A.</t>
  </si>
  <si>
    <t>30-71074634-2</t>
  </si>
  <si>
    <t>SERVICIOS LUBRICENTRO</t>
  </si>
  <si>
    <t>BERUTTI N° 57</t>
  </si>
  <si>
    <t xml:space="preserve">licmartinaguero@gmail.com, </t>
  </si>
  <si>
    <t>303/2023</t>
  </si>
  <si>
    <t>G - 001624</t>
  </si>
  <si>
    <t>EX-2023-4029604- -GDEMZA-DPA#SAYOT</t>
  </si>
  <si>
    <t>JONATHAN S.A.</t>
  </si>
  <si>
    <t>30-70757110-8</t>
  </si>
  <si>
    <t>Fabrica de tanques metálicos, carretones y remolques</t>
  </si>
  <si>
    <t>ACCESO ESTE 1028</t>
  </si>
  <si>
    <t xml:space="preserve">RODEO DEL MEDIO </t>
  </si>
  <si>
    <t>industriasjonathan@yahoo.com.ar, loreficegustavo@yahoo.com.ar</t>
  </si>
  <si>
    <t>268/2023</t>
  </si>
  <si>
    <t>G - 001625</t>
  </si>
  <si>
    <t>EX-2023-4035548- -GDEMZA-DPA#SAYOT</t>
  </si>
  <si>
    <t>GABUTTI S.A. OLIVICOLA VITIVINICOLA</t>
  </si>
  <si>
    <t>30-70705723-4</t>
  </si>
  <si>
    <t>La empresa se dedica a la elaboración de aceite de oliva y aceitunas en conservas</t>
  </si>
  <si>
    <t>CARRIL CHIMBAS S/N°</t>
  </si>
  <si>
    <t>gabuttisa@hotmail.com, carlosdalcaras@gmail.com</t>
  </si>
  <si>
    <t>537/2023</t>
  </si>
  <si>
    <t>G - 001626</t>
  </si>
  <si>
    <t>EX-2023-4400159- -GDEMZA-DPA#SAYOT</t>
  </si>
  <si>
    <t>RABIER PABLO ALEJANDRO</t>
  </si>
  <si>
    <t>20-26128789-8</t>
  </si>
  <si>
    <t>Taller de Reparación del Tren Delantero</t>
  </si>
  <si>
    <t>TAPON MOYANO N° 2051</t>
  </si>
  <si>
    <t>BELGRANO N° 1860</t>
  </si>
  <si>
    <t>rabierpablo@gmail.com, pablorabier@gmail.com, nestor.manzur@gmail.com</t>
  </si>
  <si>
    <t>2614242280 - 2616133059</t>
  </si>
  <si>
    <t>380/2023</t>
  </si>
  <si>
    <t>G - 001627</t>
  </si>
  <si>
    <t>EX-2023-4575264- -GDEMZA-DPA#SAYOT</t>
  </si>
  <si>
    <t>MB CONSTRUCCIONES S.A.</t>
  </si>
  <si>
    <t>30-71447220-4</t>
  </si>
  <si>
    <t>Venta por mayor de artículos de ferretería, fabricación de productos elaborados en metales</t>
  </si>
  <si>
    <t>ACCESO ESTE N° 1029</t>
  </si>
  <si>
    <t>328/2023</t>
  </si>
  <si>
    <t>G - 001628</t>
  </si>
  <si>
    <t>EX-2023-4578077- -GDEMZA-DPA#SAYOT</t>
  </si>
  <si>
    <t>KINETA S.A. - BODEGA</t>
  </si>
  <si>
    <t>30-71091643-4</t>
  </si>
  <si>
    <t>ELABORACION DE VINOS</t>
  </si>
  <si>
    <t>RODRIGUEZ PEÑA N° 6655</t>
  </si>
  <si>
    <t xml:space="preserve">COQUIMBITO </t>
  </si>
  <si>
    <t>COSTA CANAL MONTECASEROS N° 22</t>
  </si>
  <si>
    <t>orodriguez@kineta.com, mbogamilsky@kineta.com</t>
  </si>
  <si>
    <t>2634797004 - 2615641210</t>
  </si>
  <si>
    <t>Y8-Y9-Y12-Y18-Y31-Y34-Y35-Y48</t>
  </si>
  <si>
    <t>324/2023</t>
  </si>
  <si>
    <t>G - 001629</t>
  </si>
  <si>
    <t>EX-2023-4810369- -GDEMZA-DPA#SAYOT</t>
  </si>
  <si>
    <t>KINETA S.A. - FINCA</t>
  </si>
  <si>
    <t>CULTIVO DE VID PARA VINIFICAR</t>
  </si>
  <si>
    <t>CARRIL CHIMBAS N° 14</t>
  </si>
  <si>
    <t>327/2023</t>
  </si>
  <si>
    <t>G - 001630</t>
  </si>
  <si>
    <t>EX-2023-4810323- -GDEMZA-DPA#SAYOT</t>
  </si>
  <si>
    <t>CONSTRUCTORA SAN JOSE-GENCO-AYFRA U.T.</t>
  </si>
  <si>
    <t>33-71787947-9</t>
  </si>
  <si>
    <t>construccion, reforma y reparacion de obras de infraestructura para el transporte</t>
  </si>
  <si>
    <t>RODRIGUEZ PEÑA N° 401</t>
  </si>
  <si>
    <t>PASO DE LOS ANDES S/N°</t>
  </si>
  <si>
    <t>326/2023</t>
  </si>
  <si>
    <t>G - 001631</t>
  </si>
  <si>
    <t>EX-2023-4962838- -GDEMZA-DPA#SAYOT</t>
  </si>
  <si>
    <t>GRUPO CHER S.A.</t>
  </si>
  <si>
    <t>30-71683231-3</t>
  </si>
  <si>
    <t>VENTA AL POR MENOR DE PARTES, PIEZAS Y ACCESORIOS NUEVOS N.C.P.</t>
  </si>
  <si>
    <t>ADOLFO CALLE N° 795</t>
  </si>
  <si>
    <t>calidad@andesmotors.com.ar, licmartinaguero@gmail.com</t>
  </si>
  <si>
    <t>325/2023</t>
  </si>
  <si>
    <t>G - 001632</t>
  </si>
  <si>
    <t>EX-2023-4962802- -GDEMZA-DPA#SAYOT</t>
  </si>
  <si>
    <t>BODEGAS Y VIÑEDOS PASCUAL TOSO S.A.U.</t>
  </si>
  <si>
    <t>30-50357439-6</t>
  </si>
  <si>
    <t>RUTA 14 N° 10050</t>
  </si>
  <si>
    <t xml:space="preserve">jcaiti@bodegastoso.com.ar, </t>
  </si>
  <si>
    <t>330/2023</t>
  </si>
  <si>
    <t>G - 001633</t>
  </si>
  <si>
    <t>EX-2023-4936883- -GDEMZA-DPA#SAYOT</t>
  </si>
  <si>
    <t>STORNINI S.A. - OBRADOR BARRIO LA FAVORITA</t>
  </si>
  <si>
    <t>PASTEUR N° 56</t>
  </si>
  <si>
    <t>OBRADOR BARRIO LA FAVORITA</t>
  </si>
  <si>
    <t>recepcion@stornini.com.ar, osvaldogil56@yahoo.com.ar</t>
  </si>
  <si>
    <t>433/2023</t>
  </si>
  <si>
    <t>G - 001634</t>
  </si>
  <si>
    <t>EX-2023-4936832- -GDEMZA-DPA#SAYOT</t>
  </si>
  <si>
    <t>ASPRO MZA S.A.</t>
  </si>
  <si>
    <t>Estación de GNC para vehículos livianos</t>
  </si>
  <si>
    <t>BANDERA DE LOS ANDES N° 3330</t>
  </si>
  <si>
    <t>DR. MORENO N° 716</t>
  </si>
  <si>
    <t>VILLA TULUMAYA</t>
  </si>
  <si>
    <t>338/2023</t>
  </si>
  <si>
    <t>G - 001635</t>
  </si>
  <si>
    <t>EX-2023-4936792- -GDEMZA-DPA#SAYOT</t>
  </si>
  <si>
    <t>PEREZ ROSSINI PABLO</t>
  </si>
  <si>
    <t>23-29036401-9</t>
  </si>
  <si>
    <t>MECANICA</t>
  </si>
  <si>
    <t>BRANDSEN N° 1340</t>
  </si>
  <si>
    <t>BELGRANO N° 1678</t>
  </si>
  <si>
    <t xml:space="preserve">debiherrero14@gmail.com, </t>
  </si>
  <si>
    <t>337/2023</t>
  </si>
  <si>
    <t>G - 001636</t>
  </si>
  <si>
    <t>EX-2023-5368443- -GDEMZA-DPA#SAYOT</t>
  </si>
  <si>
    <t>Construccion de Estructuras Metalicas</t>
  </si>
  <si>
    <t>PARQUE IND. MUNICIPAL M- D LOTE 2</t>
  </si>
  <si>
    <t>gcontreras@buccolinisa.com, dpuchol@buccolinisa.com, oavalle@buccolinisa.com</t>
  </si>
  <si>
    <t>348/2023</t>
  </si>
  <si>
    <t>G - 001637</t>
  </si>
  <si>
    <t>EX-2023-5368481- -GDEMZA-DPA#SAYOT</t>
  </si>
  <si>
    <t>TELEFONICA MOVILES DE ARG. S.A. - GODOY CRUZ</t>
  </si>
  <si>
    <t>SERVICIOS DE TELEFONIA MOVIL</t>
  </si>
  <si>
    <t>GENERAL PAZ N° 534</t>
  </si>
  <si>
    <t>LOS JAZMINES N° 938</t>
  </si>
  <si>
    <t xml:space="preserve">mauro@dhartec.com.ar, </t>
  </si>
  <si>
    <t>Y8-Y9-Y29-Y31-Y34-Y41-Y48</t>
  </si>
  <si>
    <t>304/2023</t>
  </si>
  <si>
    <t>G - 001638</t>
  </si>
  <si>
    <t>EX-2023-5278230- -GDEMZA-DPA#SAYOT</t>
  </si>
  <si>
    <t>ERGON S.A.</t>
  </si>
  <si>
    <t>30-64304410-9</t>
  </si>
  <si>
    <t>EESS VENTA DE COMBUSTIBLES GASEOSOS (GNC)</t>
  </si>
  <si>
    <t>RUTA PROVINCAL N° 34 KM 7</t>
  </si>
  <si>
    <t>ergonlavalle@gmail.com, emilambertucci@hotmail.com</t>
  </si>
  <si>
    <t>2617137113 - 2615273461</t>
  </si>
  <si>
    <t>427/2023</t>
  </si>
  <si>
    <t>G - 001639</t>
  </si>
  <si>
    <t>EX-2023-5471066- -GDEMZA-DPA#SAYOT</t>
  </si>
  <si>
    <t>DINOSAURIO S.A. - TADICOR SAN MARTIN</t>
  </si>
  <si>
    <t>30-69847147-2</t>
  </si>
  <si>
    <t>VENTA AL POR MAYOR Y MENOR EN SUPERMERCADOS DE ALIMENTOS</t>
  </si>
  <si>
    <t>RUTA NACIONAL 7 LATERAL SUR S/N°</t>
  </si>
  <si>
    <t>cambrosini@tadicormendoza.com, ricardofuentes2027@gmail.com</t>
  </si>
  <si>
    <t>384/2023</t>
  </si>
  <si>
    <t>G - 001640</t>
  </si>
  <si>
    <t>EX-2023-5471114- -GDEMZA-DPA#SAYOT</t>
  </si>
  <si>
    <t>DINOSAURIO S.A. - TADICOR LAS HERAS</t>
  </si>
  <si>
    <t>DRAGUI LUCERO N° 1450</t>
  </si>
  <si>
    <t xml:space="preserve">2616221456 - 2615095511
</t>
  </si>
  <si>
    <t>379/2023</t>
  </si>
  <si>
    <t>G - 001641</t>
  </si>
  <si>
    <t>EX-2023-5370374- -GDEMZA-DPA#SAYOT</t>
  </si>
  <si>
    <t>DANIEL SABATINI PRODUCTOS QUIMICOS S.R.L.</t>
  </si>
  <si>
    <t>30-61263273-8</t>
  </si>
  <si>
    <t>Comercialización y Fabricación de Productos químicos</t>
  </si>
  <si>
    <t>RODRIGUEZ PEÑA N° 2388</t>
  </si>
  <si>
    <t xml:space="preserve">sabatiniquimicos@gmail.com </t>
  </si>
  <si>
    <t>Y9-Y34-Y35-Y42-Y48</t>
  </si>
  <si>
    <t>383/2023</t>
  </si>
  <si>
    <t>G - 001642</t>
  </si>
  <si>
    <t>EX-2023-5511773- -GDEMZA-DPA#SAYOT</t>
  </si>
  <si>
    <t>COOPERATIVA VITIVINICOLA INGENIERO GIAGNONI LTDA</t>
  </si>
  <si>
    <t>30-63153785-1</t>
  </si>
  <si>
    <t>CARRIL SUD ALTO VERDE S/N°</t>
  </si>
  <si>
    <t xml:space="preserve">coopgiagnoni@coopgiagnoni.com.ar, </t>
  </si>
  <si>
    <t>382/2023</t>
  </si>
  <si>
    <t>G - 001643</t>
  </si>
  <si>
    <t>EX-2023-5482415- -GDEMZA-DPA#SAYOT</t>
  </si>
  <si>
    <t>LIBERTAD S.A.</t>
  </si>
  <si>
    <t>30-61292945-5</t>
  </si>
  <si>
    <t>VENTA AL POR MENOR EN HIPERMERCADOS / VENTA AL POR MAYOR DE PRODUCTOS ALIMENTICIOS / GALERIA</t>
  </si>
  <si>
    <t>JOAQUIN V. GONZALEZ N° 450</t>
  </si>
  <si>
    <t>msobol@libertadsa.com.ar, adriana.vargas@hotmail.com.ar</t>
  </si>
  <si>
    <t>2616365446 - 2615217228</t>
  </si>
  <si>
    <t>Y4-Y8-Y12-Y13-Y29-Y48</t>
  </si>
  <si>
    <t>451/2023</t>
  </si>
  <si>
    <t>G - 001644</t>
  </si>
  <si>
    <t>EX-2023-5477804- -GDEMZA-DPA#SAYOT</t>
  </si>
  <si>
    <t>MILLAN S A - DEPOSITO LAS HERAS</t>
  </si>
  <si>
    <t>Comercial</t>
  </si>
  <si>
    <t>ALVAREZ CONDARCO N° 740</t>
  </si>
  <si>
    <t>4490878 - 2616812212</t>
  </si>
  <si>
    <t>431/2023</t>
  </si>
  <si>
    <t>G - 001645</t>
  </si>
  <si>
    <t>EX-2023-5606359- -GDEMZA-DPA#SAYOT</t>
  </si>
  <si>
    <t>GEOTRANS S.A. - LAS HERAS</t>
  </si>
  <si>
    <t>30-70933947-4</t>
  </si>
  <si>
    <t>ESTACIÓN DE SERVICIO DUAL</t>
  </si>
  <si>
    <t>RAFAEL OBLIGADO N° 1510</t>
  </si>
  <si>
    <t>SAN MARTIN N° 3141</t>
  </si>
  <si>
    <t>mys.mendoza@gmail.com, carlosjbaggio@yahoo.com.ar, gonzalocampo88@gmail.com</t>
  </si>
  <si>
    <t>432/2023</t>
  </si>
  <si>
    <t>G - 001646</t>
  </si>
  <si>
    <t>EX-2023-5482453- -GDEMZA-DPA#SAYOT</t>
  </si>
  <si>
    <t>TRANSPORTE ZAMARIAN S.R.L.</t>
  </si>
  <si>
    <t>30-70799197-2</t>
  </si>
  <si>
    <t>Guarda y mantenimiento de camiones de carga de uso particular</t>
  </si>
  <si>
    <t>MALLEA N° 553</t>
  </si>
  <si>
    <t>administracion@transporteszamarian.com, soledad.brandi@gmail.com</t>
  </si>
  <si>
    <t>426/2023</t>
  </si>
  <si>
    <t>G - 001647</t>
  </si>
  <si>
    <t>EX-2023-6004224- -GDEMZA-DPA#SAYOT</t>
  </si>
  <si>
    <t>JOHN CRANE ARGENTINA S.A.</t>
  </si>
  <si>
    <t>30-65734298-6</t>
  </si>
  <si>
    <t>REPARACION DE SELLOS MECANICOS</t>
  </si>
  <si>
    <t>SAN MARTIN SUR N° 860</t>
  </si>
  <si>
    <t>hsemza@gmail.com, horacio.lukaes@johncrane.com</t>
  </si>
  <si>
    <t>2616672027 - 2616672025</t>
  </si>
  <si>
    <t>425/2023</t>
  </si>
  <si>
    <t>G - 001648</t>
  </si>
  <si>
    <t>EX-2023-6004177- -GDEMZA-DPA#SAYOT</t>
  </si>
  <si>
    <t>1.830 S.A.</t>
  </si>
  <si>
    <t>33-71553131-9</t>
  </si>
  <si>
    <t>Actividades especilizadas de construción NCP</t>
  </si>
  <si>
    <t>SAN FRANCISCO DEL MONTE N° 2546</t>
  </si>
  <si>
    <t>argeon1830sa@gmial.com, diegogaldeano@gmial.com, nataliaizquierdo11@gmail.com</t>
  </si>
  <si>
    <t>2613461730 - 2615387983</t>
  </si>
  <si>
    <t>435/2023</t>
  </si>
  <si>
    <t>G - 001649</t>
  </si>
  <si>
    <t>EX-2023-6124669- -GDEMZA-DPA#SAYOT</t>
  </si>
  <si>
    <t>LA ESTACION S.A.</t>
  </si>
  <si>
    <t>30-70828190-1</t>
  </si>
  <si>
    <t>PELEGRINI Y DELGADO</t>
  </si>
  <si>
    <t>la_estacion_sa@yahoo.com.ar, jar@ravaonline.com, diegocasado10.dc@gmail.com</t>
  </si>
  <si>
    <t>1155986064 - 1154079421</t>
  </si>
  <si>
    <t>428/2023</t>
  </si>
  <si>
    <t>G - 001650</t>
  </si>
  <si>
    <t>EX-2023-6295796- -GDEMZA-DPA#SAYOT</t>
  </si>
  <si>
    <t>MUSRI CARLOS GABRIEL</t>
  </si>
  <si>
    <t>20-20387100-8</t>
  </si>
  <si>
    <t>Fábrica de Bolsas de Rafia</t>
  </si>
  <si>
    <t>SILVANO RODRIGUEZ N° 4645</t>
  </si>
  <si>
    <t>CALLE 12 S/N°</t>
  </si>
  <si>
    <t>448/2023</t>
  </si>
  <si>
    <t>G - 001651</t>
  </si>
  <si>
    <t>EX-2023-6295840- -GDEMZA-DPA#SAYOT</t>
  </si>
  <si>
    <t>PECON SERVICIOS Y ENERGIA S.A. PERDRIEL</t>
  </si>
  <si>
    <t>Operación y mantenimiento de plantas de tratamiento de petróleo e inyección de agua a yacimientos, y</t>
  </si>
  <si>
    <t>RUTA 87 N° 8400</t>
  </si>
  <si>
    <t>daniel.ferreyra@pecomenergia.com.ar, fabricio.dirocco@pecomenergia.com.ar</t>
  </si>
  <si>
    <t>2616551265 - 2994127841</t>
  </si>
  <si>
    <t>453/2023</t>
  </si>
  <si>
    <t>G - 001652</t>
  </si>
  <si>
    <t>EX-2023-6295903- -GDEMZA-DPA#SAYOT</t>
  </si>
  <si>
    <t>PREAR PRETENSADOS ARGENTINOS S.A.</t>
  </si>
  <si>
    <t>33-57516026-9</t>
  </si>
  <si>
    <t>Fabricación de elementos premoldeados y pretensados de hormigón, para industrias viales, mineras,</t>
  </si>
  <si>
    <t>RODRIGUEZ PEÑA N° 5149</t>
  </si>
  <si>
    <t>cristianpolimeni05@gmail.com, gpons@prear.com.ar, hmackern@prear.com.ar</t>
  </si>
  <si>
    <t>531/2023</t>
  </si>
  <si>
    <t>G - 001653</t>
  </si>
  <si>
    <t>EX-2023-6268532- -GDEMZA-DPA#SAYOT</t>
  </si>
  <si>
    <t>SOLUTIONS &amp; PARTS S.A.S. - calle Juan Jose Castelli</t>
  </si>
  <si>
    <t>30-71672686-6</t>
  </si>
  <si>
    <t>TALLER DE CHAPERÍA Y PINTURA</t>
  </si>
  <si>
    <t>BELTRAN N° 105</t>
  </si>
  <si>
    <t>JUAN JOSE CASTELLI N° 455</t>
  </si>
  <si>
    <t>vbravomellado@gmail.com, enzocompleta@hotmail.com</t>
  </si>
  <si>
    <t>2615534753 - 2616164127</t>
  </si>
  <si>
    <t>534/2023</t>
  </si>
  <si>
    <t>G - 001654</t>
  </si>
  <si>
    <t>EX-2023-6268583 -GDEMZA-DPA#SAYOT</t>
  </si>
  <si>
    <t>Venta de Neumáticos</t>
  </si>
  <si>
    <t>JOSE VICENTE ZAPATA N° 137</t>
  </si>
  <si>
    <t>dorrego@neumaticoscorral.com, leandro.maffoni@neumaticoscorral.com, oskaral2002@yahoo.com.ar</t>
  </si>
  <si>
    <t>449/2023</t>
  </si>
  <si>
    <t>G - 001655</t>
  </si>
  <si>
    <t>EX-2023-06268631-   -GDEMZA-DPA#SAYOT</t>
  </si>
  <si>
    <t>STORNINI S.A. – C° DE LA GLORIA</t>
  </si>
  <si>
    <t>AV. SAN FRANCISCO DE ASIS S/N°</t>
  </si>
  <si>
    <t>CERRO DE LA GLORIA</t>
  </si>
  <si>
    <t xml:space="preserve">fstornini@stornini.com.ar </t>
  </si>
  <si>
    <t>454/2023</t>
  </si>
  <si>
    <t>G - 001656</t>
  </si>
  <si>
    <t>EX-2023-6268683-   -GDEMZA-DPA#SAYOT</t>
  </si>
  <si>
    <t>LUBRI - REP SAS</t>
  </si>
  <si>
    <t>33-71774437-9</t>
  </si>
  <si>
    <t>OLASCOAGA N° 1214</t>
  </si>
  <si>
    <t>INDEPENDENCIA N° 1420</t>
  </si>
  <si>
    <t>jonathanmurgo@hotmail.com, hugo.baldin@gmail.com</t>
  </si>
  <si>
    <t>2614259956 - 2612061279</t>
  </si>
  <si>
    <t>489/2023</t>
  </si>
  <si>
    <t>G - 001657</t>
  </si>
  <si>
    <t>EX-2023-7312359-   -GDEMZA-DPA#SAYOT</t>
  </si>
  <si>
    <t>ECO CUYUM SA</t>
  </si>
  <si>
    <t>30-71539421-5</t>
  </si>
  <si>
    <t>PLANTA RECICLADORA DE NEUMATICOS FUERA DE USO</t>
  </si>
  <si>
    <t>INDEPENDENCIA N° 484</t>
  </si>
  <si>
    <t>asabatinihys@gmail.com</t>
  </si>
  <si>
    <t>497/2023</t>
  </si>
  <si>
    <t>G - 001658</t>
  </si>
  <si>
    <t>EX-2023-6560014-   -GDEMZA-DPA#SAYOT</t>
  </si>
  <si>
    <t>SOLUTIONS &amp; PARTS S.A. – BELTRAN 105</t>
  </si>
  <si>
    <t>TALLER MECÁNICO</t>
  </si>
  <si>
    <t>490/2023</t>
  </si>
  <si>
    <t>G - 001659</t>
  </si>
  <si>
    <t>EX-2023-6563553-   -GDEMZA-DPA#SAYOT</t>
  </si>
  <si>
    <t>BARBOZA ALFREDO LUCIO</t>
  </si>
  <si>
    <t>20-22316753-6</t>
  </si>
  <si>
    <t>MECANICA LIGERA Y VENTAS DE REPUESTOS DEL AUTOMOTOR</t>
  </si>
  <si>
    <t>LAS CALANDRIAS N° 678</t>
  </si>
  <si>
    <t>PERITO MORENO N° 1525</t>
  </si>
  <si>
    <t>garellapatricia@gmail.com</t>
  </si>
  <si>
    <t>549/2023</t>
  </si>
  <si>
    <t>G - 001660</t>
  </si>
  <si>
    <t>EX-2023-6773035-   -GDEMZA-DPA#SAYOT</t>
  </si>
  <si>
    <t>DAVID OSCAR RUBEN</t>
  </si>
  <si>
    <t>20-08158550-5</t>
  </si>
  <si>
    <t>MAYORISTA DE PRODUCTOS DE CONSUMO MASIVO</t>
  </si>
  <si>
    <t>ELIPIDIO GONZALEZ N° 320</t>
  </si>
  <si>
    <t>gbertozzi.hys@oscardavid.com.ar, oscardavid@oscarddavid.com.ar</t>
  </si>
  <si>
    <t>2614526000 - 2616523564</t>
  </si>
  <si>
    <t>Y8-Y9-Y12-Y15-Y48</t>
  </si>
  <si>
    <t>493/2023</t>
  </si>
  <si>
    <t>G - 001661</t>
  </si>
  <si>
    <t>EX-2023-6773080-   -GDEMZA-DPA#SAYOT</t>
  </si>
  <si>
    <t>YESOS MALARGÜE S.R.L.</t>
  </si>
  <si>
    <t>30-71690536-1</t>
  </si>
  <si>
    <t>Elaboracion de Yes</t>
  </si>
  <si>
    <t>MONTEAGUDO N° 725</t>
  </si>
  <si>
    <t>CALLE 3 Y 4 PIM</t>
  </si>
  <si>
    <t>arielrizzo@gmail.com, rubenrijavec@gmail.com</t>
  </si>
  <si>
    <t>492/2023</t>
  </si>
  <si>
    <t>G - 001662</t>
  </si>
  <si>
    <t>EX-2023-7183831-   -GDEMZA-DPA#SAYOT</t>
  </si>
  <si>
    <t>CHACON MIGUEL ANGEL DAVID</t>
  </si>
  <si>
    <t>20-27431818-0</t>
  </si>
  <si>
    <t>Transporte de combustibles</t>
  </si>
  <si>
    <t>LATERAL SUR ACCESO ESTE S/N°</t>
  </si>
  <si>
    <t>RUTA PROV. 50 Y MITRE</t>
  </si>
  <si>
    <t>miguelchacon@live.com, transportechaconmiguel@gmail.com</t>
  </si>
  <si>
    <t>1164170889 - 2616259865</t>
  </si>
  <si>
    <t>495/2023</t>
  </si>
  <si>
    <t>G - 001663</t>
  </si>
  <si>
    <t>EX-2023-7398740-   -GDEMZA-DPA#SAYOT</t>
  </si>
  <si>
    <t>ORTIZ SIADI MARIELA</t>
  </si>
  <si>
    <t>27-26922801-1</t>
  </si>
  <si>
    <t>SAN MARTIN SUR N° 127</t>
  </si>
  <si>
    <t>cristianpallar2@gmail.com, mo878744@gmail.com</t>
  </si>
  <si>
    <t>496/2023</t>
  </si>
  <si>
    <t>G - 001664</t>
  </si>
  <si>
    <t>EX-2023-7428912-   -GDEMZA-DPA#SAYOT</t>
  </si>
  <si>
    <t>PODER JUDICIAL MENDOZA – SUPREMA CORTE DE JUSTICIA</t>
  </si>
  <si>
    <t>30-99913070-0</t>
  </si>
  <si>
    <t>gobierno</t>
  </si>
  <si>
    <t>AV. ESPAÑA N° 480</t>
  </si>
  <si>
    <t>DIONISIO HERRERO N° 311</t>
  </si>
  <si>
    <t>apalavecino@jus.mendoza.gov.ar, gavaca@jus.mendoza.gov.ar</t>
  </si>
  <si>
    <t>4499787 - 2612469819</t>
  </si>
  <si>
    <t>499/2023</t>
  </si>
  <si>
    <t>G - 001665</t>
  </si>
  <si>
    <t>EX-2023-8031609-   -GDEMZA-DPA#SAYOT</t>
  </si>
  <si>
    <t>AUTOPARTES PAZZAGLIA S.A.</t>
  </si>
  <si>
    <t>30-71073481-6</t>
  </si>
  <si>
    <t>VENTA, DISTRIBUCCION DE LUBRICANTES Y RESPUESTOS EN RECIPIENTES CERRADOS</t>
  </si>
  <si>
    <t>J. F. MORENO N° 2346</t>
  </si>
  <si>
    <t>anticipar3@gmail.com, dbritos@pazzagliahnos.com.ar</t>
  </si>
  <si>
    <t>4301175 - 2613058503</t>
  </si>
  <si>
    <t>511/2023</t>
  </si>
  <si>
    <t>G - 001666</t>
  </si>
  <si>
    <t>EX-2024-06310701-   -GDEMZA-DPA#SAYOT - TC - EX-2023-8033971-   -GDEMZA-DPA#SAYOT</t>
  </si>
  <si>
    <t>TELEFONICA MOVILES DE ARGENTINA S.A. - CAPITAL</t>
  </si>
  <si>
    <t>Servicio de telefonía</t>
  </si>
  <si>
    <t>mauro@dhartec.com.ar, florencia@dhartec.com.ar</t>
  </si>
  <si>
    <t>516/2023</t>
  </si>
  <si>
    <t>G - 001667</t>
  </si>
  <si>
    <t>EX-2023-8042040-   -GDEMZA-DPA#SAYOT</t>
  </si>
  <si>
    <t>BAMORE S.R.L.</t>
  </si>
  <si>
    <t>30-70941793-9</t>
  </si>
  <si>
    <t>INDEPENDENCIA N° 48</t>
  </si>
  <si>
    <t>vbravomellado@gmail.com, ebaldasso@bamore.com.ar</t>
  </si>
  <si>
    <t>2614709694 - 2614197733</t>
  </si>
  <si>
    <t>517/2023</t>
  </si>
  <si>
    <t>G - 001668</t>
  </si>
  <si>
    <t>EX-2023-8667321-   -GDEMZA-DPA#SAYOT</t>
  </si>
  <si>
    <t>MARCALBA S.A</t>
  </si>
  <si>
    <t>Constructora Vial</t>
  </si>
  <si>
    <t>RUTA NACIONAL N° 146 KM 337,5</t>
  </si>
  <si>
    <t>jherrera@marcalba.com.ar, syso.ramos@gmail.com</t>
  </si>
  <si>
    <t>550/2023</t>
  </si>
  <si>
    <t>G - 001669</t>
  </si>
  <si>
    <t>EX-2024-123276-   -GDEMZA-DPA#SAYOT</t>
  </si>
  <si>
    <t>CHEVAL DES ANDES S.A.</t>
  </si>
  <si>
    <t>30-70796041-4</t>
  </si>
  <si>
    <t>Elaboración de vinos tranquilos y espumantes</t>
  </si>
  <si>
    <t>ROQUE SAENZ PEÑA Y LA RETA S/N°</t>
  </si>
  <si>
    <t>ggabillet@cheval-des-andes.com.ar, molmendo@yahoo.com.ar</t>
  </si>
  <si>
    <t>37/2024</t>
  </si>
  <si>
    <t>G - 001670</t>
  </si>
  <si>
    <t>EX-2023-8550271-   -GDEMZA-DPA#SAYOT</t>
  </si>
  <si>
    <t>CORPORACION DEL SUR S.A.</t>
  </si>
  <si>
    <t>30-70800917-9</t>
  </si>
  <si>
    <t>INDEPENDENCIA N° 447</t>
  </si>
  <si>
    <t>sergiopelegrina@cuyoconsultora.com.ar</t>
  </si>
  <si>
    <t>5240494 - 2613361099</t>
  </si>
  <si>
    <t>52/2024</t>
  </si>
  <si>
    <t>G - 001671</t>
  </si>
  <si>
    <t>EX-2023-8476907-GDEMZA-DPA#SAYOT</t>
  </si>
  <si>
    <t>DISTRIBUIDORA COSTANERA S.A.S.</t>
  </si>
  <si>
    <t>30-71629430-3</t>
  </si>
  <si>
    <t>DISTRIBUCIÓN DE AUTOPARTES Y LUBRICANTES</t>
  </si>
  <si>
    <t>MINUZZI 428</t>
  </si>
  <si>
    <t>pedidosdcsas@gmail.com</t>
  </si>
  <si>
    <t>152/2024</t>
  </si>
  <si>
    <t>G - 001672</t>
  </si>
  <si>
    <t>EX-2023-8477630-   -GDEMZA-DPA#SAYOT</t>
  </si>
  <si>
    <t>MAULEN JAVIER</t>
  </si>
  <si>
    <t>20-30400992-7</t>
  </si>
  <si>
    <t>OZAMIS N° 622</t>
  </si>
  <si>
    <t>jessicativiroli2010@hotmail.com, javimaulen@hotmail.com.ar</t>
  </si>
  <si>
    <t>61/2024</t>
  </si>
  <si>
    <t>G - 001673</t>
  </si>
  <si>
    <t>EX-2023-8473225-   -GDEMZA-DPA#SAYOT</t>
  </si>
  <si>
    <t>TRIVENTO BODEGAS Y VIÑEDOS S.A. - BAJO LAS CUMBRES</t>
  </si>
  <si>
    <t>Producción de uva y elaboración de vino</t>
  </si>
  <si>
    <t>CANAL PESCARA N° 9347</t>
  </si>
  <si>
    <t>BAJO LAS CUMBRE S/N°</t>
  </si>
  <si>
    <t>2615866002 - 4137100</t>
  </si>
  <si>
    <t>53/2024</t>
  </si>
  <si>
    <t>G - 001674</t>
  </si>
  <si>
    <t>EX-2023-8473853-   -GDEMZA-DPA#SAYOT</t>
  </si>
  <si>
    <t>TRIVENTO BODEGAS Y VIÑEDOS S.A. TUNUYAN</t>
  </si>
  <si>
    <t>CORREDOR PRODUCTIVO DEL OESTE S/N°</t>
  </si>
  <si>
    <t>60/2024</t>
  </si>
  <si>
    <t>G - 001675</t>
  </si>
  <si>
    <t>EX-2024-1751051-GDEMZA-DPA#SAYOT</t>
  </si>
  <si>
    <t>TRINOIL S.A.S.</t>
  </si>
  <si>
    <t>30-71710563-6</t>
  </si>
  <si>
    <t>ACTIVIDADES DE SERVICIOS Y CONSTRUCCIÓN PREVIAS A LA PERFORACIÓN DE POZOS</t>
  </si>
  <si>
    <t>URQUIZA 3431</t>
  </si>
  <si>
    <t>CALLE 3 Y CALLE 10 PARQUE INDUSTRIAL LAS HERAS</t>
  </si>
  <si>
    <t>licmartinaguero@gmail.com, damian.arenas@trinoli.com</t>
  </si>
  <si>
    <t>109/2024</t>
  </si>
  <si>
    <t>G - 001676</t>
  </si>
  <si>
    <t>EX-2023-8707849-   -GDEMZA-DPA#SAYOT</t>
  </si>
  <si>
    <t>SIBILLA FERNANDO DIEGO</t>
  </si>
  <si>
    <t>20-23840382-1</t>
  </si>
  <si>
    <t xml:space="preserve">TALLER MECANICO </t>
  </si>
  <si>
    <t>ALVAREZ THOMAS N° 150</t>
  </si>
  <si>
    <t xml:space="preserve">fsibilla@hotmail.com, </t>
  </si>
  <si>
    <t>62/2024</t>
  </si>
  <si>
    <t>G - 001677</t>
  </si>
  <si>
    <t>EX-2023-8973154-   -GDEMZA-DPA#SAYOT</t>
  </si>
  <si>
    <t>ARRIETA CARLOS DANIEL</t>
  </si>
  <si>
    <t>20-21533008-8</t>
  </si>
  <si>
    <t>VENTA DE BATERIAS PARA AUTOMÓVILES</t>
  </si>
  <si>
    <t>LAVALLE N° 51</t>
  </si>
  <si>
    <t>oscaraarrieta@gmail.com, lilialivi68@gamil.com, vbravomellado@gmail.com</t>
  </si>
  <si>
    <t>55/2024</t>
  </si>
  <si>
    <t>G - 001678</t>
  </si>
  <si>
    <t xml:space="preserve">EX-2025-01943081-   -GDEMZA-DPA#SAYOT - TC - EX-2023-8973097-   -GDEMZA-DPA#SAYOT </t>
  </si>
  <si>
    <t>T-SERVICES S.A.</t>
  </si>
  <si>
    <t>SAN MARTIN N° 1234</t>
  </si>
  <si>
    <t>riosdavidnicolas@gmail.com, gaston.fougere@gmail.com</t>
  </si>
  <si>
    <t>54/2024</t>
  </si>
  <si>
    <t>G - 001679</t>
  </si>
  <si>
    <t>EX-2023-9475760-   -GDEMZA-DPA#SAYOT</t>
  </si>
  <si>
    <t>ARRIETA OSCAR ALEJANDRO</t>
  </si>
  <si>
    <t>23-20993477-9</t>
  </si>
  <si>
    <t>EL JAZMIN S/N°</t>
  </si>
  <si>
    <t>vbravomellado@gmail.com, oscaraarrieta@gmail.com, lilialivi68@gamil.com</t>
  </si>
  <si>
    <t xml:space="preserve">2616966394 - </t>
  </si>
  <si>
    <t>70/2024</t>
  </si>
  <si>
    <t>G - 001680</t>
  </si>
  <si>
    <t>EX-2023-8973213-   -GDEMZA-DPA#SAYOT</t>
  </si>
  <si>
    <t>CLAR S.A.S.</t>
  </si>
  <si>
    <t>33-71619581-9</t>
  </si>
  <si>
    <t>HUNGRIA N° 927</t>
  </si>
  <si>
    <t>SAN MARTIN N° 749</t>
  </si>
  <si>
    <t>vbravomellado@gmail.com, clar.sa@gmail.com</t>
  </si>
  <si>
    <t>51/2024</t>
  </si>
  <si>
    <t>G - 001681</t>
  </si>
  <si>
    <t>EX-2023-9425996-   -GDEMZA-DPA#SAYOT</t>
  </si>
  <si>
    <t>HERNANDEZ ILDA AZUCENA</t>
  </si>
  <si>
    <t>27-25879079-6</t>
  </si>
  <si>
    <t>lavadero- lubricentro</t>
  </si>
  <si>
    <t>PERU N° 2950</t>
  </si>
  <si>
    <t xml:space="preserve">lubricentro2950@gmail.com, </t>
  </si>
  <si>
    <t>49/2024</t>
  </si>
  <si>
    <t>G - 001682</t>
  </si>
  <si>
    <t>EX-2024-1794042-GDEMZA-DPA#SAYOT</t>
  </si>
  <si>
    <t xml:space="preserve">VITSA SOLUCIONES AMBIENTALES </t>
  </si>
  <si>
    <t>30-71663959-9</t>
  </si>
  <si>
    <t>PARQUE IND. LAS HERAS CALLE 4 M A LOTE 18</t>
  </si>
  <si>
    <t>erubio@vitsa.com.ar, rquiroga@vitsa.com.ar</t>
  </si>
  <si>
    <t>133/2024</t>
  </si>
  <si>
    <t>G - 001683</t>
  </si>
  <si>
    <t>EX-2023-9605629-   -GDEMZA-DPA#SAYOT</t>
  </si>
  <si>
    <t>COSTA JAVIER – UGO DARIO S.H.</t>
  </si>
  <si>
    <t>33-70967494-9</t>
  </si>
  <si>
    <t>DEMOCRACIA N° 22</t>
  </si>
  <si>
    <t>rubendugo@gmail.com, mariacalvofilippi@gmail.com</t>
  </si>
  <si>
    <t>58/2024</t>
  </si>
  <si>
    <t>G - 001684</t>
  </si>
  <si>
    <t>EX-2024-128544-   -GDEMZA-DPA#SAYOT</t>
  </si>
  <si>
    <t>CONJUNTO LOS CERROS S.A.</t>
  </si>
  <si>
    <t>30-70710814-9</t>
  </si>
  <si>
    <t>CERRO SIETE COLORES N° 2496</t>
  </si>
  <si>
    <t>clcypf@dalviansa.com.ar, jcortes@dalviansa.com.ar, nelsongenna68@gmail.com</t>
  </si>
  <si>
    <t>2614152183 - 2614547529</t>
  </si>
  <si>
    <t>47/2024</t>
  </si>
  <si>
    <t>G - 001685</t>
  </si>
  <si>
    <t>EX-2024-83485-   -GDEMZA-DPA#SAYOT</t>
  </si>
  <si>
    <t>PETROLERA ACONCAGUA S.A. – CROWN POINT ENERGIA S.A. UN - CHAÑARES HERRADOS</t>
  </si>
  <si>
    <t>30-71714945-5</t>
  </si>
  <si>
    <t>PEDRO VARGAS N° 632</t>
  </si>
  <si>
    <t>RUTA 40 KM 52</t>
  </si>
  <si>
    <t>2614238060 - 1158207102</t>
  </si>
  <si>
    <t>154/2024</t>
  </si>
  <si>
    <t>G - 001686</t>
  </si>
  <si>
    <t>EX-2024-93532-   -GDEMZA-DPA#SAYOT</t>
  </si>
  <si>
    <t>ACONCAGUA ENERGIA SERVICIOS S.A. - ATUEL NORTE</t>
  </si>
  <si>
    <t>RUTA 144 KM 794</t>
  </si>
  <si>
    <t>48/2024</t>
  </si>
  <si>
    <t>G - 001687</t>
  </si>
  <si>
    <t>EX-2024-93705-   -GDEMZA-DPA#SAYOT</t>
  </si>
  <si>
    <t>ACONCAGUA ENERGIA SERVICIOS S.A. - AREA PUESTO POZO CERCADO ORIENTAL</t>
  </si>
  <si>
    <t>RUTA 40 KM 56</t>
  </si>
  <si>
    <t>67/2024</t>
  </si>
  <si>
    <t>G - 001688</t>
  </si>
  <si>
    <t>EX-2024-516278-   -GDEMZA-DPA#SAYOT</t>
  </si>
  <si>
    <t>ACONCAGUA ENERGIA SERVICIOS S.A. – CONFLUENCIA SUR</t>
  </si>
  <si>
    <t>RIO BARRANCAS S/N°</t>
  </si>
  <si>
    <t>215/2024</t>
  </si>
  <si>
    <t>G - 001689</t>
  </si>
  <si>
    <t>EX-2024-522083-   -GDEMZA-DPA#SAYOT</t>
  </si>
  <si>
    <t>PETROANDES MENDOZA S.A. - SAN MARTIN</t>
  </si>
  <si>
    <t>AV. EVA DUARTE DE PERON Y AV. LIMA</t>
  </si>
  <si>
    <t>adminsanmartin@petroandes.com.ar, hysriveros@gmail.com</t>
  </si>
  <si>
    <t>2614921003 - 2615274571</t>
  </si>
  <si>
    <t>45/2024</t>
  </si>
  <si>
    <t>G - 001690</t>
  </si>
  <si>
    <t xml:space="preserve"> EX-2024-522083- -GDEMZA-DPA#SAYOT</t>
  </si>
  <si>
    <t>GENNEIA S.A.</t>
  </si>
  <si>
    <t>30-66523411-4</t>
  </si>
  <si>
    <t>Generación de Energía Solar</t>
  </si>
  <si>
    <t>RIO SECO KM 3 RUTA 40</t>
  </si>
  <si>
    <t>medio.ambiente@genneia.com.ar, gaston.fougere@gmail.com</t>
  </si>
  <si>
    <t>83/2024</t>
  </si>
  <si>
    <t>G - 001691</t>
  </si>
  <si>
    <t>EX-2024-729735- -GDEMZA-DPA#SAYOT</t>
  </si>
  <si>
    <t>ADMINISTRACION TRIBUTARIA MENDOZA</t>
  </si>
  <si>
    <t>ente de gobierno</t>
  </si>
  <si>
    <t>PELTIER 793</t>
  </si>
  <si>
    <t xml:space="preserve">CIUDAD </t>
  </si>
  <si>
    <t>gabraceli@mendoza.gov.ar, adonati@mendoza.gov.ar</t>
  </si>
  <si>
    <t>103/2024</t>
  </si>
  <si>
    <t>G - 001692</t>
  </si>
  <si>
    <t>EX-2024-730966- -GDEMZA-DPA#SAYOT</t>
  </si>
  <si>
    <t>ANDELUNA CELLARS S.R.L.</t>
  </si>
  <si>
    <t>30-70865724-3</t>
  </si>
  <si>
    <t>RUTA 89 KM 11</t>
  </si>
  <si>
    <t>jrebeco@andeluna.com.ar, gastonmorales06@gmail.com</t>
  </si>
  <si>
    <t>76/2024</t>
  </si>
  <si>
    <t>G - 001693</t>
  </si>
  <si>
    <t>EX-2024-520670- -GDEMZA-DPA#SAYOT</t>
  </si>
  <si>
    <t>SUPERMERCADOS MAYORISTAS MAKRO S.A.</t>
  </si>
  <si>
    <t>30-58962149-9</t>
  </si>
  <si>
    <t>SUPERMERCADO MAYORISTA, DEPÓSITO, RESTAURANTE, FRACCIONADO</t>
  </si>
  <si>
    <t>RODRIGUEZ PEÑA 709</t>
  </si>
  <si>
    <t>sustentabilidad@makro.com.ar, obras@makro.com.ar, mlinaresluque@makro.com.ar, dcleiman@ehslatam.com</t>
  </si>
  <si>
    <t>Y8-Y9-Y12-Y18-Y29-Y34-Y48</t>
  </si>
  <si>
    <t>94/2024</t>
  </si>
  <si>
    <t>G - 001694</t>
  </si>
  <si>
    <t>EX-2024-789897- -GDEMZA-DPA#SAYOT</t>
  </si>
  <si>
    <t>CONOSUR DRILLING S.A.</t>
  </si>
  <si>
    <t>33-71039487-9</t>
  </si>
  <si>
    <t>Empresa de perforacion al servicio de la industria minero, agua y geotecnia</t>
  </si>
  <si>
    <t>CASTRO BARROS 1330 GALPON M</t>
  </si>
  <si>
    <t>116/20254</t>
  </si>
  <si>
    <t>G - 001695</t>
  </si>
  <si>
    <t>EX-2024-1147763- -GDEMZA-DPA#SAYOT</t>
  </si>
  <si>
    <t>MINERA GEOMETALES S.A.</t>
  </si>
  <si>
    <t>30-69227136-6</t>
  </si>
  <si>
    <t>exploracion minera</t>
  </si>
  <si>
    <t xml:space="preserve">MAIPU 1 </t>
  </si>
  <si>
    <t>CABA</t>
  </si>
  <si>
    <t>RUTA 222 KM 84</t>
  </si>
  <si>
    <t>15/2024</t>
  </si>
  <si>
    <t>G - 001696</t>
  </si>
  <si>
    <t>EX-2024-1145560- -GDEMZA-DPA#SAYOT</t>
  </si>
  <si>
    <t>CONTAINERMOV S.A.</t>
  </si>
  <si>
    <t>30-71227042-6</t>
  </si>
  <si>
    <t>MAZA 1283</t>
  </si>
  <si>
    <t>jesusibarra1986@gmail.com</t>
  </si>
  <si>
    <t>66/2024</t>
  </si>
  <si>
    <t>G - 001697</t>
  </si>
  <si>
    <t>EX-2024-1144325- -GDEMZA-DPA#SAYOT</t>
  </si>
  <si>
    <t>CECCHIN PEDRO Y JOGE S.R.L.</t>
  </si>
  <si>
    <t>30-68420901-5</t>
  </si>
  <si>
    <t>BODEGA - ELABORACION DE VINOS</t>
  </si>
  <si>
    <t>MANUEL A SAENZ 626</t>
  </si>
  <si>
    <t>gerencia.cecchin@gmail.com, nelsongenna68@gmail.com</t>
  </si>
  <si>
    <t>2615443801 - 4976707</t>
  </si>
  <si>
    <t>46/2024</t>
  </si>
  <si>
    <t>G - 001698</t>
  </si>
  <si>
    <t>EX-2024-1143042- -GDEMZA-DPA#SAYOT</t>
  </si>
  <si>
    <t>KURMAY S.A.</t>
  </si>
  <si>
    <t>30-71181089-3</t>
  </si>
  <si>
    <t>SERVICIOS DE APOYO AGRÍCOLAS</t>
  </si>
  <si>
    <t>AV. CORDOBA 1680</t>
  </si>
  <si>
    <t>RUTA 143 KM 609</t>
  </si>
  <si>
    <t>vbravomellado@gmail.com, ingsosa.kurmay@gmail.com</t>
  </si>
  <si>
    <t>56/2024</t>
  </si>
  <si>
    <t>G - 001699</t>
  </si>
  <si>
    <t>EX-2024-1142141- -GDEMZA-DPA#SAYOT</t>
  </si>
  <si>
    <t>ENCOUNTER S.A.</t>
  </si>
  <si>
    <t>30-71824295-5</t>
  </si>
  <si>
    <t>IGNACIO MOLINA 181</t>
  </si>
  <si>
    <t>GUYAMALLEN</t>
  </si>
  <si>
    <t>vbravomellado@gmail.com, guaymallen@prolube.com.ar</t>
  </si>
  <si>
    <t>44/2024</t>
  </si>
  <si>
    <t>G - 001700</t>
  </si>
  <si>
    <t>EX-2024-1142188- -GDEMZA-DPA#SAYOT</t>
  </si>
  <si>
    <t>VIAL TRUCK S.A.</t>
  </si>
  <si>
    <t>30-71222595-1</t>
  </si>
  <si>
    <t>Higiene urbana</t>
  </si>
  <si>
    <t>AV. LIBERTADOR 136</t>
  </si>
  <si>
    <t>CORDOBA</t>
  </si>
  <si>
    <t>CALLE 4 MANZANA A LOTE 18</t>
  </si>
  <si>
    <t>59/2024</t>
  </si>
  <si>
    <t>G - 001701</t>
  </si>
  <si>
    <t>EX-2024-1794070- -GDEMZA-DPA#SAYOT</t>
  </si>
  <si>
    <t>TIRECOR S.A. - Calle Alberdi</t>
  </si>
  <si>
    <t>Comercialización de neumáticos y servicios afines.</t>
  </si>
  <si>
    <t>ALBERDI N° 562</t>
  </si>
  <si>
    <t>2615638723 - 2614 53-3727</t>
  </si>
  <si>
    <t>101/2024</t>
  </si>
  <si>
    <t>G - 001702</t>
  </si>
  <si>
    <t>EX-2024-1812054- -GDEMZA-DPA#SAYOT</t>
  </si>
  <si>
    <t>WINCUL ARGENTINA S.A.</t>
  </si>
  <si>
    <t>30-71700177-6</t>
  </si>
  <si>
    <t>RUTA 222 S/N°</t>
  </si>
  <si>
    <t>18/2024</t>
  </si>
  <si>
    <t>G - 001703</t>
  </si>
  <si>
    <t>EX-2024-1949916- -GDEMZA-DPA#SAYOT</t>
  </si>
  <si>
    <t>TIRECOR S.A. - Av. Belgrano</t>
  </si>
  <si>
    <t>Comercialización de neumáticos y Servicios afines</t>
  </si>
  <si>
    <t>BELGRANO N° 390</t>
  </si>
  <si>
    <t>arq.laurapineira@gmail.com, pablobaigorri@pylneumaticos.com.ar, flaviapotenzone@pylneumaticos.com.ar</t>
  </si>
  <si>
    <t>234/2024</t>
  </si>
  <si>
    <t>G - 001704</t>
  </si>
  <si>
    <t>EX-2024-1954070- -GDEMZA-DPA#SAYOT</t>
  </si>
  <si>
    <t>HALPERN S.R.L.</t>
  </si>
  <si>
    <t>30-70910789-1</t>
  </si>
  <si>
    <t xml:space="preserve">Venta al por mayor de máquinas, equipos </t>
  </si>
  <si>
    <t>ACCESO SUR N° 7557</t>
  </si>
  <si>
    <t>mbravo@halpernriego.com, vaguado@masteragua.com.ar</t>
  </si>
  <si>
    <t>261152016194 - 2615011854</t>
  </si>
  <si>
    <t>186/2024</t>
  </si>
  <si>
    <t>G - 001705</t>
  </si>
  <si>
    <t>EX-2024-1954020- -GDEMZA-DPA#SAYOT</t>
  </si>
  <si>
    <t>REAL S.A.</t>
  </si>
  <si>
    <t>30-70939294-4</t>
  </si>
  <si>
    <t>comercialización y distribución mayorista de combustibles y lubricantes</t>
  </si>
  <si>
    <t>ISIDORO BOUSQUET N° 2681</t>
  </si>
  <si>
    <t>francorossi@rossicombustibles.com.ar, ivanavalli15@gmail.com</t>
  </si>
  <si>
    <t>2634492403 - 2615978540</t>
  </si>
  <si>
    <t>171/2024</t>
  </si>
  <si>
    <t>G - 001706</t>
  </si>
  <si>
    <t>EX-2024-2045947- -GDEMZA-DPA#SAYOT</t>
  </si>
  <si>
    <t>Estibado de contenedores en tránsito vacíos y llenos para su logística y uso en Yacimiento</t>
  </si>
  <si>
    <t>RUTA N° 40 KM 21</t>
  </si>
  <si>
    <t>187/2024</t>
  </si>
  <si>
    <t>G - 001707</t>
  </si>
  <si>
    <t>EX-2024-2045779- -GDEMZA-DPA#SAYOT</t>
  </si>
  <si>
    <t>ALTA SUR ARG. S.A.</t>
  </si>
  <si>
    <t>30-71040295-3</t>
  </si>
  <si>
    <t>MARCADO, TRATAMIENTO Y EXPENDIO DE CORCHOS</t>
  </si>
  <si>
    <t>CASTRO BARROS N° 1330</t>
  </si>
  <si>
    <t xml:space="preserve">produccion.ar@grupoaltasur.com, yanimarin1984@hotmail.com </t>
  </si>
  <si>
    <t>2616079181 - 2617102330</t>
  </si>
  <si>
    <t>198/2024</t>
  </si>
  <si>
    <t>G - 001708</t>
  </si>
  <si>
    <t>EX-2024-2069627- -GDEMZA-DPA#SAYOT</t>
  </si>
  <si>
    <t>PETROQUIMICA COMODORO RIVADAVIA S.A. - PUESTO ROJAS</t>
  </si>
  <si>
    <t>Explotación de yacimientos de gas y petróleo</t>
  </si>
  <si>
    <t>MARTINEZ DE ROSAS N° 86</t>
  </si>
  <si>
    <t>MENDOZQA</t>
  </si>
  <si>
    <t>RUTA 40 KM 2968</t>
  </si>
  <si>
    <t>jklita@pcr.energy, lleguizamon@pcr.energy</t>
  </si>
  <si>
    <t>2604591677 - 2614284323</t>
  </si>
  <si>
    <t>107/2024</t>
  </si>
  <si>
    <t>G - 001709</t>
  </si>
  <si>
    <t>EX-2024-2081357- -GDEMZA-DPA#SAYOT</t>
  </si>
  <si>
    <t xml:space="preserve">OBRAS ANDINAS S.A. - Los Cerrillos </t>
  </si>
  <si>
    <t>CONSTRUCCIÓN, REFORMA Y REPARACIÓN DE REDES DISTRIBUCIÓN DE ELECTRICIDAD, GAS, AGUA,</t>
  </si>
  <si>
    <t>PELTIER 2° PISO</t>
  </si>
  <si>
    <t>Los Cerrillos S/N° Ruta Panamericana 5, KM 7</t>
  </si>
  <si>
    <t>gestoriaambiental.mza@gmail.com, ekoltes@obrasandinas.com</t>
  </si>
  <si>
    <t xml:space="preserve">2616631257 - </t>
  </si>
  <si>
    <t>185/2024</t>
  </si>
  <si>
    <t>G - 001710</t>
  </si>
  <si>
    <t>EX-2024-2087529- -GDEMZA-DPA#SAYOT</t>
  </si>
  <si>
    <t>KNIGHT PIESOLD ARG. S.A.</t>
  </si>
  <si>
    <t>30-70921221-0</t>
  </si>
  <si>
    <t>Servicios de arquitectura e ingeniería y servicios conexos de asesoramiento técnico</t>
  </si>
  <si>
    <t>RIVADAVIA N° 834</t>
  </si>
  <si>
    <t>mendoza@knightpiesold.com, ademonte@knightpiesold.com, mmartinez@knightpiesold.com</t>
  </si>
  <si>
    <t>4617400 - 2615195070</t>
  </si>
  <si>
    <t>178/2024</t>
  </si>
  <si>
    <t>G - 001711</t>
  </si>
  <si>
    <t>EX-2024-2377875- -GDEMZA-DPA#SAYOT</t>
  </si>
  <si>
    <t>MMLO S.A.S.</t>
  </si>
  <si>
    <t>30-71764394-8</t>
  </si>
  <si>
    <t>VENTA DE REPUESTOS DE AUTO</t>
  </si>
  <si>
    <t>INDEPENDENCIA N° 1785</t>
  </si>
  <si>
    <t>martinezcastro.victoria@gmail.com</t>
  </si>
  <si>
    <t>190/2024</t>
  </si>
  <si>
    <t>G - 001712</t>
  </si>
  <si>
    <t>EX-2024-2429844- -GDEMZA-DPA#SAYOT</t>
  </si>
  <si>
    <t>FACULTAD DE CIENCIAS APLICADAS A LA INDUSTRIA</t>
  </si>
  <si>
    <t>30-67215575-0</t>
  </si>
  <si>
    <t>ENSEÑANZA UNIVERSITARIA EXCEPTO FORMACIÓN DE POSGRADO</t>
  </si>
  <si>
    <t>SAN MARTIN N° 358</t>
  </si>
  <si>
    <t>labdocencia@fcai.uncu.edu.ar, hpossa@fcai.edu.ar, laborales.prevencion@gmail.com</t>
  </si>
  <si>
    <t>2604421947 - 2617170385</t>
  </si>
  <si>
    <t>148/2024</t>
  </si>
  <si>
    <t>G - 001713</t>
  </si>
  <si>
    <t>EX-2024-2431520- -GDEMZA-DPA#SAYOT</t>
  </si>
  <si>
    <t>MILANESE HECTOR</t>
  </si>
  <si>
    <t>20-16059392-0</t>
  </si>
  <si>
    <t>SALVADOR MARIA DEL CARRIL N° 2028</t>
  </si>
  <si>
    <t>silviaaracenaok@gmail.com, maurilunello@gmail.com</t>
  </si>
  <si>
    <t>2615876045 - 2616921380</t>
  </si>
  <si>
    <t>189/2024</t>
  </si>
  <si>
    <t>G - 001714</t>
  </si>
  <si>
    <t>EX-2024-1949533- -GDEMZA-DPA#SAYOT</t>
  </si>
  <si>
    <t>BERCICH JUAN</t>
  </si>
  <si>
    <t>23-16888486-9</t>
  </si>
  <si>
    <t>MECÁNICA INTEGRAL</t>
  </si>
  <si>
    <t>JAVIER MORALES N° 2814</t>
  </si>
  <si>
    <t xml:space="preserve">2613473915 - </t>
  </si>
  <si>
    <t>188/2024</t>
  </si>
  <si>
    <t>G - 001715</t>
  </si>
  <si>
    <t>EX-2024-2659810- -GDEMZA-DPA#SAYOT</t>
  </si>
  <si>
    <t>CORP MET S.R.L.</t>
  </si>
  <si>
    <t>30-67699474-9</t>
  </si>
  <si>
    <t>FABRICACIÓN DE PRODUCTOS PARA LA INDUSTRIA AGRICOLA</t>
  </si>
  <si>
    <t>CALLE 2 PARCELA 01</t>
  </si>
  <si>
    <t>corpmet@corpmet-srl.com.ar, osmar@corpmet-srl.com.ar</t>
  </si>
  <si>
    <t>2614187778 - 2616307089</t>
  </si>
  <si>
    <t>135/2024</t>
  </si>
  <si>
    <t>G - 001716</t>
  </si>
  <si>
    <t>EX-2024-2662876- -GDEMZA-DPA#SAYOT</t>
  </si>
  <si>
    <t>HOSPITAL SAPORITTI</t>
  </si>
  <si>
    <t>30-99928281-0</t>
  </si>
  <si>
    <t>Servicio de hospital, internación y salud humana</t>
  </si>
  <si>
    <t>LAMADRID N° 629</t>
  </si>
  <si>
    <t>rodostorelli@gmail.com</t>
  </si>
  <si>
    <t>2613372769 - 2612120136</t>
  </si>
  <si>
    <t>137/2024</t>
  </si>
  <si>
    <t>G - 001717</t>
  </si>
  <si>
    <t>EX-2024-2666168- -GDEMZA-DPA#SAYOT</t>
  </si>
  <si>
    <t>MAJUELE S.A.S.</t>
  </si>
  <si>
    <t>30-71790557-8</t>
  </si>
  <si>
    <t>Venta al por mayor de productos de madera</t>
  </si>
  <si>
    <t xml:space="preserve">SARMIENTO N° 65 </t>
  </si>
  <si>
    <t>SANTA TERESITA N° 1770</t>
  </si>
  <si>
    <t>vbravomellado@gmail.com, escgabrielarinaldi@hotmail.com</t>
  </si>
  <si>
    <t xml:space="preserve">2613410052 - </t>
  </si>
  <si>
    <t>134/2024</t>
  </si>
  <si>
    <t>G - 001718</t>
  </si>
  <si>
    <t>EX-2024-2716805- -GDEMZA-DPA#SAYOT</t>
  </si>
  <si>
    <t>TECPETROL S.A.</t>
  </si>
  <si>
    <t>30-59266547-2</t>
  </si>
  <si>
    <t>Gas y Petróleo</t>
  </si>
  <si>
    <t xml:space="preserve">DELLA PAOLERA N° 299 </t>
  </si>
  <si>
    <t xml:space="preserve">YACIMIENTO ATUEL NORTE </t>
  </si>
  <si>
    <t>maria.soldini@tecpetrol.com</t>
  </si>
  <si>
    <t>127/2024</t>
  </si>
  <si>
    <t>G - 001719</t>
  </si>
  <si>
    <t>EX-2024-3311764- -GDEMZA-DPA#SAYOT</t>
  </si>
  <si>
    <t>INAP S.R.L.</t>
  </si>
  <si>
    <t>30-70827349-6</t>
  </si>
  <si>
    <t>Fabricación y comercialización de productos domisanitarios</t>
  </si>
  <si>
    <t>RODRIGUEZ PEÑA N° 631</t>
  </si>
  <si>
    <t>fmunoz@inapar.com.ar, jmilutin@inapar.com.ar</t>
  </si>
  <si>
    <t xml:space="preserve">2614326845 -2612050998 </t>
  </si>
  <si>
    <t>146/2024</t>
  </si>
  <si>
    <t>G - 001720</t>
  </si>
  <si>
    <t>EX-2024-3311710- -GDEMZA-DPA#SAYOT</t>
  </si>
  <si>
    <t>BRIZUELA HERNAN RAMON</t>
  </si>
  <si>
    <t>20-2358671-0</t>
  </si>
  <si>
    <t>MANUEL A SAENZ N° 1341</t>
  </si>
  <si>
    <t>vbravomellado@gmail.com, hernanbrizuela73@gmail.com</t>
  </si>
  <si>
    <t xml:space="preserve">2615275275 - </t>
  </si>
  <si>
    <t>159/2024</t>
  </si>
  <si>
    <t>G - 001721</t>
  </si>
  <si>
    <t>EX-2024-3296863- -GDEMZA-DPA#SAYOT</t>
  </si>
  <si>
    <t>PIONETTI MIGUEL ALBERTO</t>
  </si>
  <si>
    <t>20-18035614-3</t>
  </si>
  <si>
    <t>taller mecanico</t>
  </si>
  <si>
    <t>VIDELA CASTILLO N° 1500 LOTE 170</t>
  </si>
  <si>
    <t>CERVANTES N° 2822</t>
  </si>
  <si>
    <t>2616523955 - 2612073382</t>
  </si>
  <si>
    <t>207/2024</t>
  </si>
  <si>
    <t>G - 001722</t>
  </si>
  <si>
    <t>EX-2024-3334610- -GDEMZA-DPA#SAYOT</t>
  </si>
  <si>
    <t>COPPARONI S.A.</t>
  </si>
  <si>
    <t>30-67635148-1</t>
  </si>
  <si>
    <t>SERVICIOS DE TRANSPORTES GENERALES Y CISTERNA</t>
  </si>
  <si>
    <t>RODRIGUEZ PEÑA N° 1000</t>
  </si>
  <si>
    <t>lino@copparonisa.com.ar, laura@coparonisa.com.ar</t>
  </si>
  <si>
    <t>2614850846 - 2615193961</t>
  </si>
  <si>
    <t>229/2024</t>
  </si>
  <si>
    <t>G - 001723</t>
  </si>
  <si>
    <t>EX-2024-3503585- -GDEMZA-DPA#SAYOT</t>
  </si>
  <si>
    <t>MANNOR HAUSE S.A.</t>
  </si>
  <si>
    <t>33-70890707-9</t>
  </si>
  <si>
    <t>transporte automotor de cargas</t>
  </si>
  <si>
    <t>RODRIGUEZ PEÑA KM 7.5</t>
  </si>
  <si>
    <t>camionaje@mannorhause.com.ar, jesusibarra1986@gmail.com</t>
  </si>
  <si>
    <t>2614930191 - 2615689536</t>
  </si>
  <si>
    <t>191/2024</t>
  </si>
  <si>
    <t>G - 001724</t>
  </si>
  <si>
    <t>EX-2024-3509630- -GDEMZA-DPA#SAYOT</t>
  </si>
  <si>
    <t>MAGADEA S.R.L. (CALLE PERU).</t>
  </si>
  <si>
    <t>VENTA DE NEUMATICOS, CAMBIOS DE ACEITE</t>
  </si>
  <si>
    <t>PERU N° 1667</t>
  </si>
  <si>
    <t>2614239698 - 2625412362</t>
  </si>
  <si>
    <t>204/2024</t>
  </si>
  <si>
    <t>G - 001725</t>
  </si>
  <si>
    <t>EX-2024-3510903- -GDEMZA-DPA#SAYOT</t>
  </si>
  <si>
    <t>CERRO RINCON S.A.</t>
  </si>
  <si>
    <t>30-711115491-0</t>
  </si>
  <si>
    <t>Planta MINERA</t>
  </si>
  <si>
    <t>CERRO SAN BERNARDO S/N° P.I.M.</t>
  </si>
  <si>
    <t>cerrorincon2022@gmail.com</t>
  </si>
  <si>
    <t>177/2024</t>
  </si>
  <si>
    <t>G - 001726</t>
  </si>
  <si>
    <t>EX-2024-3300586- -GDEMZA-DPA#SAYOT</t>
  </si>
  <si>
    <t>RAYA RODRIGO DAVID</t>
  </si>
  <si>
    <t>20-31716112-4</t>
  </si>
  <si>
    <t>LAVADERO DE VEHICULOS</t>
  </si>
  <si>
    <t>BELTRAN N° 332</t>
  </si>
  <si>
    <t>rodrigo.raya.castillo@gmail.com, mauricioesteban333@gmail.com</t>
  </si>
  <si>
    <t>2615986573 - 2615060256</t>
  </si>
  <si>
    <t>233/2024</t>
  </si>
  <si>
    <t>G - 001727</t>
  </si>
  <si>
    <t>EX-2024-3569428- -GDEMZA-DPA#SAYOT</t>
  </si>
  <si>
    <t>ANDRES MERINO PINTURERIAS S.A. - 6ta Residencial Norte</t>
  </si>
  <si>
    <t>VENTA AL POR MAYOR DE PINTURAS Y PRODUCTOS CONEXOS</t>
  </si>
  <si>
    <t>SAN MARTIN N° 2848</t>
  </si>
  <si>
    <t>belen@andres-merino.com.ar</t>
  </si>
  <si>
    <t>220/2024</t>
  </si>
  <si>
    <t>G - 001728</t>
  </si>
  <si>
    <t>EX-2024-3702068- -GDEMZA-DPA#SAYOT</t>
  </si>
  <si>
    <t>PARAGUAY S/N°</t>
  </si>
  <si>
    <t>G - 001729</t>
  </si>
  <si>
    <t>EX-2024-4109115- -GDEMZA-DPA#SAYOT</t>
  </si>
  <si>
    <t>EMECINCO SOCIEDAD ANONIMA</t>
  </si>
  <si>
    <t>33-70773984-9</t>
  </si>
  <si>
    <t>BOULOGNE SUR MER N° 364</t>
  </si>
  <si>
    <t>201/2024</t>
  </si>
  <si>
    <t>G - 001730</t>
  </si>
  <si>
    <t>EX-2024-4151560- -GDEMZA-DPA#SAYOT</t>
  </si>
  <si>
    <t>ANDRES MERINO PINTURERIAS S.A. Calle Alem San Martin</t>
  </si>
  <si>
    <t>ALEM N° 427</t>
  </si>
  <si>
    <t>221/2024</t>
  </si>
  <si>
    <t>G - 001731</t>
  </si>
  <si>
    <t>EX-2024-4151510- -GDEMZA-DPA#SAYOT</t>
  </si>
  <si>
    <t>BAS ALBERTO</t>
  </si>
  <si>
    <t>20-93767313-3</t>
  </si>
  <si>
    <t>Electricidad del Automotor</t>
  </si>
  <si>
    <t>ING. DAGOBERTO N° 400</t>
  </si>
  <si>
    <t>stellamariscaravita@gmail.com, maccaceres04@gmail.com</t>
  </si>
  <si>
    <t>2616493867 - 2616954687</t>
  </si>
  <si>
    <t>218/2024</t>
  </si>
  <si>
    <t>G - 001732</t>
  </si>
  <si>
    <t>EX-2024-4151482- -GDEMZA-DPA#SAYOT</t>
  </si>
  <si>
    <t>PASO DE LOS ANDES N° 2290</t>
  </si>
  <si>
    <t>2615415678 - 2614156278</t>
  </si>
  <si>
    <t>231/2024</t>
  </si>
  <si>
    <t>G - 001733</t>
  </si>
  <si>
    <t>EX-2024-4151446- -GDEMZA-DPA#SAYOT</t>
  </si>
  <si>
    <t>KINETA SOCIEDAD ANONIMA</t>
  </si>
  <si>
    <t>ELABORACION DE MOSTO CONCENTRADO</t>
  </si>
  <si>
    <t>2615641210 - 2634797004</t>
  </si>
  <si>
    <t>Y8-Y9-Y12-Y18-Y29-Y31-Y34-Y35-Y48</t>
  </si>
  <si>
    <t>193/2024</t>
  </si>
  <si>
    <t>G - 001734</t>
  </si>
  <si>
    <t>EX-2024-4151404- -GDEMZA-DPA#SAYOT</t>
  </si>
  <si>
    <t>BATERIAS BORGIA - Guaymallen</t>
  </si>
  <si>
    <t>Depósito de baterías para vehículos</t>
  </si>
  <si>
    <t>JOSE VICENTE ZAPATA N° 269</t>
  </si>
  <si>
    <t>GUAYMLLEN</t>
  </si>
  <si>
    <t xml:space="preserve"> pborgia@bateriasborgia.com, administracion@bateriasborgia.com</t>
  </si>
  <si>
    <t>294/2024</t>
  </si>
  <si>
    <t>G - 001735</t>
  </si>
  <si>
    <t>EX-2024-4151362- -GDEMZA-DPA#SAYOT</t>
  </si>
  <si>
    <t>LOBOS MENDOZA MATIAS</t>
  </si>
  <si>
    <t>20-34322121-6</t>
  </si>
  <si>
    <t>PASO DE LOS ANDES N° 1868</t>
  </si>
  <si>
    <t>195/2024</t>
  </si>
  <si>
    <t>G - 001736</t>
  </si>
  <si>
    <t>EX-2024-4151312- -GDEMZA-DPA#SAYOT</t>
  </si>
  <si>
    <t>SURCADO S.A.</t>
  </si>
  <si>
    <t>30-71123070-6</t>
  </si>
  <si>
    <t>Planta de elaboración de hormigón</t>
  </si>
  <si>
    <t>RODRIGUEZ PEÑA N° 5402</t>
  </si>
  <si>
    <t>ejbrian1710@gmail.com, plantasurcado@gmail.com</t>
  </si>
  <si>
    <t>2615361796 - 2612553626</t>
  </si>
  <si>
    <t>206/2024</t>
  </si>
  <si>
    <t>G - 001737</t>
  </si>
  <si>
    <t>EX-2024-4263458- -GDEMZA-DPA#SAYOT</t>
  </si>
  <si>
    <t>ABRAHAM HNOS S.A. - Mayorista</t>
  </si>
  <si>
    <t>EE SS A GRANEL</t>
  </si>
  <si>
    <t>ISIDORO BUSQUET S/N°</t>
  </si>
  <si>
    <t>carolina@abrahamhnos.com</t>
  </si>
  <si>
    <t>269/2024</t>
  </si>
  <si>
    <t>G - 001738</t>
  </si>
  <si>
    <t>EX-2024-4263434- -GDEMZA-DPA#SAYOT</t>
  </si>
  <si>
    <t>CENERI DANTE GONZALO</t>
  </si>
  <si>
    <t>20-30024516-2</t>
  </si>
  <si>
    <t>Serv de Transporte</t>
  </si>
  <si>
    <t>BOULOGNE SUR MER N° 1241</t>
  </si>
  <si>
    <t>gonzaloceneri@hotmail.com</t>
  </si>
  <si>
    <t>268/2024</t>
  </si>
  <si>
    <t>G - 001739</t>
  </si>
  <si>
    <t>EX-2024-4263349- -GDEMZA-DPA#SAYOT</t>
  </si>
  <si>
    <t>RALFARO S.A.S.</t>
  </si>
  <si>
    <t>30-71739435-2</t>
  </si>
  <si>
    <t>MITRE N° 2715</t>
  </si>
  <si>
    <t>rpbarberad@hotmail.com</t>
  </si>
  <si>
    <t>412/2024</t>
  </si>
  <si>
    <t>G - 001740</t>
  </si>
  <si>
    <t>EX-2024-4267387- -GDEMZA-DPA#SAYOT</t>
  </si>
  <si>
    <t>SELFIX S.R.L.</t>
  </si>
  <si>
    <t>30-71612205-7</t>
  </si>
  <si>
    <t>ACCESO NORTE S/N°</t>
  </si>
  <si>
    <t>javierrosental@gmail.com, aldanaoyarzabal@gmail.com, info@clypeo.com</t>
  </si>
  <si>
    <t>Y6-Y8-Y9-Y48</t>
  </si>
  <si>
    <t>259/2024</t>
  </si>
  <si>
    <t>G - 001741</t>
  </si>
  <si>
    <t>EX-2024-4269084- -GDEMZA-DPA#SAYOT</t>
  </si>
  <si>
    <t>GALIGNIANA AGROQUIMICA SRL</t>
  </si>
  <si>
    <t>30-64128526-5</t>
  </si>
  <si>
    <t>LISANDRO DE LA TORRE N° 110</t>
  </si>
  <si>
    <t>central@galigniana.com.ar</t>
  </si>
  <si>
    <t>Y4-Y8-Y48</t>
  </si>
  <si>
    <t>213/2024</t>
  </si>
  <si>
    <t>G - 001742</t>
  </si>
  <si>
    <t>EX-2024-4269019- -GDEMZA-DPA#SAYOT</t>
  </si>
  <si>
    <t>QUINTO PIANO S.R.L.</t>
  </si>
  <si>
    <t>30-71592626-8</t>
  </si>
  <si>
    <t>EJERCITO DE LOS ANDES N° 358</t>
  </si>
  <si>
    <t>todocolorpinturerias@gmail.com</t>
  </si>
  <si>
    <t>222/2024</t>
  </si>
  <si>
    <t>G - 001743</t>
  </si>
  <si>
    <t>EX-2024-4513270- -GDEMZA-DPA#SAYOT</t>
  </si>
  <si>
    <t>GENNEIA S.A. PARQUE SOLAR ANCHORIS I Y II</t>
  </si>
  <si>
    <t>CALLE 48 2 KM DE LA RUTA 40</t>
  </si>
  <si>
    <t>5491139009648 - 2614662782</t>
  </si>
  <si>
    <t>216/2024</t>
  </si>
  <si>
    <t>G - 001744</t>
  </si>
  <si>
    <t>EX-2024-4518295- -GDEMZA-DPA#SAYOT</t>
  </si>
  <si>
    <t>INDUSTRIAS JUAN SECCO S.A.- YAC. LOS CAVAOS</t>
  </si>
  <si>
    <t>GENERACION DE ENERGIA ELECTRICA</t>
  </si>
  <si>
    <t>YACIMIENTO LOS CAVAOS S/N°</t>
  </si>
  <si>
    <t>sma@secco.com.ar, rlopez@secco.com.ar</t>
  </si>
  <si>
    <t>3414094000 - 3412755133</t>
  </si>
  <si>
    <t>232/2024</t>
  </si>
  <si>
    <t>G - 001745</t>
  </si>
  <si>
    <t>EX-2024-5031893- -GDEMZA-DPA#SAYOT</t>
  </si>
  <si>
    <t>MAJOMA METALES SA</t>
  </si>
  <si>
    <t>30-71825747-2</t>
  </si>
  <si>
    <t>Calle N° 9 Parque Industrial</t>
  </si>
  <si>
    <t>Resguardo</t>
  </si>
  <si>
    <t>murua.cristian@yahoo.com.ar</t>
  </si>
  <si>
    <t>200/2024</t>
  </si>
  <si>
    <t>G - 001746</t>
  </si>
  <si>
    <t>EX-2024-5034354- -GDEMZA-DPA#SAYOT</t>
  </si>
  <si>
    <t>YACOPINI MIRAI SA - Mitre 510</t>
  </si>
  <si>
    <t>VENTA DE AUTOS, CAMIONETAS Y UTILITARIOS</t>
  </si>
  <si>
    <t>SAN MARTIN SUR N° 600</t>
  </si>
  <si>
    <t>MITRE N° 5300</t>
  </si>
  <si>
    <t>276/2024</t>
  </si>
  <si>
    <t>G - 001747</t>
  </si>
  <si>
    <t>EX-2024-5034321- -GDEMZA-DPA#SAYOT</t>
  </si>
  <si>
    <t>LEMBO ALEJANDRO</t>
  </si>
  <si>
    <t>20-32627520-2</t>
  </si>
  <si>
    <t>Industria metalúrgica y carpintería</t>
  </si>
  <si>
    <t>ALVAREZ THOMAS N° 810</t>
  </si>
  <si>
    <t>noblesdeacero@gmail.com, arielhigiene@gmail.com</t>
  </si>
  <si>
    <t>2613532207 - 2616558047</t>
  </si>
  <si>
    <t>374/2024</t>
  </si>
  <si>
    <t>G - 001748</t>
  </si>
  <si>
    <t>EX-2024-5035026- -GDEMZA-DPA#SAYOT</t>
  </si>
  <si>
    <t>DIVISION INDUSTRIAL S.A.</t>
  </si>
  <si>
    <t>30-71239653-5</t>
  </si>
  <si>
    <t>RODRIGUEZ PEÑA N° 2831</t>
  </si>
  <si>
    <t>RODRIGUEZ PEÑA N° 205</t>
  </si>
  <si>
    <t>vbravomellado@gmail.com, efc@andesmar.com.ar</t>
  </si>
  <si>
    <t>399/2024</t>
  </si>
  <si>
    <t>G - 001749</t>
  </si>
  <si>
    <t>EX-2024-4896374- -GDEMZA-DPA#SAYOT</t>
  </si>
  <si>
    <t>BOZZO &amp; ABRAHAM S.A.S.</t>
  </si>
  <si>
    <t>30-71713244-7</t>
  </si>
  <si>
    <t>TALLER DE MAQUINAS AGRICOLAS</t>
  </si>
  <si>
    <t>CHILE N° 549</t>
  </si>
  <si>
    <t>280/2024</t>
  </si>
  <si>
    <t>G - 001750</t>
  </si>
  <si>
    <t>EX-2024-4896327- -GDEMZA-DPA#SAYOT</t>
  </si>
  <si>
    <t>SERVICIOS Y TRANSPORTES LA HIGUERITA S.A.S.</t>
  </si>
  <si>
    <t>30-71756174-7</t>
  </si>
  <si>
    <t>Fabricacion pinturas</t>
  </si>
  <si>
    <t>BALLOFET N° 3714</t>
  </si>
  <si>
    <t>andrescardiel@tonarg.com, andrescardiel@tonarg.com</t>
  </si>
  <si>
    <t>275/2024</t>
  </si>
  <si>
    <t>G - 001751</t>
  </si>
  <si>
    <t>EX-2024-5457326- -GDEMZA-DPA#SAYOT</t>
  </si>
  <si>
    <t>TRANSPORTES HUENTATA S.R.L.</t>
  </si>
  <si>
    <t>33-70961906-9</t>
  </si>
  <si>
    <t>LAS HERAS N° 529</t>
  </si>
  <si>
    <t>MOYANO N° 840</t>
  </si>
  <si>
    <t>adrian@huentata.tur.ar</t>
  </si>
  <si>
    <t>339/2024</t>
  </si>
  <si>
    <t>G - 001752</t>
  </si>
  <si>
    <t>EX-2024-5457283- -GDEMZA-DPA#SAYOT</t>
  </si>
  <si>
    <t>ALBERTO SPINELLI S.A.</t>
  </si>
  <si>
    <t>30-70936359-6</t>
  </si>
  <si>
    <t>Fábrica de ataúdes</t>
  </si>
  <si>
    <t>Parque Industrial-Mna.16 entre 4 y 9</t>
  </si>
  <si>
    <t>RESGUARDO</t>
  </si>
  <si>
    <t>info@albertospinelli.net, ricardofuentes2027@gmail.com</t>
  </si>
  <si>
    <t>341/2024</t>
  </si>
  <si>
    <t>G - 001753</t>
  </si>
  <si>
    <t>EX-2024-5535270- -GDEMZA-DPA#SAYOT</t>
  </si>
  <si>
    <t>CLORO MENDOZA S.A.</t>
  </si>
  <si>
    <t>33-71414617-9</t>
  </si>
  <si>
    <t>Fabricación de Productos Quimicos</t>
  </si>
  <si>
    <t>CALLE 1 Y 2 PARQUE INDUSTRIAL</t>
  </si>
  <si>
    <t>LA PALMERA</t>
  </si>
  <si>
    <t>jorgerufini@gmail.com</t>
  </si>
  <si>
    <t>Y8-Y9-Y13-Y48</t>
  </si>
  <si>
    <t>319/2024</t>
  </si>
  <si>
    <t>G - 001754</t>
  </si>
  <si>
    <t>EX-2024-5535449- -GDEMZA-DPA#SAYOT</t>
  </si>
  <si>
    <t>HAMSA LOGISTICA Y TRANSPORTE S.A.</t>
  </si>
  <si>
    <t>30-71577930-3</t>
  </si>
  <si>
    <t>Deposito y Transporte de mercadería</t>
  </si>
  <si>
    <t>Calle Urquiza s/n y calle Publica s/n</t>
  </si>
  <si>
    <t>jpmicheli@hamsalog.com, diegoescayol@hotmail.com</t>
  </si>
  <si>
    <t>279/2024</t>
  </si>
  <si>
    <t>G - 001755</t>
  </si>
  <si>
    <t>EX-2024-5622650- -GDEMZA-DPA#SAYOT</t>
  </si>
  <si>
    <t>DI PLACIDO MARIA</t>
  </si>
  <si>
    <t>27-21369926-7</t>
  </si>
  <si>
    <t>Elaboración de elementos gráficos</t>
  </si>
  <si>
    <t>RIOJA N° 274</t>
  </si>
  <si>
    <t>allprint.mza@gmail.com, maurilunello@gmail.com</t>
  </si>
  <si>
    <t>274/2024</t>
  </si>
  <si>
    <t>G - 001756</t>
  </si>
  <si>
    <t>EX-2024-5622681- -GDEMZA-DPA#SAYOT</t>
  </si>
  <si>
    <t>VIÑA DOÑA PAULA S.A. –SAN CARLOS</t>
  </si>
  <si>
    <t>CULTIVOS DE VID</t>
  </si>
  <si>
    <t>ACHUPALLAS N° 2364</t>
  </si>
  <si>
    <t>EL INDIO S/N°</t>
  </si>
  <si>
    <t>317/2024</t>
  </si>
  <si>
    <t>G - 001757</t>
  </si>
  <si>
    <t>EX-2024-8523426- -GDEMZA-DPA#SAYOT</t>
  </si>
  <si>
    <t>FINCA AGOSTINO HNOS S.A.</t>
  </si>
  <si>
    <t>30-70846845-9</t>
  </si>
  <si>
    <t>CULTIVO Y VINIFICACIÓN DE VID</t>
  </si>
  <si>
    <t>CARRIL BARRANCAS N° 10590</t>
  </si>
  <si>
    <t>maguilar@mahs.com.ar, fboretto@agostinowinegroup.com</t>
  </si>
  <si>
    <t>326/2024</t>
  </si>
  <si>
    <t>G - 001758</t>
  </si>
  <si>
    <t>EX-2024-5627416- -GDEMZA-DPA#SAYOT</t>
  </si>
  <si>
    <t>GRILLO MARCOS DARIO</t>
  </si>
  <si>
    <t>20-31622005-4</t>
  </si>
  <si>
    <t>LUBRICENTRO Y GOMERÍA GRILLO</t>
  </si>
  <si>
    <t>PIROVANO N° 215</t>
  </si>
  <si>
    <t>25 DE MAYO N° 660</t>
  </si>
  <si>
    <t>lubrigom.grillo@hotmail.com, pablocorv969@gmail.com</t>
  </si>
  <si>
    <t>333/2024</t>
  </si>
  <si>
    <t>G - 001759</t>
  </si>
  <si>
    <t>EX-2024-5462161- -GDEMZA-DPA#SAYOT</t>
  </si>
  <si>
    <t>INC S.A. GODOY CRUZ</t>
  </si>
  <si>
    <t>SAN MARTIN N° 169</t>
  </si>
  <si>
    <t>344/2024</t>
  </si>
  <si>
    <t>G - 001760</t>
  </si>
  <si>
    <t>EX-2024-5695151- -GDEMZA-DPA#SAYOT</t>
  </si>
  <si>
    <t>ANAYVE S.A.S.</t>
  </si>
  <si>
    <t>30-71701846-6</t>
  </si>
  <si>
    <t>lavadero manual de autos</t>
  </si>
  <si>
    <t>TIBURCIO BENEGAS N° 1505</t>
  </si>
  <si>
    <t>anayve.adm@gmail.com, mariadelapazacosta87@gmail.com</t>
  </si>
  <si>
    <t>273/2024</t>
  </si>
  <si>
    <t>G - 001761</t>
  </si>
  <si>
    <t>EX-2024-5823659- -GDEMZA-DPA#SAYOT</t>
  </si>
  <si>
    <t>ROMA AUTOMOTORES S.A.</t>
  </si>
  <si>
    <t>30-69944466-5</t>
  </si>
  <si>
    <t>Venta y post venta de autos y camionetas</t>
  </si>
  <si>
    <t>AV. MITRE N° 251</t>
  </si>
  <si>
    <t>walter.ortega@romaautos.com.ar, lic.leonardo.ortega@gmail.com, federico.mallo@romaautos.com.ar</t>
  </si>
  <si>
    <t>331/2024</t>
  </si>
  <si>
    <t>G - 001762</t>
  </si>
  <si>
    <t>EX-2024-5860214- -GDEMZA-DPA#SAYOT</t>
  </si>
  <si>
    <t>TOP GLOSS S.R.L.</t>
  </si>
  <si>
    <t>30-71844733-6</t>
  </si>
  <si>
    <t>TALLER DE CHAPISTERÍA, PINTURA Y DETAILING DEL AUTOMOTOR</t>
  </si>
  <si>
    <t>PERITO MORENO N° 972</t>
  </si>
  <si>
    <t>vbravomellado@gmail.com, contacto@topgloss.net, guntheratem@gmail.com</t>
  </si>
  <si>
    <t>316/2024</t>
  </si>
  <si>
    <t>G - 001763</t>
  </si>
  <si>
    <t>EX-2024-5905050- -GDEMZA-DPA#SAYOT</t>
  </si>
  <si>
    <t>AUTOTRANSPORTES ISELIN S.A.</t>
  </si>
  <si>
    <t>30-54640847-3</t>
  </si>
  <si>
    <t>BALLOFET N° 2050</t>
  </si>
  <si>
    <t>lic.leonardo.ortega@gmail.com, rrhh@iselin.com.ar, calidad@iselin.com.ar</t>
  </si>
  <si>
    <t>358/2024</t>
  </si>
  <si>
    <t>G - 001764</t>
  </si>
  <si>
    <t>EX-2024-6481852- -GDEMZA-DPA#SAYOT</t>
  </si>
  <si>
    <t>SBALLESTEROS S.R.L. - Modesto Lima 316</t>
  </si>
  <si>
    <t>30-71492758-9</t>
  </si>
  <si>
    <t>Venta al por menor de pinturas y productos anexos</t>
  </si>
  <si>
    <t>MODESTO LIMA N° 316</t>
  </si>
  <si>
    <t>sergiopinturerias.mauricio@gmail.com, lopezasociadosprevencion@gmail.com</t>
  </si>
  <si>
    <t>355/2024</t>
  </si>
  <si>
    <t>G - 001765</t>
  </si>
  <si>
    <t>EX-2024-6481826- -GDEMZA-DPA#SAYOT</t>
  </si>
  <si>
    <t>SBALLESTEROS S.R.L. - San Martin 1001</t>
  </si>
  <si>
    <t>SAN MARTIN N° 1001</t>
  </si>
  <si>
    <t>348/2024</t>
  </si>
  <si>
    <t>G - 001766</t>
  </si>
  <si>
    <t>EX-2024-6481789- -GDEMZA-DPA#SAYOT</t>
  </si>
  <si>
    <t>SBALLESTEROS S.R.L. - Besares 833</t>
  </si>
  <si>
    <t>BESARES N° 833</t>
  </si>
  <si>
    <t xml:space="preserve">CHACRAS DE CORIA </t>
  </si>
  <si>
    <t>336/2024</t>
  </si>
  <si>
    <t>G - 001767</t>
  </si>
  <si>
    <t>EX-2024-6481759- -GDEMZA-DPA#SAYOT</t>
  </si>
  <si>
    <t>SBALLESTEROS S.R.L. - Maza Norte 3592</t>
  </si>
  <si>
    <t>MAZA NORTE N° 3592</t>
  </si>
  <si>
    <t>340/2024</t>
  </si>
  <si>
    <t>G - 001768</t>
  </si>
  <si>
    <t>EX-2024-6481732- -GDEMZA-DPA#SAYOT</t>
  </si>
  <si>
    <t>SBALLESTEROS S.R.L. - San Martin 7703</t>
  </si>
  <si>
    <t>SAN MARTIN N° 7703</t>
  </si>
  <si>
    <t>338/2024</t>
  </si>
  <si>
    <t>G - 001769</t>
  </si>
  <si>
    <t>EX-2024-6481695- -GDEMZA-DPA#SAYOT</t>
  </si>
  <si>
    <t>SBALLESTEROS S.R.L. - Ozamis 380</t>
  </si>
  <si>
    <t>OZAMIS N° 380</t>
  </si>
  <si>
    <t>343/2024</t>
  </si>
  <si>
    <t>G - 001770</t>
  </si>
  <si>
    <t>EX-2024-6481594- -GDEMZA-DPA#SAYOT</t>
  </si>
  <si>
    <t>SBALLESTEROS S.R.L. - Rawson 2600</t>
  </si>
  <si>
    <t>RAWSON N° 2600</t>
  </si>
  <si>
    <t>sergiopinturerias.mauricio@gmail.com, llopezasociadosprevencion@gmail.com</t>
  </si>
  <si>
    <t>398/2024</t>
  </si>
  <si>
    <t>G - 001771</t>
  </si>
  <si>
    <t>EX-2024-6524909- -GDEMZA-DPA#SAYOT</t>
  </si>
  <si>
    <t>ALVARADO RAMON ALBERTO</t>
  </si>
  <si>
    <t>20-12117737-5</t>
  </si>
  <si>
    <t>JOSE INGENIEROS N° 781</t>
  </si>
  <si>
    <t>353/2024</t>
  </si>
  <si>
    <t>G - 001772</t>
  </si>
  <si>
    <t>EX-2024-6524878- -GDEMZA-DPA#SAYOT</t>
  </si>
  <si>
    <t>TUBOSCOPE VECTO DE ARGENTINA S.A.</t>
  </si>
  <si>
    <t>SERVICIOS PETROLEROS - INSPECCIÓN NO DESTRUCTIVA</t>
  </si>
  <si>
    <t>BESARES N° 560</t>
  </si>
  <si>
    <t>YACIMIENTO LA VENTANA S/N°</t>
  </si>
  <si>
    <t>Y8-Y9-Y12-Y13-Y31-Y48</t>
  </si>
  <si>
    <t>347/2024</t>
  </si>
  <si>
    <t>G - 001773</t>
  </si>
  <si>
    <t>EX-2024-6558215- -GDEMZA-DPA#SAYOT</t>
  </si>
  <si>
    <t>GAMBOA JORGE ENRIQUE</t>
  </si>
  <si>
    <t>20-12060381-8</t>
  </si>
  <si>
    <t>VILLAVICENCIO N° 2889</t>
  </si>
  <si>
    <t>VALLE GRANDE N° 2495</t>
  </si>
  <si>
    <t>leonardojgam@gmail.com</t>
  </si>
  <si>
    <t>335/2024</t>
  </si>
  <si>
    <t>G - 001774</t>
  </si>
  <si>
    <t>EX-2024-6558189- -GDEMZA-DPA#SAYOT</t>
  </si>
  <si>
    <t>RECLA S.A.</t>
  </si>
  <si>
    <t>30-71252593-9</t>
  </si>
  <si>
    <t>Rectificadora de motores</t>
  </si>
  <si>
    <t>RODRIGUEZ PEÑA N° 2641</t>
  </si>
  <si>
    <t>info@laindustrialrec.com.ar, gdiez@asdea.com.ar</t>
  </si>
  <si>
    <t>345/2024</t>
  </si>
  <si>
    <t>G - 001775</t>
  </si>
  <si>
    <t>EX-2024-6585008- -GDEMZA-DPA#SAYOT</t>
  </si>
  <si>
    <t>PIAMAS S.A.S.</t>
  </si>
  <si>
    <t>30-71710721-3</t>
  </si>
  <si>
    <t>JOSE VICENTE ZAPATA N° 362</t>
  </si>
  <si>
    <t>INDEPENDENCIA N° 947</t>
  </si>
  <si>
    <t>397/2024</t>
  </si>
  <si>
    <t>G - 001776</t>
  </si>
  <si>
    <t>EX-2024-6598658- -GDEMZA-DPA#SAYOT</t>
  </si>
  <si>
    <t>DIESEL LANGE S.R.L. - SAN RAFAEL</t>
  </si>
  <si>
    <t>Venta maquinarias agrícolas y de construcción</t>
  </si>
  <si>
    <t>ALBERDI N° 1146</t>
  </si>
  <si>
    <t>vbravomellado@gmail.com, grandafernando@diesellange.com.ar</t>
  </si>
  <si>
    <t>346/2024</t>
  </si>
  <si>
    <t>G - 001777</t>
  </si>
  <si>
    <t>EX-2024-6641070- -GDEMZA-DPA#SAYOT</t>
  </si>
  <si>
    <t>VERTIENTES I FIDEICOMISO</t>
  </si>
  <si>
    <t>30-71779472-5</t>
  </si>
  <si>
    <t>DESARROLLOS INMOBILIARIOS</t>
  </si>
  <si>
    <t>EMILIO CIVIT N° 701</t>
  </si>
  <si>
    <t>RUTA PANAMERICANA S/N°</t>
  </si>
  <si>
    <t>camitarantino8@gmail.com, constanzacrescitelli@hotmail.com</t>
  </si>
  <si>
    <t>337/2024</t>
  </si>
  <si>
    <t>G - 001778</t>
  </si>
  <si>
    <t>EX-2024-6747690- -GDEMZA-DPA#SAYOT</t>
  </si>
  <si>
    <t>TRAPEROS DE EMAUS MENDOZA ASOCIACION CIVIL</t>
  </si>
  <si>
    <t>30-71037284-1</t>
  </si>
  <si>
    <t>organización sin fines de lucro dedicada a la recuperación de residuos para ayudar a personas sin</t>
  </si>
  <si>
    <t>USPALLATA Y LAS VIOLETAS</t>
  </si>
  <si>
    <t>traperitomendocino@yahoo.com.ar, trapemausmendoza@yahoo.com.ar</t>
  </si>
  <si>
    <t>Y8-Y12-Y20-Y21-Y22-Y23-Y25-Y26-Y27-Y29-Y31-Y48</t>
  </si>
  <si>
    <t>329/2024</t>
  </si>
  <si>
    <t>G - 001779</t>
  </si>
  <si>
    <t>EX-2024-6973003- -GDEMZA-DPA#SAYOT</t>
  </si>
  <si>
    <t>GENNEIA S.A. – SAN RAFAEL</t>
  </si>
  <si>
    <t>30-6652341-4</t>
  </si>
  <si>
    <t>Generación de Energía Fotovoltaica</t>
  </si>
  <si>
    <t>DIQUE AGUA DEL TORO S/N°</t>
  </si>
  <si>
    <t>315/2024</t>
  </si>
  <si>
    <t>G - 001780</t>
  </si>
  <si>
    <t>EX-2024-6961275- -GDEMZA-DPA#SAYOT</t>
  </si>
  <si>
    <t>DIESEL LANGE S.R.L.-TUNUYAN</t>
  </si>
  <si>
    <t>Venta maquinarias agrícolas y de construcción nuevas y usadas</t>
  </si>
  <si>
    <t>RUTA 40 Y LA ARGENTINA</t>
  </si>
  <si>
    <t>vbravomellado@gmail.com, cormionicolas@diesellange.com.ar</t>
  </si>
  <si>
    <t>2302 341644</t>
  </si>
  <si>
    <t>303/2024</t>
  </si>
  <si>
    <t>G - 001781</t>
  </si>
  <si>
    <t>EX-2024-7100961- -GDEMZA-DPA#SAYOT</t>
  </si>
  <si>
    <t>ECUR S.A.</t>
  </si>
  <si>
    <t>30-70989842-2</t>
  </si>
  <si>
    <t>LOGÍSTICA INTEGRAL DE RESIDUOS DE TODO TIPO</t>
  </si>
  <si>
    <t>ACCESO SUR LATERAL ESTE N° 6581</t>
  </si>
  <si>
    <t>yunesmarta1974@gmail.com, rartuso@ecur.com.ar</t>
  </si>
  <si>
    <t>2615153255 - 2615379615</t>
  </si>
  <si>
    <t>342/2024</t>
  </si>
  <si>
    <t>G - 001782</t>
  </si>
  <si>
    <t>EX-2024-7294867- -GDEMZA-DPA#SAYOT</t>
  </si>
  <si>
    <t>ROBERTO ALCARAZ S.A.</t>
  </si>
  <si>
    <t>30-70849884-6</t>
  </si>
  <si>
    <t>FABRICA DE CONSERVAS</t>
  </si>
  <si>
    <t>LOS ALAMOS Y AURA S/N°</t>
  </si>
  <si>
    <t>calidadalcarazgourmet@gmail.com</t>
  </si>
  <si>
    <t>Y8-Y9-Y12-Y13-Y34-Y48</t>
  </si>
  <si>
    <t>310/2024</t>
  </si>
  <si>
    <t>G - 001783</t>
  </si>
  <si>
    <t>EX-2024-7294821- -GDEMZA-DPA#SAYOT</t>
  </si>
  <si>
    <t>FAVORABLE S.A.</t>
  </si>
  <si>
    <t>30-65612248-6</t>
  </si>
  <si>
    <t>VENTA AL POR MAYOR DE PRODUCTOS</t>
  </si>
  <si>
    <t>JUNIN N° 1168</t>
  </si>
  <si>
    <t>favorable.plataforma@gmail.com, licmartinaguero@gmail.com</t>
  </si>
  <si>
    <t>306/2024</t>
  </si>
  <si>
    <t>G - 001784</t>
  </si>
  <si>
    <t>EX-2024-7294780- -GDEMZA-DPA#SAYOT</t>
  </si>
  <si>
    <t>GARCIA ENZO GASTON</t>
  </si>
  <si>
    <t>20-40273164-9</t>
  </si>
  <si>
    <t>Cambio de aceite de vehículos, venta de accesorios y repuestos</t>
  </si>
  <si>
    <t>ELPIDIO GONZALEZ N° 61200</t>
  </si>
  <si>
    <t>electrocentroenzo@gmail.com, laugonzalez072@gmail.com</t>
  </si>
  <si>
    <t>304/2024</t>
  </si>
  <si>
    <t>G - 001785</t>
  </si>
  <si>
    <t>EX-2024-7294749- -GDEMZA-DPA#SAYOT</t>
  </si>
  <si>
    <t>DALTRE S.R.L.</t>
  </si>
  <si>
    <t>33-69944701-9</t>
  </si>
  <si>
    <t>ESTACIÓN DE SERVICIOS</t>
  </si>
  <si>
    <t>AV. MITRE N° 974</t>
  </si>
  <si>
    <t>daltresrl@gmail.com, laborales.prevención@gmail.com</t>
  </si>
  <si>
    <t>308/2024</t>
  </si>
  <si>
    <t>G - 001786</t>
  </si>
  <si>
    <t>EX-2024-7294683- -GDEMZA-DPA#SAYOT</t>
  </si>
  <si>
    <t>SERRANO MIGUEL ELADIO</t>
  </si>
  <si>
    <t>20-13716899-6</t>
  </si>
  <si>
    <t>Fabricación de Tanques</t>
  </si>
  <si>
    <t>RUTA 60 N° 5185</t>
  </si>
  <si>
    <t>mserrano@ipserrano.com.ar, tga_serrano@yahoo.com</t>
  </si>
  <si>
    <t>Y12-Y13-Y42-Y48</t>
  </si>
  <si>
    <t>312/2024</t>
  </si>
  <si>
    <t>G - 001787</t>
  </si>
  <si>
    <t>EX-2024-7294643- -GDEMZA-DPA#SAYOT</t>
  </si>
  <si>
    <t>RETA RAUL GABRIEL</t>
  </si>
  <si>
    <t>20-24461280-7</t>
  </si>
  <si>
    <t>TALLER DE REPACION DE MOTOS</t>
  </si>
  <si>
    <t>BRASIL N° 341</t>
  </si>
  <si>
    <t>herediawalter30@gmail.com</t>
  </si>
  <si>
    <t>293/2024</t>
  </si>
  <si>
    <t>G - 001788</t>
  </si>
  <si>
    <t>EX-2024-7385992- -GDEMZA-DPA#SAYOT</t>
  </si>
  <si>
    <t>MINSU S.A.</t>
  </si>
  <si>
    <t>30-71154542-1</t>
  </si>
  <si>
    <t>Taller metalúrgico/mecánico – Fábrica de maquinaria/implementos mineros</t>
  </si>
  <si>
    <t>BARRIO LAS HAUYQUERIAS MANZANA F CASA 12</t>
  </si>
  <si>
    <t>RUTA 40S/N°</t>
  </si>
  <si>
    <t>minerasurpareditas@yahoo.com.ar, maurilunello@gmail.com</t>
  </si>
  <si>
    <t>G - 001789</t>
  </si>
  <si>
    <t>EX-2024-7547230- -GDEMZA-DPA#SAYOT</t>
  </si>
  <si>
    <t>LA COLINA S.A.</t>
  </si>
  <si>
    <t>30-67694011-8</t>
  </si>
  <si>
    <t>CALLAO N° 300</t>
  </si>
  <si>
    <t>calidad@la-colina.com.ar</t>
  </si>
  <si>
    <t>357/2024</t>
  </si>
  <si>
    <t>G - 001790</t>
  </si>
  <si>
    <t>EX-2024-7860990- -GDEMZA-DPA#SAYOT</t>
  </si>
  <si>
    <t>ANTONIO BUTTINI E HIJOS S.R.L.</t>
  </si>
  <si>
    <t>30-54627266-0</t>
  </si>
  <si>
    <t>Trasnporte de pasajeros</t>
  </si>
  <si>
    <t>SARMIENTO N° 751</t>
  </si>
  <si>
    <t>info@abuttini.com, mariainesbuttini@yahoo.com.ar, lic.leonardo.ortega@gmail.com</t>
  </si>
  <si>
    <t>383/2024</t>
  </si>
  <si>
    <t>G - 001791</t>
  </si>
  <si>
    <t>EX-2024-7861059- -GDEMZA-DPA#SAYOT</t>
  </si>
  <si>
    <t>INDUSTRIAS VENIATEX S.A.S.</t>
  </si>
  <si>
    <t>30-71807329-0</t>
  </si>
  <si>
    <t>FABRICACION DE PINTURAS</t>
  </si>
  <si>
    <t>AV. VELEZ SARFIELD N° 1095</t>
  </si>
  <si>
    <t>info@veniatex.com, fabiantorres@veniatex.com, lic.leonardo.ortega@gmail.com</t>
  </si>
  <si>
    <t>376/2024</t>
  </si>
  <si>
    <t>G - 001792</t>
  </si>
  <si>
    <t>EX-2024-7861028- -GDEMZA-DPA#SAYOT</t>
  </si>
  <si>
    <t>JAS MINERA S.A.</t>
  </si>
  <si>
    <t>30-69581531-6</t>
  </si>
  <si>
    <t>explotación minera</t>
  </si>
  <si>
    <t>REMEDIOS DE ESCALADA N° 3557</t>
  </si>
  <si>
    <t>RUTA N° 222 S/N°</t>
  </si>
  <si>
    <t>andrea@jasminera.com.ar, rubenrijavec@gmail.com</t>
  </si>
  <si>
    <t>382/2024</t>
  </si>
  <si>
    <t>G - 001793</t>
  </si>
  <si>
    <t>EX-2024-7986706- -GDEMZA-DPA#SAYOT</t>
  </si>
  <si>
    <t>TIRECOR S.A - San Martin Sur 755</t>
  </si>
  <si>
    <t>SAN MARTÍN SUR 755</t>
  </si>
  <si>
    <t>377/2024</t>
  </si>
  <si>
    <t>G - 001794</t>
  </si>
  <si>
    <t>EX-2024-7986747- -GDEMZA-DPA#SAYOT</t>
  </si>
  <si>
    <t>GENNEIA S.A. - Parque Solar Anchoris IV</t>
  </si>
  <si>
    <t>CALLE KM 48 - AL ESTE 4KM DE RN 40</t>
  </si>
  <si>
    <t>380/2024</t>
  </si>
  <si>
    <t>G - 001795</t>
  </si>
  <si>
    <t>EX-2024-8065345- -GDEMZA-DPA#SAYOT</t>
  </si>
  <si>
    <t>ESTABLECIMIENTOS CONSERVEROS DON ANTONIO S.R.L.</t>
  </si>
  <si>
    <t>30-70865446-5</t>
  </si>
  <si>
    <t>Elaborcion de conservas vegetales y elaboracion de correctivos y coadyuvantes</t>
  </si>
  <si>
    <t>RUTA 188 Y CALLE 7 S/N°</t>
  </si>
  <si>
    <t>controldelacalidadgallardo@gmail.com, conservasgallardo@gmail.com</t>
  </si>
  <si>
    <t>Y13-Y18-Y48</t>
  </si>
  <si>
    <t>G - 001796</t>
  </si>
  <si>
    <t>EX-2024-8023071- -GDEMZA-DPA#SAYOT</t>
  </si>
  <si>
    <t>STRATTON ARGENTINA S A</t>
  </si>
  <si>
    <t>30-69847741-1</t>
  </si>
  <si>
    <t>Call center y oficinas administrativas</t>
  </si>
  <si>
    <t>GUTIERREZ 50</t>
  </si>
  <si>
    <t>agustin.gonzalez@konecta-group.com, sarias_hys@yahoo.com.ar</t>
  </si>
  <si>
    <t>Y12-Y31-Y34-Y48</t>
  </si>
  <si>
    <t>197/2025</t>
  </si>
  <si>
    <t>G - 001797</t>
  </si>
  <si>
    <t>EX-2024-8114942- -GDEMZA-DPA#SAYOT</t>
  </si>
  <si>
    <t>BARRAZA AGUIRRE JUAN MARTIN</t>
  </si>
  <si>
    <t>20-37413452-4</t>
  </si>
  <si>
    <t>Taller de motos</t>
  </si>
  <si>
    <t>FIGUEROA ALCORTA 19</t>
  </si>
  <si>
    <t>jb3402489@gmail.com, noritaguirre@outlook.com</t>
  </si>
  <si>
    <t>68/2025</t>
  </si>
  <si>
    <t>G - 001798</t>
  </si>
  <si>
    <t>EX-2024-8697086- -GDEMZA-DPA#SAYOT</t>
  </si>
  <si>
    <t>AGROTIS S.A.</t>
  </si>
  <si>
    <t>30-71810800-0</t>
  </si>
  <si>
    <t>REPARACIÓN Y MANTENIMIENTO DE TRACTORES</t>
  </si>
  <si>
    <t>RUTA PROVINCIAL N°60 Y CALLEJÓN MORICHETTI OESTE 0</t>
  </si>
  <si>
    <t>379/2024</t>
  </si>
  <si>
    <t>G - 001799</t>
  </si>
  <si>
    <t>EX-2024-8737522- -GDEMZA-DPA#SAYOT</t>
  </si>
  <si>
    <t>MECANALISIS SOCIEDAD ANONIMA</t>
  </si>
  <si>
    <t>30-71474217-1</t>
  </si>
  <si>
    <t>Fabricación reparación e instalación de maquinaria y equipos industriales</t>
  </si>
  <si>
    <t>PEDRO DEL CASTILLO 3160</t>
  </si>
  <si>
    <t>irv.arquitectos@gmail.com</t>
  </si>
  <si>
    <t>Y8-Y12-Y13-Y42-Y48</t>
  </si>
  <si>
    <t>255/2025</t>
  </si>
  <si>
    <t>G - 001800</t>
  </si>
  <si>
    <t>EX-2024-8702973- -GDEMZA-DPA#SAYOT</t>
  </si>
  <si>
    <t>OFA MACHINES &amp; TOOLS S.R.L.</t>
  </si>
  <si>
    <t>30-71171199-2</t>
  </si>
  <si>
    <t>IMPORTACION de maquinas para la industria</t>
  </si>
  <si>
    <t>PARQUE INDUSTIAL LAS HERAS CALLE 5 p12</t>
  </si>
  <si>
    <t>Parque Industrial Las Heras Calle 6 J18</t>
  </si>
  <si>
    <t>ofamachinesoficial@gmail.com, enriquerubio1011@gmail.com</t>
  </si>
  <si>
    <t>193/2025</t>
  </si>
  <si>
    <t>G - 001801</t>
  </si>
  <si>
    <t>EX-2024-8703007- -GDEMZA-DPA#SAYOT</t>
  </si>
  <si>
    <t>TORNATORE ARTURO ANDRÉS</t>
  </si>
  <si>
    <t>20-31816420-8</t>
  </si>
  <si>
    <t>SAN MARTIN 2764</t>
  </si>
  <si>
    <t>089/2025</t>
  </si>
  <si>
    <t>G - 001802</t>
  </si>
  <si>
    <t>EX-2024-8703037- -GDEMZA-DPA#SAYOT</t>
  </si>
  <si>
    <t>SUDAMERICANA DE BEBIDAS S R L</t>
  </si>
  <si>
    <t>30-67222645-3</t>
  </si>
  <si>
    <t>Elaboracion y envasado de bebidas</t>
  </si>
  <si>
    <t>EL CHAÑARAL 75</t>
  </si>
  <si>
    <t>mvillar@sudamericanasrl.com.ar, esat@gerenciasanrafael.com.ar, cristiancollazo@hotmail.com</t>
  </si>
  <si>
    <t>220/2025</t>
  </si>
  <si>
    <t>G - 001803</t>
  </si>
  <si>
    <t>EX-2024-8700650- -GDEMZA-DPA#SAYOT</t>
  </si>
  <si>
    <t>RODRIGUEZ ESPRESATTI ADOLFO DANIEL</t>
  </si>
  <si>
    <t>23-28159438-9</t>
  </si>
  <si>
    <t>SARGENTO CABRAL 721</t>
  </si>
  <si>
    <t>fito154.ar@gmail.com</t>
  </si>
  <si>
    <t>070/2025</t>
  </si>
  <si>
    <t>G - 001804</t>
  </si>
  <si>
    <t>EX-2024-8697018- -GDEMZA-DPA#SAYOT</t>
  </si>
  <si>
    <t>BARRIONUEVO GERARDO DANIEL</t>
  </si>
  <si>
    <t>20-27765843-8</t>
  </si>
  <si>
    <t>25 DE May 0571</t>
  </si>
  <si>
    <t>gerclar36@gmail.com, avconsultora@yahoo.com.ar</t>
  </si>
  <si>
    <t>69/2025</t>
  </si>
  <si>
    <t>G - 001805</t>
  </si>
  <si>
    <t>EX-2024-8697056- -GDEMZA-DPA#SAYOT</t>
  </si>
  <si>
    <t>VICARI LUCAS MATIAS</t>
  </si>
  <si>
    <t>23-28024198-9</t>
  </si>
  <si>
    <t>EDESIO CORREA 225</t>
  </si>
  <si>
    <t>201/2025</t>
  </si>
  <si>
    <t>G - 001806</t>
  </si>
  <si>
    <t>EX-2025-5439486-   -GDEMZA-DGFA#SAYOT</t>
  </si>
  <si>
    <t>PETROLEOS SUDAMERICANOS S.A. (Áreas: Barrancas, Ceferino, La Ventana, Mesa Verde, Rio Tunuyán y Vizcacheras)</t>
  </si>
  <si>
    <t>33-65260768-9</t>
  </si>
  <si>
    <t>Extracción, almacenaje y transporte de hidrocarburos</t>
  </si>
  <si>
    <t>RUTA PROVINCIAL Nº 16</t>
  </si>
  <si>
    <t>maria.rosati@petronec.com.ar, alfredo.bonatto@petronec.com.ar, pablo.herrera@petronec.com.ar</t>
  </si>
  <si>
    <t>274/2025</t>
  </si>
  <si>
    <t>G - 001807</t>
  </si>
  <si>
    <t>EX-2025-90219- -GDEMZA-DPA#SAYOT</t>
  </si>
  <si>
    <t>ABELAR SERVICIOS S.R.L</t>
  </si>
  <si>
    <t>30-71322460-6</t>
  </si>
  <si>
    <t>RUTA NACIONAL Nº7 952</t>
  </si>
  <si>
    <t xml:space="preserve">LAS CATITAS </t>
  </si>
  <si>
    <t>administracion@abelar.com.ar, maxi_e89@outlook.com.ar, gerencia@abelar.com.ar</t>
  </si>
  <si>
    <t>46/2025</t>
  </si>
  <si>
    <t>G - 001808</t>
  </si>
  <si>
    <t>EX-2025-458895- -GDEMZA-DPA#SAYOT</t>
  </si>
  <si>
    <t>SAN RAFAEL ARCANGEL S.A.</t>
  </si>
  <si>
    <t>30-67222676-3</t>
  </si>
  <si>
    <t>actividad agrícola, específicamente al cultivo de vides finas y olivos;</t>
  </si>
  <si>
    <t>COMANDANTE SALAS N° 176</t>
  </si>
  <si>
    <t>SAN RDFAEL</t>
  </si>
  <si>
    <t>aheredia@grupoalvarez.com.ar, dlozano@grupoalvarez.com.ar, rglecchi@hotmail.com</t>
  </si>
  <si>
    <t>48/2025</t>
  </si>
  <si>
    <t>G - 001809</t>
  </si>
  <si>
    <t>EX-2025-00374992-   -GDEMZA-DPA#SAYOT</t>
  </si>
  <si>
    <t>MENDOGOM S.A.C.I.M.A.I.</t>
  </si>
  <si>
    <t>30-57280758-0</t>
  </si>
  <si>
    <t>Fabricación de productos de cauchos N.C.P.</t>
  </si>
  <si>
    <t>URQUIZA N° 180</t>
  </si>
  <si>
    <t>mendogom.ventas@gmail.com, licmartinaguero@gmail.com</t>
  </si>
  <si>
    <t>Y8-Y9-Y12-Y13-Y4</t>
  </si>
  <si>
    <t>G - 001810</t>
  </si>
  <si>
    <t>EX-2025-00374972-   -GDEMZA-DPA#SAYOT</t>
  </si>
  <si>
    <t>EMUVIAL S.A.</t>
  </si>
  <si>
    <t>30-71535576-7</t>
  </si>
  <si>
    <t>Planta elaboradora de asfalto</t>
  </si>
  <si>
    <t>EL CARME S/N°</t>
  </si>
  <si>
    <t>administracion@emuvial.com, samirlopez1700@gmail.com</t>
  </si>
  <si>
    <t>Y9-Y11-Y23-Y48</t>
  </si>
  <si>
    <t>67/2025</t>
  </si>
  <si>
    <t>G - 001811</t>
  </si>
  <si>
    <t>EX-2025-310570-   -GDEMZA-DPA#SAYOT</t>
  </si>
  <si>
    <t>ALISAN S.R.L.</t>
  </si>
  <si>
    <t>30-70835759-2</t>
  </si>
  <si>
    <t>FÁBRICA DE CONSERVAS</t>
  </si>
  <si>
    <t>AV. BALLOFET N° 2292</t>
  </si>
  <si>
    <t>gestoriaambiental.mza@gmail.com, jorgedelamarre@yahoo.com.ar</t>
  </si>
  <si>
    <t>47/2025</t>
  </si>
  <si>
    <t>G - 001812</t>
  </si>
  <si>
    <t>EX-2025-00310549-   -GDEMZA-DPA#SAYOT</t>
  </si>
  <si>
    <t>Construcción, reforma y reparación de edificios residenciales</t>
  </si>
  <si>
    <t>RODRIGUUEZ PEÑA N° 401</t>
  </si>
  <si>
    <t>MATHUS HOYOS Y AVELLANEDA</t>
  </si>
  <si>
    <t>vbravomellado@gmail.com, avidela@gencosa.com.ar, esanchez@gencosa.com.ar</t>
  </si>
  <si>
    <t>49/2025</t>
  </si>
  <si>
    <t>G - 001813</t>
  </si>
  <si>
    <t>EX-2025-00265454-   -GDEMZA-DPA#SAYOT</t>
  </si>
  <si>
    <t>PANASUR S.A.S.</t>
  </si>
  <si>
    <t>30-71853940-0</t>
  </si>
  <si>
    <t>venta de neumáticos, servicios de gomería, reparación de tren delantero</t>
  </si>
  <si>
    <t>PANAMERICANA N° 1823</t>
  </si>
  <si>
    <t>lautaro.espejo@hotmail.com, panasursas@yahoo.com, sergioespejo@hotmail.com</t>
  </si>
  <si>
    <t>169/2025</t>
  </si>
  <si>
    <t>G - 001814</t>
  </si>
  <si>
    <t>EX-2025-00265483-   -GDEMZA-DPA#SAYOT</t>
  </si>
  <si>
    <t>ALEDIS S.A.S.</t>
  </si>
  <si>
    <t>30-71818417-3</t>
  </si>
  <si>
    <t>Taller de Chapería y Pintura</t>
  </si>
  <si>
    <t>CONFRATERNIDAD FERROVIARIA N° 946</t>
  </si>
  <si>
    <t>imperiocars20@gmail.com, lic.marcosmontano@gmail.com</t>
  </si>
  <si>
    <t>90/2025</t>
  </si>
  <si>
    <t>G - 001815</t>
  </si>
  <si>
    <t>EX-2025-00259008-   -GDEMZA-DPA#SAYOT</t>
  </si>
  <si>
    <t>CMG S.R.L.</t>
  </si>
  <si>
    <t>30-62212342-4</t>
  </si>
  <si>
    <t>FABRICA DE CAJAS DE CARTÓN</t>
  </si>
  <si>
    <t>SAN FRANCISCO DEL MONTE S/N°</t>
  </si>
  <si>
    <t>jessicativiroli2010@hotmail.com</t>
  </si>
  <si>
    <t>285/2025</t>
  </si>
  <si>
    <t>G - 001816</t>
  </si>
  <si>
    <t>EX-2025-0090223-   -GDEMZA-DPA#SAYOT</t>
  </si>
  <si>
    <t>TACKLE S.A.S.</t>
  </si>
  <si>
    <t>30-71894334-2</t>
  </si>
  <si>
    <t>gomería - lubricentro</t>
  </si>
  <si>
    <t>ALVAREZ Y JUAN B. JUSTO N° 1631</t>
  </si>
  <si>
    <t>nataliaizquierdo11@gmail.com, lubrilook@gmail.com</t>
  </si>
  <si>
    <t>149/2025 rectificacion 212/2025</t>
  </si>
  <si>
    <t>G - 001817</t>
  </si>
  <si>
    <t>EX-2025-0055741-   -GDEMZA-DPA#SAYOT</t>
  </si>
  <si>
    <t>LUZ DEL CAMPO S.A.</t>
  </si>
  <si>
    <t>30-71882580-2</t>
  </si>
  <si>
    <t>GENERACION DE ENERGIA N.C.P.</t>
  </si>
  <si>
    <t>RUTA NACIONAL 40 KM 3352</t>
  </si>
  <si>
    <t>sugerenciasypfluz@ypf.com, elisa.dipietro@ypfluz.com, administracion@scudelati.com.ar</t>
  </si>
  <si>
    <t>188/2025</t>
  </si>
  <si>
    <t>G - 001818</t>
  </si>
  <si>
    <t>EX-2025-0053373-   -GDEMZA-DPA#SAYOT</t>
  </si>
  <si>
    <t>MOLINOS RIO DE LA PLATA S.A. - Guardia Vieja Lujan de Cuyo</t>
  </si>
  <si>
    <t>GUARDIA VIEJA N° 2002</t>
  </si>
  <si>
    <t>dan.rinaldi@molinos.com.ar, facundo.salinas@molinos.com.ar</t>
  </si>
  <si>
    <t>82/2025 151/2025</t>
  </si>
  <si>
    <t>Y4-Y8-Y9-Y13-Y29-Y31-Y34-Y35-Y48</t>
  </si>
  <si>
    <t>151/2025</t>
  </si>
  <si>
    <t>G - 001819</t>
  </si>
  <si>
    <t>EX-2025-0052670-   -GDEMZA-DPA#SAYOT</t>
  </si>
  <si>
    <t>HOWARD JACKSON LATINOAMERICA S.A.</t>
  </si>
  <si>
    <t>30-71088708-6</t>
  </si>
  <si>
    <t>TALLER DE REPACIONES LIVIANAS DE CAMIONES, TRANSPORTE DE CARGAS</t>
  </si>
  <si>
    <t>9 DE JULIO N° 267</t>
  </si>
  <si>
    <t>86/2025</t>
  </si>
  <si>
    <t>G - 001820</t>
  </si>
  <si>
    <t>EX-2025-0051232-   -GDEMZA-DPA#SAYOT</t>
  </si>
  <si>
    <t>PRODUCTOS ANDINOS S.A.</t>
  </si>
  <si>
    <t>30-70768310-0</t>
  </si>
  <si>
    <t>EMPAQUE DE FRUTAS - SECADERO DE FRUTAS CON CAROZO</t>
  </si>
  <si>
    <t>RUTA 144 S/N°</t>
  </si>
  <si>
    <t>productosandinos.proa@gmail.com, marcelogiunchi@hotmail.com</t>
  </si>
  <si>
    <t>153/2025</t>
  </si>
  <si>
    <t>G - 001821</t>
  </si>
  <si>
    <t>EX-2025-0051304-   -GDEMZA-DPA#SAYOT</t>
  </si>
  <si>
    <t>FERNANDEZ MIGUEL ANGEL</t>
  </si>
  <si>
    <t>23-17127939-9</t>
  </si>
  <si>
    <t>Lavadero de Hortalizas</t>
  </si>
  <si>
    <t>RUTA N° 20 S/N°</t>
  </si>
  <si>
    <t>mafseragro@gmail.com, flavibonet@gmail.com</t>
  </si>
  <si>
    <t>150/2025</t>
  </si>
  <si>
    <t>G - 001822</t>
  </si>
  <si>
    <t>EX-2025-0051344-   -GDEMZA-DPA#SAYOT</t>
  </si>
  <si>
    <t>PINTURERIAS COLOR S.A.</t>
  </si>
  <si>
    <t>30-70842526-1</t>
  </si>
  <si>
    <t>pintureria</t>
  </si>
  <si>
    <t>EJERCITO DE LOS ANDES N° 700</t>
  </si>
  <si>
    <t>83/2025</t>
  </si>
  <si>
    <t>G - 001823</t>
  </si>
  <si>
    <t>EX-2025-0051377-   -GDEMZA-DPA#SAYOT</t>
  </si>
  <si>
    <t>HIRSCHBRAND RICARDO DANIEL</t>
  </si>
  <si>
    <t>20-23840185-3</t>
  </si>
  <si>
    <t>Taller de modificación y reparación de transporte de cargas y pasajeros</t>
  </si>
  <si>
    <t>MAZA NORTE N° 3778</t>
  </si>
  <si>
    <t>info@termax.com.ar</t>
  </si>
  <si>
    <t>278/2025</t>
  </si>
  <si>
    <t>G - 001824</t>
  </si>
  <si>
    <t>EX-2025-0265421-   -GDEMZA-DPA#SAYOT</t>
  </si>
  <si>
    <t>AGROPECUARIA DON GINO S.A.</t>
  </si>
  <si>
    <t>30-70871804-8</t>
  </si>
  <si>
    <t>Cámara de Frío</t>
  </si>
  <si>
    <t>RUTA 7 KM 1068</t>
  </si>
  <si>
    <t>s.garcia@grupoterralogic.com, u.andino@grupoterralogic.com</t>
  </si>
  <si>
    <t>084/2025</t>
  </si>
  <si>
    <t>G - 001825</t>
  </si>
  <si>
    <t>EX-2025-0869614-   -GDEMZA-DPA#SAYOT</t>
  </si>
  <si>
    <t>PANELLA HNOS MOTOS S.R.L.</t>
  </si>
  <si>
    <t>30-70315343-3</t>
  </si>
  <si>
    <t>MANTENIMIENTO Y REPARACIÓN DE MOTOS</t>
  </si>
  <si>
    <t>LIBERTAD N° 1420</t>
  </si>
  <si>
    <t>maria@panellamotos.com, eduardo.peinado.hys@gmail.com</t>
  </si>
  <si>
    <t>281/2025</t>
  </si>
  <si>
    <t>G - 001826</t>
  </si>
  <si>
    <t>EX-2025-7481521- -GDEMZA-DGFA#SAYOT</t>
  </si>
  <si>
    <t>CANALE PAULO DAVID</t>
  </si>
  <si>
    <t>20-21403588-0</t>
  </si>
  <si>
    <t>Establecimiento minero (cantera de áridos)</t>
  </si>
  <si>
    <t>RUTA NACIONAL N° 40, Km. 3236</t>
  </si>
  <si>
    <t>estudiocontabletunuyan@gmail.com, rubenrijavec@gmail.com</t>
  </si>
  <si>
    <t>2622442678 - 2622671727</t>
  </si>
  <si>
    <t>378/2025</t>
  </si>
  <si>
    <t>G - 001827</t>
  </si>
  <si>
    <t>EX-2025-2417955-   -GDEMZA-DPA#SAYOT</t>
  </si>
  <si>
    <t>DELIBERTO Y CIA SA</t>
  </si>
  <si>
    <t>PUEYRREDON 416</t>
  </si>
  <si>
    <t>154/2025</t>
  </si>
  <si>
    <t>G - 001828</t>
  </si>
  <si>
    <t>EX-2025-2462657-   -GDEMZA-DPA#SAYOT</t>
  </si>
  <si>
    <t>CARRETONES LM SAS</t>
  </si>
  <si>
    <t>30-71808168-4</t>
  </si>
  <si>
    <t>TALLER METALURGICO</t>
  </si>
  <si>
    <t>LATERAL OESTE ACCESO SUR 8000</t>
  </si>
  <si>
    <t>206/2025</t>
  </si>
  <si>
    <t>INSC</t>
  </si>
  <si>
    <t>G - 001829</t>
  </si>
  <si>
    <t>EX-2025-5622225-   -GDEMZA-DPA#SAYOT</t>
  </si>
  <si>
    <t>GIOVANNI CONTRUCTORA S.A.</t>
  </si>
  <si>
    <t>30-71429504-3</t>
  </si>
  <si>
    <t>Extracción de arenas, canto rodado y triturados</t>
  </si>
  <si>
    <t>FRANCIA Nº 660</t>
  </si>
  <si>
    <t>AV. JUAN DOMINGO PERON S/Nº</t>
  </si>
  <si>
    <t>melisajimenadeblasis@gmail.com, federicocalvo1@gmail.com</t>
  </si>
  <si>
    <t>2616153970 - 2616959830</t>
  </si>
  <si>
    <t>267/2025</t>
  </si>
  <si>
    <t>G - 001830</t>
  </si>
  <si>
    <t>EX-2025-2417950-   -GDEMZA-DPA#SAYOT</t>
  </si>
  <si>
    <t>MINAGRO SAS.</t>
  </si>
  <si>
    <t>30-71696056-7</t>
  </si>
  <si>
    <t>MINERÍA</t>
  </si>
  <si>
    <t>CALLE PUBLICA - ZONA INDUSTRIAL S/N</t>
  </si>
  <si>
    <t>minagrosas@hotmail.com</t>
  </si>
  <si>
    <t>160/2025</t>
  </si>
  <si>
    <t>G - 001831</t>
  </si>
  <si>
    <t>EX-2025-3244049-   -GDEMZA-DGFA#SAYOT</t>
  </si>
  <si>
    <t>VIÑEDOS CASA DE UCO SA</t>
  </si>
  <si>
    <t>30-71450589-7</t>
  </si>
  <si>
    <t>Viñedos y Bodega</t>
  </si>
  <si>
    <t>RUTA PROVINCIAL 94 KM 14</t>
  </si>
  <si>
    <t>adminbodega@casadeuco.com, operaciones@casadeuco.com</t>
  </si>
  <si>
    <t>167/2025</t>
  </si>
  <si>
    <t>G - 001832</t>
  </si>
  <si>
    <t>EX-2025-3244001-   -GDEMZA-DGFA#SAYOT</t>
  </si>
  <si>
    <t>RIO CEBALLOS SRL.</t>
  </si>
  <si>
    <t>30-63998193-9</t>
  </si>
  <si>
    <t>construcción de pozos de agua</t>
  </si>
  <si>
    <t>LISANDRO MOYANO 1337</t>
  </si>
  <si>
    <t>EL ZAPALLAR</t>
  </si>
  <si>
    <t>matiasbellene@lamottaycia.com.ar, pedrolamotta@lamottaycia.com.ar</t>
  </si>
  <si>
    <t>4306004 - 2615443094</t>
  </si>
  <si>
    <t>170/2025</t>
  </si>
  <si>
    <t>G - 001833</t>
  </si>
  <si>
    <t>EX-2025-3243968-   -GDEMZA-DGFA#SAYOT</t>
  </si>
  <si>
    <t>COOPERATIVA ANDINA DE TRANSPORTE AUTOMOTOR DE PROVISION DE SERVICIOS "C.A.T.A. INTERNACIONAL LIMITADA - TUNUYAN</t>
  </si>
  <si>
    <t>TRANSPORTE AUTOMOTOR DE PROVISION DE SERVICIOS</t>
  </si>
  <si>
    <t>RUTA NACIONAL 40 Y LA ARGENTINA</t>
  </si>
  <si>
    <t>TUNUYNA</t>
  </si>
  <si>
    <t>director@catainternacional.com, higiene_seguridad@catainternacional.com</t>
  </si>
  <si>
    <t>2614052282 - 2616569079</t>
  </si>
  <si>
    <t>214/2025</t>
  </si>
  <si>
    <t>G - 001834</t>
  </si>
  <si>
    <t>EX-2025-3243928-   -GDEMZA-DGFA#SAYOT</t>
  </si>
  <si>
    <t>MECANIZADOS SANCHEZ SRL</t>
  </si>
  <si>
    <t>30-67696543-9</t>
  </si>
  <si>
    <t>TALLER DE MECANIZADOS</t>
  </si>
  <si>
    <t>INDEPENDENCIA 997</t>
  </si>
  <si>
    <t>mecanizadossanchezsrl@gmail.com, emilambertucci@hotmail.com</t>
  </si>
  <si>
    <t>4523449 - 2613046165</t>
  </si>
  <si>
    <t>152/2025</t>
  </si>
  <si>
    <t>G - 001835</t>
  </si>
  <si>
    <t>EX-2025-3244081-   -GDEMZA-DGFA#SAYOT</t>
  </si>
  <si>
    <t>PUPPATO GUSTAVO FEDERICO</t>
  </si>
  <si>
    <t>23-20112678-9</t>
  </si>
  <si>
    <t>Lubricentro del Automotor</t>
  </si>
  <si>
    <t>AV RUFINO ORTEGA 368</t>
  </si>
  <si>
    <t>lubricentrodelautomotor@hotmail.com</t>
  </si>
  <si>
    <t>155/2025</t>
  </si>
  <si>
    <t>G - 001836</t>
  </si>
  <si>
    <t>EX-2025-3247255-   -GDEMZA-DGFA#SAYOT</t>
  </si>
  <si>
    <t>MINERA AGAUCU SA</t>
  </si>
  <si>
    <t>30-70905675-8</t>
  </si>
  <si>
    <t>Actividad Minera</t>
  </si>
  <si>
    <t>AV. EMILIO CIVIT 482 - 5to piso</t>
  </si>
  <si>
    <t>CALLE MAESTROS MENDOCINOS N°1260, Bº MAESTROS MENDOCINOS</t>
  </si>
  <si>
    <t>mariano@grblegal.com.ar, joanacabrera.lic@gmail.com</t>
  </si>
  <si>
    <t>2614247497 - 2614544759</t>
  </si>
  <si>
    <t>219/2025</t>
  </si>
  <si>
    <t>G - 001837</t>
  </si>
  <si>
    <t>EX-2025-3727644-   -GDEMZA-DGFA#SAYOT</t>
  </si>
  <si>
    <t>AMERICAN GLASS SRL</t>
  </si>
  <si>
    <t>30-67222805-7</t>
  </si>
  <si>
    <t>LABORATORIO DE OPTICAS FICA Y OTROS, FABRICACION DE VIDRIOS Y/O FRASCOS</t>
  </si>
  <si>
    <t>CUBILLOS 2200</t>
  </si>
  <si>
    <t>javierimaz@americanglasssrl.com.ar, lic.gallegospaola@gmail.com</t>
  </si>
  <si>
    <t>Y8-Y9-Y12-Y17-Y48</t>
  </si>
  <si>
    <t>161/2025</t>
  </si>
  <si>
    <t>G - 001838</t>
  </si>
  <si>
    <t>EX-2025-3727683-   -GDEMZA-DGFA#SAYOT</t>
  </si>
  <si>
    <t>COOPERATIVA ANDINA DE TRANSPORTE AUTOMOTOR DE PROVISION DE SERVICIOS "C.A.T.A. INTERNACIONAL LIMITADA. - MALARGUE</t>
  </si>
  <si>
    <t>CALLE RIO DIAMANTE Nº 550</t>
  </si>
  <si>
    <t>CUARTA DIVISIÓN ESTE 736</t>
  </si>
  <si>
    <t>angelamarianamangano@gmail.com, higiene_seguridad@catainternacional.com</t>
  </si>
  <si>
    <t>194/2025</t>
  </si>
  <si>
    <t>G - 001839</t>
  </si>
  <si>
    <t>EX-2025-3741842-   -GDEMZA-DGFA#SAYOT</t>
  </si>
  <si>
    <t>LA RURAL VIÑEDOS Y BODEGAS S.A. L.D.A. - FINCA EL CEPILLO</t>
  </si>
  <si>
    <t>FINCA CULTIVO DE VID</t>
  </si>
  <si>
    <t>LOS INDIOS S/N</t>
  </si>
  <si>
    <t>maguilar@mahs.com.ar, fdigiovambattista@rutiniwines.com, navarrovives@gmail.com</t>
  </si>
  <si>
    <t>258/2025</t>
  </si>
  <si>
    <t>G - 001840</t>
  </si>
  <si>
    <t>EX-2025-3727600-   -GDEMZA-DGFA#SAYOT</t>
  </si>
  <si>
    <t>LAUGERO CONSTRUCCIONES SA - PROCON SRL UTE</t>
  </si>
  <si>
    <t>30-71785692-5</t>
  </si>
  <si>
    <t>construcción</t>
  </si>
  <si>
    <t>DORREGO 45 PISO:0 DPTO:0</t>
  </si>
  <si>
    <t>ACCESO ESTE KM 100 ESQ. CARRIL SAN PEDRO</t>
  </si>
  <si>
    <t>najufernandez@gmail.com, germanprigione@gmail.com, jplaugero@laugero.com.ar</t>
  </si>
  <si>
    <t>191/2025</t>
  </si>
  <si>
    <t>G - 001841</t>
  </si>
  <si>
    <t>EX-2025-3741870-   -GDEMZA-DGFA#SAYOT</t>
  </si>
  <si>
    <t>MINERAL DEL RIO SA</t>
  </si>
  <si>
    <t>33-71084865-9</t>
  </si>
  <si>
    <t>EXTRACCIÓN DE ARENAS, CANTO RODADO Y TRITURADOS PÉTREOS</t>
  </si>
  <si>
    <t>FIGUEROA ALCORTA 801</t>
  </si>
  <si>
    <t>CALLE LOS POZOS DE YPF S/N</t>
  </si>
  <si>
    <t>vbravomellado@gmail.com, alfredo.torrent@hotmail.com</t>
  </si>
  <si>
    <t>213/2025</t>
  </si>
  <si>
    <t>G - 001842</t>
  </si>
  <si>
    <t>EX-2025-3727585-   -GDEMZA-DGFA#SAYOT</t>
  </si>
  <si>
    <t xml:space="preserve">PRAXAIR ARGENTINA SRL - CHACRAS DE CORIA </t>
  </si>
  <si>
    <t>FABRICACIÓN Y/O VENTA DE GASES INDUSTRIALES/MEDICINALES</t>
  </si>
  <si>
    <t>CALLE BESARES 229</t>
  </si>
  <si>
    <t>210/2025</t>
  </si>
  <si>
    <t>G - 001843</t>
  </si>
  <si>
    <t>EX-2024-5625462- -GDEMZA-DPA#SAYOT</t>
  </si>
  <si>
    <t>CAS DEL OESTE S.A.-OBRAS ANDINAS S.A.-TOLCON S.A. - U.T.</t>
  </si>
  <si>
    <t>30-71802578-4</t>
  </si>
  <si>
    <t>construcción de obras civiles</t>
  </si>
  <si>
    <t>ALVEAR Nº 478</t>
  </si>
  <si>
    <t>LOS FILTROS Nº 1999, R.PROV.150</t>
  </si>
  <si>
    <t>198/2025</t>
  </si>
  <si>
    <t>G - 001844</t>
  </si>
  <si>
    <t>EX-2025-3727612-   -GDEMZA-DGFA#SAYOT</t>
  </si>
  <si>
    <t>TOTALS SA</t>
  </si>
  <si>
    <t>30-70817035-2</t>
  </si>
  <si>
    <t>BODEGA VITIVINICOLA</t>
  </si>
  <si>
    <t>CUBILLOS 2225</t>
  </si>
  <si>
    <t xml:space="preserve">RAMA CAIDA </t>
  </si>
  <si>
    <t>georgina@totals.com.ar, fabian@totals.com.ar</t>
  </si>
  <si>
    <t>2604538966 - 2604402833</t>
  </si>
  <si>
    <t>162/2025</t>
  </si>
  <si>
    <t>G - 001845</t>
  </si>
  <si>
    <t>EX-2025-3982309-   -GDEMZA-DGFA#SAYOT</t>
  </si>
  <si>
    <t>ORALCO SRL</t>
  </si>
  <si>
    <t>30-65171710-4</t>
  </si>
  <si>
    <t>Construcciones Civiles</t>
  </si>
  <si>
    <t>ACCESO SUR 4900</t>
  </si>
  <si>
    <t xml:space="preserve">CALLE PUBLICA S/Nº </t>
  </si>
  <si>
    <t>ZONA INDUSTRIAL</t>
  </si>
  <si>
    <t xml:space="preserve">silvana.guasco@oralco.com.ar, jorge.masud@oralco.com.ar </t>
  </si>
  <si>
    <t>192/2025</t>
  </si>
  <si>
    <t>G - 001846</t>
  </si>
  <si>
    <t>EX-2025-3982165-   -GDEMZA-DGFA#SAYOT</t>
  </si>
  <si>
    <t>SPINELLI GABRIEL VALERIO</t>
  </si>
  <si>
    <t>20-10907301-7</t>
  </si>
  <si>
    <t>TALLER DE CHAPERIA Y PINTURA</t>
  </si>
  <si>
    <t>COLOMBIA 1521</t>
  </si>
  <si>
    <t xml:space="preserve">spinelli.cesar.i@gmail.com, </t>
  </si>
  <si>
    <t>215/2025</t>
  </si>
  <si>
    <t>G - 001847</t>
  </si>
  <si>
    <t>EX-2025-3982279- -GDEMZA-DGFA#SAYOT</t>
  </si>
  <si>
    <t>TITTARELLI VITIVINICOLA Y OLIVICOLA SA</t>
  </si>
  <si>
    <t>33-70102301-9</t>
  </si>
  <si>
    <t>Vitivinícola y Olivícola</t>
  </si>
  <si>
    <t>CARRIL LA FLORIDA</t>
  </si>
  <si>
    <t xml:space="preserve">LA LIBERTAD </t>
  </si>
  <si>
    <t>rmiranda@tittarelli.com.ar, mnogara@tittarelli.com.ar, mauricio.baldo@hotmail.com</t>
  </si>
  <si>
    <t>Y12-Y13-Y18-Y48</t>
  </si>
  <si>
    <t>196/2025</t>
  </si>
  <si>
    <t>G - 001848</t>
  </si>
  <si>
    <t>EX-2025-3727631- -GDEMZA-DGFA#SAYOT</t>
  </si>
  <si>
    <t>RED SERVICE TRUCK SAN RAFAEL S.A.S.</t>
  </si>
  <si>
    <t>30-71775486-3</t>
  </si>
  <si>
    <t>Venta de lubricantes ferreteria y cambio de aceite</t>
  </si>
  <si>
    <t>ESPINOLA 525</t>
  </si>
  <si>
    <t>PUEBLO DIAMANTE</t>
  </si>
  <si>
    <t>lubricentrofuentes@gmail.com</t>
  </si>
  <si>
    <t>256/2025</t>
  </si>
  <si>
    <t>G - 001849</t>
  </si>
  <si>
    <t>EX-2025-3982336- -GDEMZA-DGFA#SAYOT</t>
  </si>
  <si>
    <t>DIRECCION PROVINCIAL DE VIALIDAD DE MENDOZA - SAN RAFAEL</t>
  </si>
  <si>
    <t>Servicios generales de la administración Pública</t>
  </si>
  <si>
    <t>CARLOS W LENCINAS 842</t>
  </si>
  <si>
    <t>9NA. SECCIÓN</t>
  </si>
  <si>
    <t xml:space="preserve"> LOS FILTROS 3200</t>
  </si>
  <si>
    <t>dpvmza@mendoza.gov.ar, raldofabio@yahoo.com</t>
  </si>
  <si>
    <t>2614411900 - 2614411973</t>
  </si>
  <si>
    <t>Y8-Y9-Y11-Y12-Y31-Y34-Y48</t>
  </si>
  <si>
    <t>183/2025</t>
  </si>
  <si>
    <t>EXCENTO</t>
  </si>
  <si>
    <t>G - 001850</t>
  </si>
  <si>
    <t>EX-2025-3982129-   -GDEMZA-DGFA#SAYOT</t>
  </si>
  <si>
    <t xml:space="preserve">INC S.A. - SAN MARTIN </t>
  </si>
  <si>
    <t>BALCARSE 141</t>
  </si>
  <si>
    <t>217/2025</t>
  </si>
  <si>
    <t>G - 001851</t>
  </si>
  <si>
    <t>EX-2025-3982035-   -GDEMZA-DGFA#SAYOT</t>
  </si>
  <si>
    <t>QUERINI MARIN BRUNO GASTON</t>
  </si>
  <si>
    <t>20-32752566-3</t>
  </si>
  <si>
    <t>PERÚ 625</t>
  </si>
  <si>
    <t>gastoncasillo@gmail.com</t>
  </si>
  <si>
    <t>190/2025</t>
  </si>
  <si>
    <t>G - 001852</t>
  </si>
  <si>
    <t>EX-2025-3727663-   -GDEMZA-DGFA#SAYOT</t>
  </si>
  <si>
    <t>WENTEK S.A.</t>
  </si>
  <si>
    <t>33-71050604-9</t>
  </si>
  <si>
    <t>IMPRESIÓN EN BOTELLAS DE VIDRIO CON SERIGRAFÍA</t>
  </si>
  <si>
    <t>ACCESO NORTE KM 7,5</t>
  </si>
  <si>
    <t>wentek.mendoza@hotmail.com, molmendo@yahoo.com.ar</t>
  </si>
  <si>
    <t>2615090614 - 261116189</t>
  </si>
  <si>
    <t>G - 001853</t>
  </si>
  <si>
    <t>EX-2025-2417947-   -GDEMZA-DPA#SAYOT</t>
  </si>
  <si>
    <t xml:space="preserve">CONSORCIO PUBLICO DE GESTION INTERMUNICIPAL DE RESIDUOS </t>
  </si>
  <si>
    <t>30-70899703-6</t>
  </si>
  <si>
    <t>Gestión de Residuos y Operador de RAEEs</t>
  </si>
  <si>
    <t>RUTA 40 TERMINAL ÓMNIBUS LOCAL 12 s/n</t>
  </si>
  <si>
    <t>CAMINO GANADERO s/n</t>
  </si>
  <si>
    <t>CAPIZ</t>
  </si>
  <si>
    <t>residuos.coince@gmail.com, renzoruedaocchipinti@gmail.com, eespinozadc@gmail.com</t>
  </si>
  <si>
    <t>2616835665 - 2616673006</t>
  </si>
  <si>
    <t>Y8,Y12,Y20,Y21,Y22,Y23,Y25,Y26,Y27,Y29,Y31,Y35,Y48</t>
  </si>
  <si>
    <t>361/2025</t>
  </si>
  <si>
    <t>G - 001854</t>
  </si>
  <si>
    <t>EX-2025-5407381-   -GDEMZA-DGFA#SAYOT</t>
  </si>
  <si>
    <t>ORTEGA ROBERTO RAUL</t>
  </si>
  <si>
    <t>20-24893689-5</t>
  </si>
  <si>
    <t>Empresa de Transportes</t>
  </si>
  <si>
    <t>Bº LA BASTILLA MNA 10 CASA 8 s/n</t>
  </si>
  <si>
    <t>,EL CHALLAO</t>
  </si>
  <si>
    <t>CALLE Nº 2, PARQUE INDUSTRIAL LAS HERAS</t>
  </si>
  <si>
    <t>alemartinez.smp@gmail.com, info@clypeo.com</t>
  </si>
  <si>
    <t>254/2025</t>
  </si>
  <si>
    <t>G - 001855</t>
  </si>
  <si>
    <t>EX-2025-5408392-   -GDEMZA-DGFA#SAYOT</t>
  </si>
  <si>
    <t>CUYO MINERALES S.R.L.</t>
  </si>
  <si>
    <t>30-70915278-1</t>
  </si>
  <si>
    <t>Construcción de adoquines, cordones y hormigón elaborado/mantenimiento de equipo pesados, prestación de servicios mineros.</t>
  </si>
  <si>
    <t>CALLE PÚBLICA S/N LOTE N° 5</t>
  </si>
  <si>
    <t xml:space="preserve"> ZONA INDUSTRIAL</t>
  </si>
  <si>
    <t>cuyominerales@gmail.com, cuyostone@gmail.com, letypacheco769@gmail.com, letypacheco769@gmail.com</t>
  </si>
  <si>
    <t>2604231250-2604330250</t>
  </si>
  <si>
    <t>235/2025</t>
  </si>
  <si>
    <t>G - 001856</t>
  </si>
  <si>
    <t>EX-2025-5431019-   -GDEMZA-DGFA#SAYOT</t>
  </si>
  <si>
    <t>JOSE CARTELLONE CONSTRUCC IONES CIVILES S.A. – Obrador Monte Coman</t>
  </si>
  <si>
    <t>CONSTRUCCIÓN, REFORMA Y REPARACIÓN DE OBRAS DE INFRAESTRUCTURA</t>
  </si>
  <si>
    <t>RODRIGUEZ PEÑA 4447</t>
  </si>
  <si>
    <t>RUTA PROV. Nº 146, KM. 337.5</t>
  </si>
  <si>
    <t>MONTE COMAN</t>
  </si>
  <si>
    <t>2614819000 - 2613601260</t>
  </si>
  <si>
    <t>236/2025</t>
  </si>
  <si>
    <t>G - 001857</t>
  </si>
  <si>
    <t>EX-2025-4860341-   -GDEMZA-DGFA#SAYOT</t>
  </si>
  <si>
    <t>DOMINGUEZ WALTER HORACIO</t>
  </si>
  <si>
    <t>20-18430618-3</t>
  </si>
  <si>
    <t>VENTA Y RECARGA DE EXTINTORES</t>
  </si>
  <si>
    <t>SANTIAGO DEL ESTERO 625</t>
  </si>
  <si>
    <t>4TA SECCION</t>
  </si>
  <si>
    <t>walterdominguez_67@hotmail.com, mgsegurlab@yahoo.com.ar</t>
  </si>
  <si>
    <t>2614375910 - 2615453240</t>
  </si>
  <si>
    <t>280/2025</t>
  </si>
  <si>
    <t>G - 001858</t>
  </si>
  <si>
    <t>EX-2025-5434688- -GDEMZA-DGFA#SAYOT</t>
  </si>
  <si>
    <t>SANCHEZ GUILLERMO</t>
  </si>
  <si>
    <t>20-07617265-0</t>
  </si>
  <si>
    <t>Fabrica de refinado y fraccionamiento de grasa vacuna</t>
  </si>
  <si>
    <t>AVENIDA PEDRO VARGAS 2710</t>
  </si>
  <si>
    <t>administracion@industriassanchez.com.ar, andre_87_3@hotmail.com</t>
  </si>
  <si>
    <t>2604608775 - 2604394278</t>
  </si>
  <si>
    <t>253/2025</t>
  </si>
  <si>
    <t>G - 001859</t>
  </si>
  <si>
    <t>EX-2025-5443829-   -GDEMZA-DGFA#SAYOT</t>
  </si>
  <si>
    <t>JOSE CARTELLONE CONSTRUCCIONES CIVILES S A – Obrador Las Catitas</t>
  </si>
  <si>
    <t>INTERSECCION RUTA PROV. N° 153 Y RUTA PROV. N° 171 (esq. Suroeste),</t>
  </si>
  <si>
    <t>283/2025</t>
  </si>
  <si>
    <t>G - 001860</t>
  </si>
  <si>
    <t>EX-2025-5614924- -GDEMZA-DGFA#SAYOT</t>
  </si>
  <si>
    <t>ORANGE GREY S.A.</t>
  </si>
  <si>
    <t>30-71872760-6</t>
  </si>
  <si>
    <t>JUAN XXIII 846</t>
  </si>
  <si>
    <t>AZOPARDO Nº 515</t>
  </si>
  <si>
    <t>camposhys@gmail.com, administracion@prolube.com.ar</t>
  </si>
  <si>
    <t>2612180415 - 02616610818</t>
  </si>
  <si>
    <t>222/2025</t>
  </si>
  <si>
    <t>G - 001861</t>
  </si>
  <si>
    <t>EX-2025-5622275- -GDEMZA-DGFA#SAYOT</t>
  </si>
  <si>
    <t>AVANZ TRUCK S.R.L. . Guaymallen</t>
  </si>
  <si>
    <t>G - 001862</t>
  </si>
  <si>
    <t>EX-2025-5887746- -GDEMZA-DGFA#SAYOT</t>
  </si>
  <si>
    <t>QUIMICA INDUSTRIAL A.S. S.A.</t>
  </si>
  <si>
    <t>30-70931147-2</t>
  </si>
  <si>
    <t>FABRICACIÓN DE PRODUCTOS QUIMICOS DE LIMPIEZA, PULIDO Y SANEAMIENTO, JABONES Y DETERGENTE</t>
  </si>
  <si>
    <t>DR. MORENO 4496</t>
  </si>
  <si>
    <t>PANQUEHUA,</t>
  </si>
  <si>
    <t>mrmg1473@hotmail.com, guevarluis@gmail.com</t>
  </si>
  <si>
    <t>Y4-Y12-Y48</t>
  </si>
  <si>
    <t>251/2025</t>
  </si>
  <si>
    <t>G - 001863</t>
  </si>
  <si>
    <t>EX-2025-5887967- -GDEMZA-DGFA#SAYOT</t>
  </si>
  <si>
    <t xml:space="preserve">TENORIO APAZA RICHARD CRISTIAN </t>
  </si>
  <si>
    <t>20-95149098-9</t>
  </si>
  <si>
    <t>Granja Avicola con venta de huevos</t>
  </si>
  <si>
    <t>PEDRO PASCUAL SEGURA 5533</t>
  </si>
  <si>
    <t>ALGARROBAL ABAJO</t>
  </si>
  <si>
    <t>257/2025</t>
  </si>
  <si>
    <t>G - 001864</t>
  </si>
  <si>
    <t>EX-2025-5404098- -GDEMZA-DGFA#SAYOT</t>
  </si>
  <si>
    <t>STORNINI S.A. CONSTRUCTORA SAN JOSE S.R.L. POLO JUDICIAL TUNUYAN U. T. E.</t>
  </si>
  <si>
    <t>30-71879187-8</t>
  </si>
  <si>
    <t>CONSTRUCCIONES CIVILES</t>
  </si>
  <si>
    <t>SAN MARTIN 6371</t>
  </si>
  <si>
    <t>CARRODILLA,</t>
  </si>
  <si>
    <t>SAN MARTIN 1900</t>
  </si>
  <si>
    <t>2617030822 - 2616116630</t>
  </si>
  <si>
    <t>224/2025</t>
  </si>
  <si>
    <t>G - 001865</t>
  </si>
  <si>
    <t>EX-2025-5431031- -GDEMZA-DGFA#SAYOT</t>
  </si>
  <si>
    <t>LATINFINA S.A.</t>
  </si>
  <si>
    <t>30-63976829-1</t>
  </si>
  <si>
    <t>cultivo de uvas, elaboración , fraccionamiento y comercialización de vinos</t>
  </si>
  <si>
    <t>RUTA NAC. 40 (lateral este) Nº 3258</t>
  </si>
  <si>
    <t>adm@doncristobal.com.ar, clapania@doncristobal.com.ar, dmedina@doncristobal.com.ar</t>
  </si>
  <si>
    <t>1161973938 - 2616642419</t>
  </si>
  <si>
    <t>Y4-Y6-Y8-Y12-Y13-Y16-Y29-Y31-Y34-Y48</t>
  </si>
  <si>
    <t>223/2025</t>
  </si>
  <si>
    <t>G - 001866</t>
  </si>
  <si>
    <t>EX-2025-5464470- -GDEMZA-DGFA#SAYOT</t>
  </si>
  <si>
    <t>LOGICO MENDOZA S.A.</t>
  </si>
  <si>
    <t>30-70981207-2</t>
  </si>
  <si>
    <t>CANTERA DE ÁRIDOS</t>
  </si>
  <si>
    <t>PEDRO MOLINA 475</t>
  </si>
  <si>
    <t>LATERAL ESTE DE COLECTOR</t>
  </si>
  <si>
    <t>BLANCO ENCALADA II</t>
  </si>
  <si>
    <t>gestoriaambiental.mza@gmail.com, grupo.logico.mendoza@gmail.com</t>
  </si>
  <si>
    <t>2616631257 - 2612030212</t>
  </si>
  <si>
    <t>225/2025</t>
  </si>
  <si>
    <t>G - 001867</t>
  </si>
  <si>
    <t>EX-2025-5413337- -GDEMZA-DGFA#SAYOT</t>
  </si>
  <si>
    <t>PACIFICO S.R.L. - San Rafael</t>
  </si>
  <si>
    <t>30-70871613-4</t>
  </si>
  <si>
    <t>Estación de servicio GNC</t>
  </si>
  <si>
    <t>JUAN DE DIOS VIDELA 359</t>
  </si>
  <si>
    <t>6TA. SECCIÓN, RESIDENCIAL NORTE</t>
  </si>
  <si>
    <t>AV. BALLOFFET Nº 2970</t>
  </si>
  <si>
    <t>laborales.prevencion@gmail.com, marcelof2003@yahoo.com.ar</t>
  </si>
  <si>
    <t>266/2025</t>
  </si>
  <si>
    <t>G - 001868</t>
  </si>
  <si>
    <t>EX-2025-4889271- -GDEMZA-DGFA#SAYOT</t>
  </si>
  <si>
    <t>FINCA EL NEVADO S.A.</t>
  </si>
  <si>
    <t>30-71054180-5</t>
  </si>
  <si>
    <t>CUBILLOS Nº 2000</t>
  </si>
  <si>
    <t>RAMA CAIDA</t>
  </si>
  <si>
    <t>administracion@fincaelnevado.com, flazaro@fincaelnevado.com</t>
  </si>
  <si>
    <t>252/2025</t>
  </si>
  <si>
    <t>G - 001869</t>
  </si>
  <si>
    <t>EX-2025-6092417- -GDEMZA-DGFA#SAYOT</t>
  </si>
  <si>
    <t>AMARILLO BERMELLON S.A. - Bandera de Los Andes</t>
  </si>
  <si>
    <t>DISTRIBUCCION DE LUBRICANTES SHELL</t>
  </si>
  <si>
    <t>BANDERA DE LOS ANDES 12850</t>
  </si>
  <si>
    <t>KM 8</t>
  </si>
  <si>
    <t>allgus02@outlook.es</t>
  </si>
  <si>
    <t>335/2025</t>
  </si>
  <si>
    <t>G - 001870</t>
  </si>
  <si>
    <t>EX-2025-5404044-   -GDEMZA-DGFA#SAYOT</t>
  </si>
  <si>
    <t>FUNES CARLOS JAVIER</t>
  </si>
  <si>
    <t>20-26297149-0</t>
  </si>
  <si>
    <t>Cantera - Extraccion de Aridos</t>
  </si>
  <si>
    <t>CALLE MATIENZO Nº 493</t>
  </si>
  <si>
    <t>VIILA TULUMAYA</t>
  </si>
  <si>
    <t>CALLE PUBLICA S/Nº SECANO - PARQUE INDUSTRIAL</t>
  </si>
  <si>
    <t>galarregui2005@yahoo.es</t>
  </si>
  <si>
    <t>337/2025</t>
  </si>
  <si>
    <t>G - 001871</t>
  </si>
  <si>
    <t>EX-2025-6684100-   -GDEMZA-DGFA#SAYOT</t>
  </si>
  <si>
    <t>CORAL MONYAJES ELECTRICOS S.A.</t>
  </si>
  <si>
    <t>30-70757243-0</t>
  </si>
  <si>
    <t>G - 001872</t>
  </si>
  <si>
    <t>EX-2025-2915565-   -GDEMZA-DGFA#SAYOT</t>
  </si>
  <si>
    <t>VENOIL S.A.</t>
  </si>
  <si>
    <t>Extracción de Hidrocarburos</t>
  </si>
  <si>
    <t>RUTA 82, CHACRAS PARK. EDIFICIO DRAGO PISO 5 OF 507</t>
  </si>
  <si>
    <t>RUTA 40 Nº 3247</t>
  </si>
  <si>
    <t>institucionales@venoil-energia.com, gnaves@venoil-energia.com, danielquintanahys@yahoo.com.ar</t>
  </si>
  <si>
    <t>2615073927 - 2616994057</t>
  </si>
  <si>
    <t>282/2025</t>
  </si>
  <si>
    <t>G - 001873</t>
  </si>
  <si>
    <t>EX-2025-7276129-   -GDEMZA-DGFA#SAYOT</t>
  </si>
  <si>
    <t>BANCO DE SANGRE</t>
  </si>
  <si>
    <t>MONTECASEROS Nº 1028</t>
  </si>
  <si>
    <t>4ta SECCION</t>
  </si>
  <si>
    <t>pphemoterapia@mendoza.gov.ar</t>
  </si>
  <si>
    <t>Y18-Y34-Y35-Y39-Y40-Y41</t>
  </si>
  <si>
    <t>328/2025</t>
  </si>
  <si>
    <t>G - 001874</t>
  </si>
  <si>
    <t>EX-2025-7359266-   -GDEMZA-DGFA#SAYOT</t>
  </si>
  <si>
    <t>MUNICIPALIDAD DE MALARGÛE</t>
  </si>
  <si>
    <t>30-67215520-3</t>
  </si>
  <si>
    <t>Vivero Municipal</t>
  </si>
  <si>
    <t xml:space="preserve">MILAGRO DE LOS ANDES S/N </t>
  </si>
  <si>
    <t xml:space="preserve">direciondeambientemgue@gmail.com, millaugeisa@gmail.com,arielmarfil@malargue.gov.ar </t>
  </si>
  <si>
    <t>26044472267 - 2604632311</t>
  </si>
  <si>
    <t>Y4-Y8-Y9-Y31-Y34-Y48</t>
  </si>
  <si>
    <t>341/2025</t>
  </si>
  <si>
    <t>G - 001875</t>
  </si>
  <si>
    <t>EX-2025-7355415-   -GDEMZA-DGFA#SAYOT</t>
  </si>
  <si>
    <t>GARCIA FERNANDO EMILIO</t>
  </si>
  <si>
    <t>20-30584789-6</t>
  </si>
  <si>
    <t>CALLE HUALPA Nº 315</t>
  </si>
  <si>
    <t>macarenaabi98@gmail.com, juanponce1197@gmail.com, nicozgrablich@gmail.com</t>
  </si>
  <si>
    <t>2613890494 - 2615184155</t>
  </si>
  <si>
    <t>Y8-Y12-Y31-Y34-Y48</t>
  </si>
  <si>
    <t>343/2025</t>
  </si>
  <si>
    <t>G - 001876</t>
  </si>
  <si>
    <t>EX-2025-7359235-   -GDEMZA-DGFA#SAYOT</t>
  </si>
  <si>
    <t>LATIN EXPORT SOCIEDAD DE RESPONSABILIDAD LIMITADA S. R. L.</t>
  </si>
  <si>
    <t>30-61863176-8</t>
  </si>
  <si>
    <t>RUTA PROVINCIAL N°34 5,5</t>
  </si>
  <si>
    <t>JOCOLI VIEJO</t>
  </si>
  <si>
    <t>administracion@latinexportsrl.com.ar, mauricioscattolon@gmail.com</t>
  </si>
  <si>
    <t>339/2025</t>
  </si>
  <si>
    <t>G - 001877</t>
  </si>
  <si>
    <t>EX-2025-7621478-   -GDEMZA-DGFA#SAYOT</t>
  </si>
  <si>
    <t>CONSTRUCCIONES ELECTROMECANICAS DEL OESTE S A. – (El Quemado)</t>
  </si>
  <si>
    <t>LATERAL ESTE, ACCESO SUR (JJ PORRETTA) 7567</t>
  </si>
  <si>
    <t>EL QUEMADO S/N (AL SUR DE LA RP60)</t>
  </si>
  <si>
    <t>BARRIALES</t>
  </si>
  <si>
    <t>340/2025</t>
  </si>
  <si>
    <t>G - 001878</t>
  </si>
  <si>
    <t>EX-2025-7811786-   -GDEMZA-DGFA#SAYOT</t>
  </si>
  <si>
    <t>PETROQUIMICA COMODORO RIVADAVIA S.A. - AREA LLANCANELO</t>
  </si>
  <si>
    <t>MARTINEZ DE ROSAS 86</t>
  </si>
  <si>
    <t>5TA. SECCIÓN, RESIDENCIAL SUR</t>
  </si>
  <si>
    <t>ÁREA LLANCANELO</t>
  </si>
  <si>
    <t>notilegales@pcr.energy, daniellagos@estudioperezhualde.com, lleguizamon@pcr.energy</t>
  </si>
  <si>
    <t>2613631504 - 2614284323</t>
  </si>
  <si>
    <t>338/2025</t>
  </si>
  <si>
    <t>G - 001879</t>
  </si>
  <si>
    <t>EX-2025-7355290-   -GDEMZA-DGFA#SAYOT</t>
  </si>
  <si>
    <t xml:space="preserve">MARTIN MARIA SANDRA - IVAN SPORT MOTOS </t>
  </si>
  <si>
    <t>23-17683499-4</t>
  </si>
  <si>
    <t>VILLEGAS ESTE Nº 271</t>
  </si>
  <si>
    <t>martinsandra865@gmail.com, dmghiglione24@gmail.com</t>
  </si>
  <si>
    <t>2604330655 - 2604223156</t>
  </si>
  <si>
    <t>320/2025</t>
  </si>
  <si>
    <t>G - 001880</t>
  </si>
  <si>
    <t>EX-2025-7811800-   -GDEMZA-DGFA#SAYOT</t>
  </si>
  <si>
    <t>COMPAÑIA PANAMEÑA DE AVIACION S.A. (Sucursal Argentina)</t>
  </si>
  <si>
    <t>30-70506172-2</t>
  </si>
  <si>
    <t>TRANSPORTE DE PASAJEROS- AVIACION</t>
  </si>
  <si>
    <t>AEROPUERTO INTERNACIONAL DE MENDOZA, RN 40</t>
  </si>
  <si>
    <t>aharris@copaair.com, skukla@copaair.com, aharris@copaair.com</t>
  </si>
  <si>
    <t>323/2025</t>
  </si>
  <si>
    <t>G - 001881</t>
  </si>
  <si>
    <t>EX-2025-7811864-   -GDEMZA-DGFA#SAYOT</t>
  </si>
  <si>
    <t>MVG SERVICIOS S.A.</t>
  </si>
  <si>
    <t>30-71506744-3</t>
  </si>
  <si>
    <t>Explotación de canteras</t>
  </si>
  <si>
    <t>ROQUE SÁENZ PEÑA Nº 1636</t>
  </si>
  <si>
    <t>mvgserviciossa84@gmail.com, maurilunello@gmail.com</t>
  </si>
  <si>
    <t>2616921380 - 2612418545</t>
  </si>
  <si>
    <t>324/2025</t>
  </si>
  <si>
    <t>G - 001882</t>
  </si>
  <si>
    <t>EX-2025-7817465-   -GDEMZA-DGFA#SAYOT</t>
  </si>
  <si>
    <t>PEÑA ALDO CESAR</t>
  </si>
  <si>
    <t>20-18571574-5</t>
  </si>
  <si>
    <t>MECANICA INTEGRAL</t>
  </si>
  <si>
    <t>MIGUEL CANE Nº 542</t>
  </si>
  <si>
    <t>vbravomellado@gmail.com, penaeurotaller@gmail.com</t>
  </si>
  <si>
    <t>325/2025</t>
  </si>
  <si>
    <t>G - 001883</t>
  </si>
  <si>
    <t>EX-2025-8039314-   -GDEMZA-DGFA#SAYOT</t>
  </si>
  <si>
    <t>SANTA JOSEFINA S.R.L.</t>
  </si>
  <si>
    <t>30-67218826-8</t>
  </si>
  <si>
    <t>Venta y mantenimiento de autos, camionetas y utilitarios</t>
  </si>
  <si>
    <t>AV. BALLOFFET Nº 892</t>
  </si>
  <si>
    <t>administracion@amsatchevrolet.com.ar, contaduria@amsatchevrolet.com.ar, lic.paolaegallegos@gmail.com</t>
  </si>
  <si>
    <t>260446876 - 2604302408</t>
  </si>
  <si>
    <t>321/2025</t>
  </si>
  <si>
    <t>G - 001884</t>
  </si>
  <si>
    <t>EX-2025-7817427-   -GDEMZA-DGFA#SAYOT</t>
  </si>
  <si>
    <t>COMFIAR S.A. FINANCIERA E INMOBILIARIA</t>
  </si>
  <si>
    <t>30-70516975-2</t>
  </si>
  <si>
    <t>G - 001885</t>
  </si>
  <si>
    <t>EX-2025-7819883-   -GDEMZA-DGFA#SAYOT</t>
  </si>
  <si>
    <t>FARITH HERNANDEZ DIAZ</t>
  </si>
  <si>
    <t>20-94116854-0</t>
  </si>
  <si>
    <t>G - 001886</t>
  </si>
  <si>
    <t>EX-2025-7355335-   -GDEMZA-DGFA#SAYOT</t>
  </si>
  <si>
    <t>R&amp;L NEUMATICOS S.A.S.</t>
  </si>
  <si>
    <t>30-71817876-9</t>
  </si>
  <si>
    <t>G - 001887</t>
  </si>
  <si>
    <t>EX-2026-00178905- -GDEMZA-DGFA#SAYOT</t>
  </si>
  <si>
    <t>DIRECCION DE HIDRAULICA</t>
  </si>
  <si>
    <t>30-71044355-2</t>
  </si>
  <si>
    <t>G - 001888</t>
  </si>
  <si>
    <t>EX-2026-00178958- -GDEMZA-DGFA#SAYOT</t>
  </si>
  <si>
    <t>BRINCALTO SOCIEDAD ANONIMA</t>
  </si>
  <si>
    <t>30-71466568-1</t>
  </si>
  <si>
    <t>G - 001889</t>
  </si>
  <si>
    <t>EX-2026-00228262- -GDEMZA-DGFA#SAYOT</t>
  </si>
  <si>
    <t>SAEC S.R.L.</t>
  </si>
  <si>
    <t>30-71447796-6</t>
  </si>
  <si>
    <t>G - 001890</t>
  </si>
  <si>
    <t>EX-2026-00241287- -GDEMZA-DGFA#SAYOT</t>
  </si>
  <si>
    <t>NICOLAI LUIS</t>
  </si>
  <si>
    <t>20-11110495-7</t>
  </si>
  <si>
    <t>G - 001891</t>
  </si>
  <si>
    <t>EX-2025-7727739-   -GDEMZA-DGFA#SAYOT</t>
  </si>
  <si>
    <t>TRANSPORTES EUGENIO BUSTOS S.A.</t>
  </si>
  <si>
    <t>30-70968863-0</t>
  </si>
  <si>
    <t>G - 001892</t>
  </si>
  <si>
    <t>EX-2025-7726675-   -GDEMZA-DGFA#SAYOT</t>
  </si>
  <si>
    <t>RIPIERA LA GUEVARINA S.A.</t>
  </si>
  <si>
    <t>30-70964066-2</t>
  </si>
  <si>
    <t>G - 001893</t>
  </si>
  <si>
    <t>EX-2026-00354246-   -GDEMZA-DGFA#SAYOT</t>
  </si>
  <si>
    <t>CAÑADA COLORADA S.R.L.</t>
  </si>
  <si>
    <t>30-64032850-5</t>
  </si>
  <si>
    <t>G - 001894</t>
  </si>
  <si>
    <t>EX-2026-00325696-   -GDEMZA-DGFA#SAYOT</t>
  </si>
  <si>
    <t>EL GARAGE REFINISH CENTER S.A.S.</t>
  </si>
  <si>
    <t>30-71873612-5</t>
  </si>
  <si>
    <t>G - 001895</t>
  </si>
  <si>
    <t>EX-2026-00326562-   -GDEMZA-DGFA#SAYOT</t>
  </si>
  <si>
    <t>CHAYLE S.A.S.</t>
  </si>
  <si>
    <t>30-71898992-9</t>
  </si>
  <si>
    <t>G - 001896</t>
  </si>
  <si>
    <t>EX-2026-00327394-   -GDEMZA-DGFA#SAYOT</t>
  </si>
  <si>
    <t>BANCO SANTANDER ARGENTINA SOCIEDAD ANONIMA</t>
  </si>
  <si>
    <t>30-50000845-4</t>
  </si>
  <si>
    <t>G - 001897</t>
  </si>
  <si>
    <t>EX-2026-00328363-   -GDEMZA-DGFA#SAYOT</t>
  </si>
  <si>
    <t>EMPRESA DISTRIBUIDORA DE ELECTRICIDAD DE MENDOZA SOCIEDAD ANONIMA (E.D.E.M.S.A.) -Sitio: Tunuyán</t>
  </si>
  <si>
    <t>G - 001898</t>
  </si>
  <si>
    <t>EX-2026-00401322-   -GDEMZA-DGFA#SAYOT</t>
  </si>
  <si>
    <t xml:space="preserve">GREEN S.A - Sitio: Reconstrucción R.P. Nº33 Tramo R.P. Nº20 – R.P. Nº31 - MAIPU - </t>
  </si>
  <si>
    <t>G - 001899</t>
  </si>
  <si>
    <t>G - 001900</t>
  </si>
  <si>
    <t>G - 001901</t>
  </si>
  <si>
    <t>G - 001902</t>
  </si>
  <si>
    <t>G - 001903</t>
  </si>
  <si>
    <t>G - 001904</t>
  </si>
  <si>
    <t>G - 001905</t>
  </si>
  <si>
    <t>G - 001906</t>
  </si>
  <si>
    <t>G - 001907</t>
  </si>
  <si>
    <t>G - 001908</t>
  </si>
  <si>
    <t>G - 001909</t>
  </si>
  <si>
    <t>G - 001910</t>
  </si>
  <si>
    <t>G - 001911</t>
  </si>
  <si>
    <t>G - 001912</t>
  </si>
  <si>
    <t>G - 001913</t>
  </si>
  <si>
    <t>G - 001914</t>
  </si>
  <si>
    <t>G - 001915</t>
  </si>
  <si>
    <t>G - 001916</t>
  </si>
  <si>
    <t>G - 001917</t>
  </si>
  <si>
    <t>G - 001918</t>
  </si>
  <si>
    <t>G - 001919</t>
  </si>
  <si>
    <t>G - 001920</t>
  </si>
  <si>
    <t>G - 001921</t>
  </si>
  <si>
    <t>G - 001922</t>
  </si>
  <si>
    <t>G - 001923</t>
  </si>
  <si>
    <t>G - 001924</t>
  </si>
  <si>
    <t>G - 001925</t>
  </si>
  <si>
    <t>G - 001926</t>
  </si>
  <si>
    <t>G - 001927</t>
  </si>
  <si>
    <t>G - 001928</t>
  </si>
  <si>
    <t>G - 001929</t>
  </si>
  <si>
    <t>G - 001930</t>
  </si>
  <si>
    <t>G - 001931</t>
  </si>
  <si>
    <t>G - 001932</t>
  </si>
  <si>
    <t>G - 001933</t>
  </si>
  <si>
    <t>G - 001934</t>
  </si>
  <si>
    <t>G - 001935</t>
  </si>
  <si>
    <t>LABORATORIOS</t>
  </si>
</sst>
</file>

<file path=xl/styles.xml><?xml version="1.0" encoding="utf-8"?>
<styleSheet xmlns="http://schemas.openxmlformats.org/spreadsheetml/2006/main">
  <numFmts count="10">
    <numFmt numFmtId="164" formatCode="&quot;$&quot;\ #,##0.00"/>
    <numFmt numFmtId="165" formatCode="dd/mm/yyyy"/>
    <numFmt numFmtId="166" formatCode="h:mm:ss"/>
    <numFmt numFmtId="167" formatCode="_ &quot;$&quot;\ * #,##0.00_ ;_ &quot;$&quot;\ * \-#,##0.00_ ;_ &quot;$&quot;\ * &quot;-&quot;??_ ;_ @_ "/>
    <numFmt numFmtId="168" formatCode="&quot;$&quot;#,##0.00"/>
    <numFmt numFmtId="169" formatCode="dd/mm/yy"/>
    <numFmt numFmtId="170" formatCode="&quot;$&quot;\ #,##0.00;[Red]&quot;$&quot;\ \-#,##0.00"/>
    <numFmt numFmtId="171" formatCode="_ * #,##0.00_ ;_ * \-#,##0.00_ ;_ * &quot;-&quot;??_ ;_ @_ "/>
    <numFmt numFmtId="172" formatCode="d&quot; DE &quot;mmmm\ yyyy"/>
    <numFmt numFmtId="173" formatCode="d&quot; de &quot;mmmm\ yyyy"/>
  </numFmts>
  <fonts count="43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2"/>
      <color theme="1"/>
      <name val="Calibri"/>
    </font>
    <font>
      <b/>
      <sz val="20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8"/>
      <color rgb="FF000000"/>
      <name val="Trebuchet MS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0"/>
      <color rgb="FF0000FF"/>
      <name val="Calibri"/>
    </font>
    <font>
      <sz val="10"/>
      <color rgb="FF000000"/>
      <name val="Calibri"/>
    </font>
    <font>
      <sz val="12"/>
      <color rgb="FF000000"/>
      <name val="Calibri"/>
    </font>
    <font>
      <sz val="9"/>
      <color rgb="FF404040"/>
      <name val="Verdana"/>
    </font>
    <font>
      <sz val="8"/>
      <color theme="1"/>
      <name val="Arial"/>
    </font>
    <font>
      <b/>
      <sz val="9"/>
      <color rgb="FF000000"/>
      <name val="Trebuchet MS"/>
    </font>
    <font>
      <sz val="9"/>
      <color rgb="FF000000"/>
      <name val="Verdana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0"/>
      <color rgb="FF000000"/>
      <name val="Trebuchet MS"/>
    </font>
    <font>
      <sz val="10"/>
      <color theme="1"/>
      <name val="Arial"/>
    </font>
    <font>
      <u/>
      <sz val="10"/>
      <color rgb="FF0000FF"/>
      <name val="Arial"/>
    </font>
    <font>
      <u/>
      <sz val="11"/>
      <color theme="1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0"/>
      <name val="Calibri"/>
    </font>
    <font>
      <u/>
      <sz val="10"/>
      <color rgb="FF0000FF"/>
      <name val="Arial"/>
    </font>
    <font>
      <sz val="10"/>
      <color theme="1"/>
      <name val="Calibri"/>
      <scheme val="minor"/>
    </font>
    <font>
      <u/>
      <sz val="11"/>
      <color rgb="FF1155CC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5" fontId="9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2" fillId="0" borderId="0" xfId="0" applyFont="1"/>
    <xf numFmtId="0" fontId="7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8" fontId="9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9" fontId="7" fillId="3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7" fillId="0" borderId="0" xfId="0" applyFont="1" applyAlignment="1"/>
    <xf numFmtId="0" fontId="27" fillId="4" borderId="0" xfId="0" applyFont="1" applyFill="1" applyAlignment="1">
      <alignment horizontal="left"/>
    </xf>
    <xf numFmtId="0" fontId="7" fillId="0" borderId="1" xfId="0" applyFont="1" applyBorder="1"/>
    <xf numFmtId="0" fontId="10" fillId="5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70" fontId="9" fillId="0" borderId="1" xfId="0" applyNumberFormat="1" applyFont="1" applyBorder="1" applyAlignment="1">
      <alignment horizontal="center" vertical="center" wrapText="1"/>
    </xf>
    <xf numFmtId="170" fontId="7" fillId="0" borderId="1" xfId="0" applyNumberFormat="1" applyFont="1" applyBorder="1" applyAlignment="1">
      <alignment horizontal="center" vertical="center" wrapText="1"/>
    </xf>
    <xf numFmtId="170" fontId="9" fillId="6" borderId="1" xfId="0" applyNumberFormat="1" applyFont="1" applyFill="1" applyBorder="1" applyAlignment="1">
      <alignment horizontal="center" vertical="center" wrapText="1"/>
    </xf>
    <xf numFmtId="170" fontId="7" fillId="6" borderId="1" xfId="0" applyNumberFormat="1" applyFont="1" applyFill="1" applyBorder="1" applyAlignment="1">
      <alignment horizontal="center" vertical="center" wrapText="1"/>
    </xf>
    <xf numFmtId="171" fontId="9" fillId="0" borderId="1" xfId="0" applyNumberFormat="1" applyFont="1" applyBorder="1" applyAlignment="1">
      <alignment horizontal="center" vertical="center" wrapText="1"/>
    </xf>
    <xf numFmtId="171" fontId="7" fillId="0" borderId="1" xfId="0" applyNumberFormat="1" applyFont="1" applyBorder="1" applyAlignment="1">
      <alignment horizontal="center" vertical="center" wrapText="1"/>
    </xf>
    <xf numFmtId="171" fontId="7" fillId="0" borderId="1" xfId="0" applyNumberFormat="1" applyFont="1" applyBorder="1" applyAlignment="1">
      <alignment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7" fillId="4" borderId="4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 wrapText="1"/>
    </xf>
    <xf numFmtId="0" fontId="30" fillId="0" borderId="1" xfId="0" applyFont="1" applyBorder="1"/>
    <xf numFmtId="0" fontId="12" fillId="7" borderId="1" xfId="0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9" fontId="7" fillId="0" borderId="1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/>
    </xf>
    <xf numFmtId="0" fontId="31" fillId="0" borderId="0" xfId="0" applyFont="1" applyAlignment="1"/>
    <xf numFmtId="172" fontId="9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173" fontId="9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4" fontId="1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3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0" fillId="0" borderId="1" xfId="0" applyFont="1" applyBorder="1"/>
    <xf numFmtId="0" fontId="12" fillId="0" borderId="1" xfId="0" applyFont="1" applyBorder="1"/>
    <xf numFmtId="0" fontId="1" fillId="0" borderId="1" xfId="0" applyFont="1" applyBorder="1"/>
    <xf numFmtId="0" fontId="9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estoriaambiental.mza@gmail.com" TargetMode="External"/><Relationship Id="rId299" Type="http://schemas.openxmlformats.org/officeDocument/2006/relationships/hyperlink" Target="mailto:j_ortizgambino@hotmail.com" TargetMode="External"/><Relationship Id="rId21" Type="http://schemas.openxmlformats.org/officeDocument/2006/relationships/hyperlink" Target="mailto:hugo.baldin@gmail.com" TargetMode="External"/><Relationship Id="rId63" Type="http://schemas.openxmlformats.org/officeDocument/2006/relationships/hyperlink" Target="mailto:leonides.berejnoi@bakerhughes.com" TargetMode="External"/><Relationship Id="rId159" Type="http://schemas.openxmlformats.org/officeDocument/2006/relationships/hyperlink" Target="mailto:info@cefisrl.com.ar" TargetMode="External"/><Relationship Id="rId324" Type="http://schemas.openxmlformats.org/officeDocument/2006/relationships/hyperlink" Target="mailto:gestoriaambiental.mza@gmail.com" TargetMode="External"/><Relationship Id="rId366" Type="http://schemas.openxmlformats.org/officeDocument/2006/relationships/hyperlink" Target="mailto:nicoarispon@hotmail.com" TargetMode="External"/><Relationship Id="rId531" Type="http://schemas.openxmlformats.org/officeDocument/2006/relationships/hyperlink" Target="mailto:jaquelinabofinger@hotmail.com" TargetMode="External"/><Relationship Id="rId170" Type="http://schemas.openxmlformats.org/officeDocument/2006/relationships/hyperlink" Target="mailto:josesebagarcia@outlook.es" TargetMode="External"/><Relationship Id="rId226" Type="http://schemas.openxmlformats.org/officeDocument/2006/relationships/hyperlink" Target="mailto:nancycarloni@yahoo.com.ar" TargetMode="External"/><Relationship Id="rId433" Type="http://schemas.openxmlformats.org/officeDocument/2006/relationships/hyperlink" Target="mailto:juancorlandi758@gmail.com" TargetMode="External"/><Relationship Id="rId268" Type="http://schemas.openxmlformats.org/officeDocument/2006/relationships/hyperlink" Target="mailto:marinaguaycochea@yahoo.com" TargetMode="External"/><Relationship Id="rId475" Type="http://schemas.openxmlformats.org/officeDocument/2006/relationships/hyperlink" Target="mailto:antahkconstruccionesciviles@gmail.com" TargetMode="External"/><Relationship Id="rId32" Type="http://schemas.openxmlformats.org/officeDocument/2006/relationships/hyperlink" Target="mailto:essobarraquero@gmail.com" TargetMode="External"/><Relationship Id="rId74" Type="http://schemas.openxmlformats.org/officeDocument/2006/relationships/hyperlink" Target="mailto:vbravomellado@gmail.com" TargetMode="External"/><Relationship Id="rId128" Type="http://schemas.openxmlformats.org/officeDocument/2006/relationships/hyperlink" Target="mailto:lbrottier@distrocuyo.com" TargetMode="External"/><Relationship Id="rId335" Type="http://schemas.openxmlformats.org/officeDocument/2006/relationships/hyperlink" Target="mailto:centerws@hotmail.com" TargetMode="External"/><Relationship Id="rId377" Type="http://schemas.openxmlformats.org/officeDocument/2006/relationships/hyperlink" Target="mailto:frigorificomdelc@gmail.com" TargetMode="External"/><Relationship Id="rId500" Type="http://schemas.openxmlformats.org/officeDocument/2006/relationships/hyperlink" Target="mailto:andrughilardi@gmail.com" TargetMode="External"/><Relationship Id="rId542" Type="http://schemas.openxmlformats.org/officeDocument/2006/relationships/hyperlink" Target="mailto:mgechegaray@hotmail.com" TargetMode="External"/><Relationship Id="rId5" Type="http://schemas.openxmlformats.org/officeDocument/2006/relationships/hyperlink" Target="mailto:lbrothier@distrocuyo.com" TargetMode="External"/><Relationship Id="rId181" Type="http://schemas.openxmlformats.org/officeDocument/2006/relationships/hyperlink" Target="mailto:leonardovegamza4@gmail.com" TargetMode="External"/><Relationship Id="rId237" Type="http://schemas.openxmlformats.org/officeDocument/2006/relationships/hyperlink" Target="mailto:hugo.baldini@gmail.com" TargetMode="External"/><Relationship Id="rId402" Type="http://schemas.openxmlformats.org/officeDocument/2006/relationships/hyperlink" Target="mailto:adminmza@s-train.com.ar" TargetMode="External"/><Relationship Id="rId279" Type="http://schemas.openxmlformats.org/officeDocument/2006/relationships/hyperlink" Target="mailto:lic.verdaguer@hotmail.com" TargetMode="External"/><Relationship Id="rId444" Type="http://schemas.openxmlformats.org/officeDocument/2006/relationships/hyperlink" Target="mailto:gustavoalonso0676@gmail.com" TargetMode="External"/><Relationship Id="rId486" Type="http://schemas.openxmlformats.org/officeDocument/2006/relationships/hyperlink" Target="mailto:decanafilippini@fca.uncu.edu.ar" TargetMode="External"/><Relationship Id="rId43" Type="http://schemas.openxmlformats.org/officeDocument/2006/relationships/hyperlink" Target="mailto:nicolas.lineros@durlock.com" TargetMode="External"/><Relationship Id="rId139" Type="http://schemas.openxmlformats.org/officeDocument/2006/relationships/hyperlink" Target="mailto:rubendmanfredi@hotmail.com" TargetMode="External"/><Relationship Id="rId290" Type="http://schemas.openxmlformats.org/officeDocument/2006/relationships/hyperlink" Target="mailto:anticipar3@gmail.com" TargetMode="External"/><Relationship Id="rId304" Type="http://schemas.openxmlformats.org/officeDocument/2006/relationships/hyperlink" Target="mailto:gmvlopez@speedy.com.ar" TargetMode="External"/><Relationship Id="rId346" Type="http://schemas.openxmlformats.org/officeDocument/2006/relationships/hyperlink" Target="mailto:osvaldoandresromero@gmail.com" TargetMode="External"/><Relationship Id="rId388" Type="http://schemas.openxmlformats.org/officeDocument/2006/relationships/hyperlink" Target="mailto:vbravo@cartellone.com.ar" TargetMode="External"/><Relationship Id="rId511" Type="http://schemas.openxmlformats.org/officeDocument/2006/relationships/hyperlink" Target="mailto:yanimarin1984@hotmail.com" TargetMode="External"/><Relationship Id="rId553" Type="http://schemas.openxmlformats.org/officeDocument/2006/relationships/hyperlink" Target="mailto:hugo.baldin@gmail.com" TargetMode="External"/><Relationship Id="rId85" Type="http://schemas.openxmlformats.org/officeDocument/2006/relationships/hyperlink" Target="mailto:sergioespejo@hotmail.com" TargetMode="External"/><Relationship Id="rId150" Type="http://schemas.openxmlformats.org/officeDocument/2006/relationships/hyperlink" Target="mailto:hugo.baldin@gmail.com" TargetMode="External"/><Relationship Id="rId192" Type="http://schemas.openxmlformats.org/officeDocument/2006/relationships/hyperlink" Target="mailto:ravlic@ravlic.com.ar" TargetMode="External"/><Relationship Id="rId206" Type="http://schemas.openxmlformats.org/officeDocument/2006/relationships/hyperlink" Target="mailto:multimarcasrodeo@gmail.com" TargetMode="External"/><Relationship Id="rId413" Type="http://schemas.openxmlformats.org/officeDocument/2006/relationships/hyperlink" Target="mailto:enginesyservicessrl@gmail.com" TargetMode="External"/><Relationship Id="rId248" Type="http://schemas.openxmlformats.org/officeDocument/2006/relationships/hyperlink" Target="mailto:ventas@mftransformadoressrl.com.ar" TargetMode="External"/><Relationship Id="rId455" Type="http://schemas.openxmlformats.org/officeDocument/2006/relationships/hyperlink" Target="mailto:gestoriaambiental.mza@gmail.com" TargetMode="External"/><Relationship Id="rId497" Type="http://schemas.openxmlformats.org/officeDocument/2006/relationships/hyperlink" Target="mailto:gestoriaambiental.mza@gmail.com" TargetMode="External"/><Relationship Id="rId12" Type="http://schemas.openxmlformats.org/officeDocument/2006/relationships/hyperlink" Target="mailto:cospac@yahoo.com.ar" TargetMode="External"/><Relationship Id="rId108" Type="http://schemas.openxmlformats.org/officeDocument/2006/relationships/hyperlink" Target="mailto:recursoshumanos@manitta.com.ar" TargetMode="External"/><Relationship Id="rId315" Type="http://schemas.openxmlformats.org/officeDocument/2006/relationships/hyperlink" Target="mailto:lucasgustavomallea@outlook.com" TargetMode="External"/><Relationship Id="rId357" Type="http://schemas.openxmlformats.org/officeDocument/2006/relationships/hyperlink" Target="mailto:gestoriaambiental.mza@gmail.com" TargetMode="External"/><Relationship Id="rId522" Type="http://schemas.openxmlformats.org/officeDocument/2006/relationships/hyperlink" Target="mailto:tjmpiletas@gmail.com" TargetMode="External"/><Relationship Id="rId54" Type="http://schemas.openxmlformats.org/officeDocument/2006/relationships/hyperlink" Target="mailto:jmbello@autogsm.com.ar" TargetMode="External"/><Relationship Id="rId96" Type="http://schemas.openxmlformats.org/officeDocument/2006/relationships/hyperlink" Target="mailto:daad2403@hotmail.com" TargetMode="External"/><Relationship Id="rId161" Type="http://schemas.openxmlformats.org/officeDocument/2006/relationships/hyperlink" Target="mailto:mrmg1473@hotmail.com" TargetMode="External"/><Relationship Id="rId217" Type="http://schemas.openxmlformats.org/officeDocument/2006/relationships/hyperlink" Target="mailto:gestoriaambiental.mza@gmail.com" TargetMode="External"/><Relationship Id="rId399" Type="http://schemas.openxmlformats.org/officeDocument/2006/relationships/hyperlink" Target="mailto:fordmendozaford@gmail.com" TargetMode="External"/><Relationship Id="rId564" Type="http://schemas.openxmlformats.org/officeDocument/2006/relationships/hyperlink" Target="mailto:gestoriaambiental.mza@gmail.com" TargetMode="External"/><Relationship Id="rId259" Type="http://schemas.openxmlformats.org/officeDocument/2006/relationships/hyperlink" Target="mailto:juliocbriones@hotmail.com" TargetMode="External"/><Relationship Id="rId424" Type="http://schemas.openxmlformats.org/officeDocument/2006/relationships/hyperlink" Target="mailto:jlel@ndreani.com" TargetMode="External"/><Relationship Id="rId466" Type="http://schemas.openxmlformats.org/officeDocument/2006/relationships/hyperlink" Target="mailto:bgpconstrucciones@gmail.com" TargetMode="External"/><Relationship Id="rId23" Type="http://schemas.openxmlformats.org/officeDocument/2006/relationships/hyperlink" Target="mailto:mdemagistris@flowserve.com" TargetMode="External"/><Relationship Id="rId119" Type="http://schemas.openxmlformats.org/officeDocument/2006/relationships/hyperlink" Target="mailto:mrmg1473@hotmail.com" TargetMode="External"/><Relationship Id="rId270" Type="http://schemas.openxmlformats.org/officeDocument/2006/relationships/hyperlink" Target="mailto:martin_pizarro@yahoo.com.ar" TargetMode="External"/><Relationship Id="rId326" Type="http://schemas.openxmlformats.org/officeDocument/2006/relationships/hyperlink" Target="mailto:gestoriaambiental.mza@gmail.com" TargetMode="External"/><Relationship Id="rId533" Type="http://schemas.openxmlformats.org/officeDocument/2006/relationships/hyperlink" Target="mailto:consulgreenmendoza@gmail.com" TargetMode="External"/><Relationship Id="rId65" Type="http://schemas.openxmlformats.org/officeDocument/2006/relationships/hyperlink" Target="mailto:gruaspapagnisrl@yahoo.com.ar" TargetMode="External"/><Relationship Id="rId130" Type="http://schemas.openxmlformats.org/officeDocument/2006/relationships/hyperlink" Target="mailto:brugnoliypincheira@yahoo.com.ar" TargetMode="External"/><Relationship Id="rId368" Type="http://schemas.openxmlformats.org/officeDocument/2006/relationships/hyperlink" Target="mailto:slopez@lagioconda.com.ar" TargetMode="External"/><Relationship Id="rId172" Type="http://schemas.openxmlformats.org/officeDocument/2006/relationships/hyperlink" Target="mailto:gestoriaambiental.mza@gmail.com" TargetMode="External"/><Relationship Id="rId228" Type="http://schemas.openxmlformats.org/officeDocument/2006/relationships/hyperlink" Target="mailto:gmvlopez@speedy.com.ar" TargetMode="External"/><Relationship Id="rId435" Type="http://schemas.openxmlformats.org/officeDocument/2006/relationships/hyperlink" Target="mailto:rggescobar@hotmail.com" TargetMode="External"/><Relationship Id="rId477" Type="http://schemas.openxmlformats.org/officeDocument/2006/relationships/hyperlink" Target="mailto:tallerlimina@gmail.com" TargetMode="External"/><Relationship Id="rId281" Type="http://schemas.openxmlformats.org/officeDocument/2006/relationships/hyperlink" Target="mailto:leonides.berejnoi@bakerhughes.com" TargetMode="External"/><Relationship Id="rId337" Type="http://schemas.openxmlformats.org/officeDocument/2006/relationships/hyperlink" Target="mailto:licmartinaguero@gmail.com" TargetMode="External"/><Relationship Id="rId502" Type="http://schemas.openxmlformats.org/officeDocument/2006/relationships/hyperlink" Target="mailto:sergioespejo@hotmail.com" TargetMode="External"/><Relationship Id="rId34" Type="http://schemas.openxmlformats.org/officeDocument/2006/relationships/hyperlink" Target="mailto:lucasmamani764@gmail.com" TargetMode="External"/><Relationship Id="rId76" Type="http://schemas.openxmlformats.org/officeDocument/2006/relationships/hyperlink" Target="mailto:rpareja@luigibosca.com" TargetMode="External"/><Relationship Id="rId141" Type="http://schemas.openxmlformats.org/officeDocument/2006/relationships/hyperlink" Target="mailto:patocolucci74@hotmail.com" TargetMode="External"/><Relationship Id="rId379" Type="http://schemas.openxmlformats.org/officeDocument/2006/relationships/hyperlink" Target="mailto:avelino@rodriguezyrodriguez.com.ar" TargetMode="External"/><Relationship Id="rId544" Type="http://schemas.openxmlformats.org/officeDocument/2006/relationships/hyperlink" Target="mailto:juanmanuelnieva744@gmail.com" TargetMode="External"/><Relationship Id="rId7" Type="http://schemas.openxmlformats.org/officeDocument/2006/relationships/hyperlink" Target="mailto:j.uribe@dallwyn.com.ar" TargetMode="External"/><Relationship Id="rId183" Type="http://schemas.openxmlformats.org/officeDocument/2006/relationships/hyperlink" Target="mailto:acisa@speedy.com.ar" TargetMode="External"/><Relationship Id="rId239" Type="http://schemas.openxmlformats.org/officeDocument/2006/relationships/hyperlink" Target="mailto:info@pescio.com" TargetMode="External"/><Relationship Id="rId390" Type="http://schemas.openxmlformats.org/officeDocument/2006/relationships/hyperlink" Target="mailto:marinievas81@hotmail.com" TargetMode="External"/><Relationship Id="rId404" Type="http://schemas.openxmlformats.org/officeDocument/2006/relationships/hyperlink" Target="mailto:gestoriaambiental.mza@gmail.com" TargetMode="External"/><Relationship Id="rId446" Type="http://schemas.openxmlformats.org/officeDocument/2006/relationships/hyperlink" Target="mailto:gestoriaambiental.mza@gmail.com" TargetMode="External"/><Relationship Id="rId250" Type="http://schemas.openxmlformats.org/officeDocument/2006/relationships/hyperlink" Target="mailto:jesus-sa@live.com.ar" TargetMode="External"/><Relationship Id="rId292" Type="http://schemas.openxmlformats.org/officeDocument/2006/relationships/hyperlink" Target="mailto:info@capsulas-mza.com.ar" TargetMode="External"/><Relationship Id="rId306" Type="http://schemas.openxmlformats.org/officeDocument/2006/relationships/hyperlink" Target="mailto:estaciondinamica@yahoo.com" TargetMode="External"/><Relationship Id="rId488" Type="http://schemas.openxmlformats.org/officeDocument/2006/relationships/hyperlink" Target="mailto:gestoriaambiental.mza@gmail.com" TargetMode="External"/><Relationship Id="rId45" Type="http://schemas.openxmlformats.org/officeDocument/2006/relationships/hyperlink" Target="mailto:consulgreenmendoza@gmail.com" TargetMode="External"/><Relationship Id="rId87" Type="http://schemas.openxmlformats.org/officeDocument/2006/relationships/hyperlink" Target="mailto:ghse@artrans.com.ar" TargetMode="External"/><Relationship Id="rId110" Type="http://schemas.openxmlformats.org/officeDocument/2006/relationships/hyperlink" Target="mailto:hugo.baldin@gmail.com" TargetMode="External"/><Relationship Id="rId348" Type="http://schemas.openxmlformats.org/officeDocument/2006/relationships/hyperlink" Target="mailto:armando.paz.25@gmail.com" TargetMode="External"/><Relationship Id="rId513" Type="http://schemas.openxmlformats.org/officeDocument/2006/relationships/hyperlink" Target="mailto:dgw1780@hotmail.com" TargetMode="External"/><Relationship Id="rId555" Type="http://schemas.openxmlformats.org/officeDocument/2006/relationships/hyperlink" Target="mailto:mpizarro.gr@gmail.com" TargetMode="External"/><Relationship Id="rId152" Type="http://schemas.openxmlformats.org/officeDocument/2006/relationships/hyperlink" Target="mailto:administracion@estacionmasetto.com.ar" TargetMode="External"/><Relationship Id="rId194" Type="http://schemas.openxmlformats.org/officeDocument/2006/relationships/hyperlink" Target="mailto:consulgreenmendoza@gmail.com" TargetMode="External"/><Relationship Id="rId208" Type="http://schemas.openxmlformats.org/officeDocument/2006/relationships/hyperlink" Target="mailto:tapicromsa@hotmail.com" TargetMode="External"/><Relationship Id="rId415" Type="http://schemas.openxmlformats.org/officeDocument/2006/relationships/hyperlink" Target="mailto:nguinazu@agroglobaalmza.com.ar" TargetMode="External"/><Relationship Id="rId457" Type="http://schemas.openxmlformats.org/officeDocument/2006/relationships/hyperlink" Target="mailto:hector.diaza@hotmail.com" TargetMode="External"/><Relationship Id="rId261" Type="http://schemas.openxmlformats.org/officeDocument/2006/relationships/hyperlink" Target="mailto:serviciototal_srl@yahoo.com.ar" TargetMode="External"/><Relationship Id="rId499" Type="http://schemas.openxmlformats.org/officeDocument/2006/relationships/hyperlink" Target="mailto:gerardocatapano@yahoo.com.ar" TargetMode="External"/><Relationship Id="rId14" Type="http://schemas.openxmlformats.org/officeDocument/2006/relationships/hyperlink" Target="mailto:rrhhcoope@sanmartinmza.com.ar" TargetMode="External"/><Relationship Id="rId56" Type="http://schemas.openxmlformats.org/officeDocument/2006/relationships/hyperlink" Target="mailto:luis@copia2.com" TargetMode="External"/><Relationship Id="rId317" Type="http://schemas.openxmlformats.org/officeDocument/2006/relationships/hyperlink" Target="mailto:agustina@gmail.com" TargetMode="External"/><Relationship Id="rId359" Type="http://schemas.openxmlformats.org/officeDocument/2006/relationships/hyperlink" Target="mailto:lossauces@infovia.com.ar" TargetMode="External"/><Relationship Id="rId524" Type="http://schemas.openxmlformats.org/officeDocument/2006/relationships/hyperlink" Target="mailto:memartinezpicco@b-oceanic.com" TargetMode="External"/><Relationship Id="rId566" Type="http://schemas.openxmlformats.org/officeDocument/2006/relationships/hyperlink" Target="mailto:fstornini@stornini.com.ar" TargetMode="External"/><Relationship Id="rId98" Type="http://schemas.openxmlformats.org/officeDocument/2006/relationships/hyperlink" Target="mailto:hugo.baldin@gmail.com" TargetMode="External"/><Relationship Id="rId121" Type="http://schemas.openxmlformats.org/officeDocument/2006/relationships/hyperlink" Target="mailto:consulgreenmendoza@gmail.com" TargetMode="External"/><Relationship Id="rId163" Type="http://schemas.openxmlformats.org/officeDocument/2006/relationships/hyperlink" Target="mailto:estacionfilippini@yahoo.com.ar" TargetMode="External"/><Relationship Id="rId219" Type="http://schemas.openxmlformats.org/officeDocument/2006/relationships/hyperlink" Target="mailto:solpyme@hotmail.com" TargetMode="External"/><Relationship Id="rId370" Type="http://schemas.openxmlformats.org/officeDocument/2006/relationships/hyperlink" Target="mailto:mrmg1473@hotmail.com" TargetMode="External"/><Relationship Id="rId426" Type="http://schemas.openxmlformats.org/officeDocument/2006/relationships/hyperlink" Target="mailto:b.jadue@phoenixgr.com" TargetMode="External"/><Relationship Id="rId230" Type="http://schemas.openxmlformats.org/officeDocument/2006/relationships/hyperlink" Target="mailto:TRANSPORTE@MALENTACCHI.COM.AR" TargetMode="External"/><Relationship Id="rId468" Type="http://schemas.openxmlformats.org/officeDocument/2006/relationships/hyperlink" Target="mailto:raulaleferrero@gmail.com" TargetMode="External"/><Relationship Id="rId25" Type="http://schemas.openxmlformats.org/officeDocument/2006/relationships/hyperlink" Target="mailto:franciscomanzone1@hotmail.com" TargetMode="External"/><Relationship Id="rId67" Type="http://schemas.openxmlformats.org/officeDocument/2006/relationships/hyperlink" Target="mailto:diquepotrerillossa@gmail.com" TargetMode="External"/><Relationship Id="rId272" Type="http://schemas.openxmlformats.org/officeDocument/2006/relationships/hyperlink" Target="mailto:lic.verdaguer@hotmail.com" TargetMode="External"/><Relationship Id="rId328" Type="http://schemas.openxmlformats.org/officeDocument/2006/relationships/hyperlink" Target="mailto:shellsanchezcyo@infovia.com.ar" TargetMode="External"/><Relationship Id="rId535" Type="http://schemas.openxmlformats.org/officeDocument/2006/relationships/hyperlink" Target="mailto:gonzaleznicom@gmail.com" TargetMode="External"/><Relationship Id="rId132" Type="http://schemas.openxmlformats.org/officeDocument/2006/relationships/hyperlink" Target="mailto:est_sanmartin@speedy.com.ar" TargetMode="External"/><Relationship Id="rId174" Type="http://schemas.openxmlformats.org/officeDocument/2006/relationships/hyperlink" Target="mailto:waltherpalma@hotmail.com.ar" TargetMode="External"/><Relationship Id="rId381" Type="http://schemas.openxmlformats.org/officeDocument/2006/relationships/hyperlink" Target="mailto:gestoriaambiental.mza@gmail.com" TargetMode="External"/><Relationship Id="rId241" Type="http://schemas.openxmlformats.org/officeDocument/2006/relationships/hyperlink" Target="mailto:mtecnograf@gmail.com" TargetMode="External"/><Relationship Id="rId437" Type="http://schemas.openxmlformats.org/officeDocument/2006/relationships/hyperlink" Target="mailto:administracion@servicentro.com.ar" TargetMode="External"/><Relationship Id="rId479" Type="http://schemas.openxmlformats.org/officeDocument/2006/relationships/hyperlink" Target="mailto:belen@andres-merino.com.ar" TargetMode="External"/><Relationship Id="rId36" Type="http://schemas.openxmlformats.org/officeDocument/2006/relationships/hyperlink" Target="mailto:mierasricardo@gmail.com.ar" TargetMode="External"/><Relationship Id="rId283" Type="http://schemas.openxmlformats.org/officeDocument/2006/relationships/hyperlink" Target="mailto:matemsa1@gmail.com" TargetMode="External"/><Relationship Id="rId339" Type="http://schemas.openxmlformats.org/officeDocument/2006/relationships/hyperlink" Target="mailto:vbravomellado@gmail.com" TargetMode="External"/><Relationship Id="rId490" Type="http://schemas.openxmlformats.org/officeDocument/2006/relationships/hyperlink" Target="mailto:mauro@dhartec.com.ar" TargetMode="External"/><Relationship Id="rId504" Type="http://schemas.openxmlformats.org/officeDocument/2006/relationships/hyperlink" Target="mailto:fabriciosegura70@gmail.com" TargetMode="External"/><Relationship Id="rId546" Type="http://schemas.openxmlformats.org/officeDocument/2006/relationships/hyperlink" Target="mailto:gestoriaambiental.mza@gmail.com" TargetMode="External"/><Relationship Id="rId78" Type="http://schemas.openxmlformats.org/officeDocument/2006/relationships/hyperlink" Target="mailto:leonides.berejnoi@bakerhughes.com" TargetMode="External"/><Relationship Id="rId101" Type="http://schemas.openxmlformats.org/officeDocument/2006/relationships/hyperlink" Target="mailto:administracion@estacionmasetto.com.ar" TargetMode="External"/><Relationship Id="rId143" Type="http://schemas.openxmlformats.org/officeDocument/2006/relationships/hyperlink" Target="mailto:cvmorello@hotmail.com" TargetMode="External"/><Relationship Id="rId185" Type="http://schemas.openxmlformats.org/officeDocument/2006/relationships/hyperlink" Target="mailto:abaigorria@chandon.com.ar" TargetMode="External"/><Relationship Id="rId350" Type="http://schemas.openxmlformats.org/officeDocument/2006/relationships/hyperlink" Target="mailto:vksrlservicios@gmail.com" TargetMode="External"/><Relationship Id="rId406" Type="http://schemas.openxmlformats.org/officeDocument/2006/relationships/hyperlink" Target="mailto:gestoriaambiental.mza@gmail.com" TargetMode="External"/><Relationship Id="rId9" Type="http://schemas.openxmlformats.org/officeDocument/2006/relationships/hyperlink" Target="mailto:administracion@esjocoli.com.ar" TargetMode="External"/><Relationship Id="rId210" Type="http://schemas.openxmlformats.org/officeDocument/2006/relationships/hyperlink" Target="mailto:cristian.alvarez@industriaschirino.com" TargetMode="External"/><Relationship Id="rId392" Type="http://schemas.openxmlformats.org/officeDocument/2006/relationships/hyperlink" Target="mailto:emi.rios.7@hotmail.com" TargetMode="External"/><Relationship Id="rId427" Type="http://schemas.openxmlformats.org/officeDocument/2006/relationships/hyperlink" Target="mailto:francisco.storelli@marbar.com.ar" TargetMode="External"/><Relationship Id="rId448" Type="http://schemas.openxmlformats.org/officeDocument/2006/relationships/hyperlink" Target="mailto:gestoriaambiental.mza@gmail.com" TargetMode="External"/><Relationship Id="rId469" Type="http://schemas.openxmlformats.org/officeDocument/2006/relationships/hyperlink" Target="mailto:gestoriaambiental.mza@gmail.com" TargetMode="External"/><Relationship Id="rId26" Type="http://schemas.openxmlformats.org/officeDocument/2006/relationships/hyperlink" Target="mailto:alejandromolas@generalrocasrl.com.ar" TargetMode="External"/><Relationship Id="rId231" Type="http://schemas.openxmlformats.org/officeDocument/2006/relationships/hyperlink" Target="mailto:maria.conti@coto.com.ar" TargetMode="External"/><Relationship Id="rId252" Type="http://schemas.openxmlformats.org/officeDocument/2006/relationships/hyperlink" Target="mailto:egramage@sp-informatica.com" TargetMode="External"/><Relationship Id="rId273" Type="http://schemas.openxmlformats.org/officeDocument/2006/relationships/hyperlink" Target="mailto:tecnicorpsr@yahoo.com.ar" TargetMode="External"/><Relationship Id="rId294" Type="http://schemas.openxmlformats.org/officeDocument/2006/relationships/hyperlink" Target="mailto:info@alamoswine.com" TargetMode="External"/><Relationship Id="rId308" Type="http://schemas.openxmlformats.org/officeDocument/2006/relationships/hyperlink" Target="mailto:hugo.baldin@gmail.com" TargetMode="External"/><Relationship Id="rId329" Type="http://schemas.openxmlformats.org/officeDocument/2006/relationships/hyperlink" Target="mailto:gestoriaambiental.mza@gmail.com" TargetMode="External"/><Relationship Id="rId480" Type="http://schemas.openxmlformats.org/officeDocument/2006/relationships/hyperlink" Target="mailto:jose_orlando33@yahoo.com.ar" TargetMode="External"/><Relationship Id="rId515" Type="http://schemas.openxmlformats.org/officeDocument/2006/relationships/hyperlink" Target="mailto:Info@joaquinllamasehijos.com.ar" TargetMode="External"/><Relationship Id="rId536" Type="http://schemas.openxmlformats.org/officeDocument/2006/relationships/hyperlink" Target="mailto:amcampos@arcor.com" TargetMode="External"/><Relationship Id="rId47" Type="http://schemas.openxmlformats.org/officeDocument/2006/relationships/hyperlink" Target="mailto:mercedes@grupoypf.com.ar" TargetMode="External"/><Relationship Id="rId68" Type="http://schemas.openxmlformats.org/officeDocument/2006/relationships/hyperlink" Target="mailto:dbruera@cattorinihnos.com.ar" TargetMode="External"/><Relationship Id="rId89" Type="http://schemas.openxmlformats.org/officeDocument/2006/relationships/hyperlink" Target="mailto:cmolinaf@hotmail.com" TargetMode="External"/><Relationship Id="rId112" Type="http://schemas.openxmlformats.org/officeDocument/2006/relationships/hyperlink" Target="mailto:chacaritaparisautoprtes@hotmail.com" TargetMode="External"/><Relationship Id="rId133" Type="http://schemas.openxmlformats.org/officeDocument/2006/relationships/hyperlink" Target="mailto:lospuentes@fincaelmaiten.com.ar" TargetMode="External"/><Relationship Id="rId154" Type="http://schemas.openxmlformats.org/officeDocument/2006/relationships/hyperlink" Target="mailto:ale-estrella@live.com.ar" TargetMode="External"/><Relationship Id="rId175" Type="http://schemas.openxmlformats.org/officeDocument/2006/relationships/hyperlink" Target="mailto:ypflasheras@speedy.com.ar" TargetMode="External"/><Relationship Id="rId340" Type="http://schemas.openxmlformats.org/officeDocument/2006/relationships/hyperlink" Target="mailto:consulgreenmendoza@gmail.com" TargetMode="External"/><Relationship Id="rId361" Type="http://schemas.openxmlformats.org/officeDocument/2006/relationships/hyperlink" Target="mailto:aleromero198028@gmail.com" TargetMode="External"/><Relationship Id="rId557" Type="http://schemas.openxmlformats.org/officeDocument/2006/relationships/hyperlink" Target="mailto:walter.carrizo@wineofmendoza.com" TargetMode="External"/><Relationship Id="rId196" Type="http://schemas.openxmlformats.org/officeDocument/2006/relationships/hyperlink" Target="mailto:estaciondinamica@yahoo.com" TargetMode="External"/><Relationship Id="rId200" Type="http://schemas.openxmlformats.org/officeDocument/2006/relationships/hyperlink" Target="mailto:info@reciclarg.com" TargetMode="External"/><Relationship Id="rId382" Type="http://schemas.openxmlformats.org/officeDocument/2006/relationships/hyperlink" Target="mailto:gestoriaambiental.mza@gmail.com" TargetMode="External"/><Relationship Id="rId417" Type="http://schemas.openxmlformats.org/officeDocument/2006/relationships/hyperlink" Target="mailto:hugo.baldin@gmail.com" TargetMode="External"/><Relationship Id="rId438" Type="http://schemas.openxmlformats.org/officeDocument/2006/relationships/hyperlink" Target="mailto:guggiarijorge@gmail.com" TargetMode="External"/><Relationship Id="rId459" Type="http://schemas.openxmlformats.org/officeDocument/2006/relationships/hyperlink" Target="mailto:fabianmalisani@hotmail.com" TargetMode="External"/><Relationship Id="rId16" Type="http://schemas.openxmlformats.org/officeDocument/2006/relationships/hyperlink" Target="mailto:hugo.baldin@gmail.com" TargetMode="External"/><Relationship Id="rId221" Type="http://schemas.openxmlformats.org/officeDocument/2006/relationships/hyperlink" Target="mailto:beltran@rcc.com.ar" TargetMode="External"/><Relationship Id="rId242" Type="http://schemas.openxmlformats.org/officeDocument/2006/relationships/hyperlink" Target="mailto:luisalvega63@gmail.com" TargetMode="External"/><Relationship Id="rId263" Type="http://schemas.openxmlformats.org/officeDocument/2006/relationships/hyperlink" Target="mailto:anticipar3@gmail.com,copecsuipacha@speedy.com.ar" TargetMode="External"/><Relationship Id="rId284" Type="http://schemas.openxmlformats.org/officeDocument/2006/relationships/hyperlink" Target="mailto:gestoriaambiental.mza@gmail.com" TargetMode="External"/><Relationship Id="rId319" Type="http://schemas.openxmlformats.org/officeDocument/2006/relationships/hyperlink" Target="mailto:cargassrl@infovia.com.ar" TargetMode="External"/><Relationship Id="rId470" Type="http://schemas.openxmlformats.org/officeDocument/2006/relationships/hyperlink" Target="mailto:lic.verdaguer@hotmail.com" TargetMode="External"/><Relationship Id="rId491" Type="http://schemas.openxmlformats.org/officeDocument/2006/relationships/hyperlink" Target="mailto:contacto@autopartesalvero.com" TargetMode="External"/><Relationship Id="rId505" Type="http://schemas.openxmlformats.org/officeDocument/2006/relationships/hyperlink" Target="mailto:vbravomellado@gmail.com" TargetMode="External"/><Relationship Id="rId526" Type="http://schemas.openxmlformats.org/officeDocument/2006/relationships/hyperlink" Target="mailto:nelsonzandri16@gmail.com" TargetMode="External"/><Relationship Id="rId37" Type="http://schemas.openxmlformats.org/officeDocument/2006/relationships/hyperlink" Target="mailto:nataliaelenamara@gmail.com" TargetMode="External"/><Relationship Id="rId58" Type="http://schemas.openxmlformats.org/officeDocument/2006/relationships/hyperlink" Target="mailto:j.l.venier@hotmail.com" TargetMode="External"/><Relationship Id="rId79" Type="http://schemas.openxmlformats.org/officeDocument/2006/relationships/hyperlink" Target="mailto:walterypfcotizador@yahoo.com.ar" TargetMode="External"/><Relationship Id="rId102" Type="http://schemas.openxmlformats.org/officeDocument/2006/relationships/hyperlink" Target="mailto:eco_a_sec@hotmail.com" TargetMode="External"/><Relationship Id="rId123" Type="http://schemas.openxmlformats.org/officeDocument/2006/relationships/hyperlink" Target="mailto:rfernandez@bolland.com.ar" TargetMode="External"/><Relationship Id="rId144" Type="http://schemas.openxmlformats.org/officeDocument/2006/relationships/hyperlink" Target="mailto:hugo.baldin@gmail.com" TargetMode="External"/><Relationship Id="rId330" Type="http://schemas.openxmlformats.org/officeDocument/2006/relationships/hyperlink" Target="mailto:sansm8234@gmail.com" TargetMode="External"/><Relationship Id="rId547" Type="http://schemas.openxmlformats.org/officeDocument/2006/relationships/hyperlink" Target="mailto:equipo.rumbosur@gmail.com" TargetMode="External"/><Relationship Id="rId568" Type="http://schemas.openxmlformats.org/officeDocument/2006/relationships/hyperlink" Target="mailto:garellapatricia@gmail.com" TargetMode="External"/><Relationship Id="rId90" Type="http://schemas.openxmlformats.org/officeDocument/2006/relationships/hyperlink" Target="mailto:info@teledriftarg.com" TargetMode="External"/><Relationship Id="rId165" Type="http://schemas.openxmlformats.org/officeDocument/2006/relationships/hyperlink" Target="mailto:allubhnos@allubhnossrl.com.ar" TargetMode="External"/><Relationship Id="rId186" Type="http://schemas.openxmlformats.org/officeDocument/2006/relationships/hyperlink" Target="mailto:mrmg1473@hotmail.com" TargetMode="External"/><Relationship Id="rId351" Type="http://schemas.openxmlformats.org/officeDocument/2006/relationships/hyperlink" Target="mailto:leucidaniel@hotmail.com" TargetMode="External"/><Relationship Id="rId372" Type="http://schemas.openxmlformats.org/officeDocument/2006/relationships/hyperlink" Target="mailto:angeljao91@gmail.com" TargetMode="External"/><Relationship Id="rId393" Type="http://schemas.openxmlformats.org/officeDocument/2006/relationships/hyperlink" Target="mailto:miguelbarcelo28@gmail.com" TargetMode="External"/><Relationship Id="rId407" Type="http://schemas.openxmlformats.org/officeDocument/2006/relationships/hyperlink" Target="mailto:padme.sa@hotmail.com" TargetMode="External"/><Relationship Id="rId428" Type="http://schemas.openxmlformats.org/officeDocument/2006/relationships/hyperlink" Target="mailto:jorgeluisbuozi@gmail.com" TargetMode="External"/><Relationship Id="rId449" Type="http://schemas.openxmlformats.org/officeDocument/2006/relationships/hyperlink" Target="mailto:rmautopartes7@gmail.com.ar" TargetMode="External"/><Relationship Id="rId211" Type="http://schemas.openxmlformats.org/officeDocument/2006/relationships/hyperlink" Target="mailto:florencia.soto@walmart.com" TargetMode="External"/><Relationship Id="rId232" Type="http://schemas.openxmlformats.org/officeDocument/2006/relationships/hyperlink" Target="mailto:seguridadlaboral@casarena.com" TargetMode="External"/><Relationship Id="rId253" Type="http://schemas.openxmlformats.org/officeDocument/2006/relationships/hyperlink" Target="mailto:transtosolini@live.com" TargetMode="External"/><Relationship Id="rId274" Type="http://schemas.openxmlformats.org/officeDocument/2006/relationships/hyperlink" Target="mailto:ruizservis@yahoo.com.ar" TargetMode="External"/><Relationship Id="rId295" Type="http://schemas.openxmlformats.org/officeDocument/2006/relationships/hyperlink" Target="mailto:leoseguraa18@gmail.com" TargetMode="External"/><Relationship Id="rId309" Type="http://schemas.openxmlformats.org/officeDocument/2006/relationships/hyperlink" Target="mailto:cferreira@lppietroboni.com.ar" TargetMode="External"/><Relationship Id="rId460" Type="http://schemas.openxmlformats.org/officeDocument/2006/relationships/hyperlink" Target="mailto:daniel.quintan@osep.mendoza.gov.ar" TargetMode="External"/><Relationship Id="rId481" Type="http://schemas.openxmlformats.org/officeDocument/2006/relationships/hyperlink" Target="mailto:tallerintegralyanez@gmail.com" TargetMode="External"/><Relationship Id="rId516" Type="http://schemas.openxmlformats.org/officeDocument/2006/relationships/hyperlink" Target="mailto:jorgerobertogonzalez11@gmail.com" TargetMode="External"/><Relationship Id="rId27" Type="http://schemas.openxmlformats.org/officeDocument/2006/relationships/hyperlink" Target="mailto:maria.fontana@cencosud.com.ar" TargetMode="External"/><Relationship Id="rId48" Type="http://schemas.openxmlformats.org/officeDocument/2006/relationships/hyperlink" Target="mailto:apoidomani@sanantoniointernacional.com" TargetMode="External"/><Relationship Id="rId69" Type="http://schemas.openxmlformats.org/officeDocument/2006/relationships/hyperlink" Target="mailto:operaciones@cemppsa.com.ar" TargetMode="External"/><Relationship Id="rId113" Type="http://schemas.openxmlformats.org/officeDocument/2006/relationships/hyperlink" Target="mailto:felia@grupopenaflor.com.ar" TargetMode="External"/><Relationship Id="rId134" Type="http://schemas.openxmlformats.org/officeDocument/2006/relationships/hyperlink" Target="mailto:gerksa2005@yahoo.com.ar" TargetMode="External"/><Relationship Id="rId320" Type="http://schemas.openxmlformats.org/officeDocument/2006/relationships/hyperlink" Target="mailto:puntomitre@gmail.com" TargetMode="External"/><Relationship Id="rId537" Type="http://schemas.openxmlformats.org/officeDocument/2006/relationships/hyperlink" Target="mailto:amcampos@arcor.com" TargetMode="External"/><Relationship Id="rId558" Type="http://schemas.openxmlformats.org/officeDocument/2006/relationships/hyperlink" Target="mailto:alucero@familiazuccardi.com" TargetMode="External"/><Relationship Id="rId80" Type="http://schemas.openxmlformats.org/officeDocument/2006/relationships/hyperlink" Target="mailto:jcservice.lubricentro@gmail.com" TargetMode="External"/><Relationship Id="rId155" Type="http://schemas.openxmlformats.org/officeDocument/2006/relationships/hyperlink" Target="mailto:mbocardo@jugosaustrales.com" TargetMode="External"/><Relationship Id="rId176" Type="http://schemas.openxmlformats.org/officeDocument/2006/relationships/hyperlink" Target="mailto:sansergio@rcc.com.ar" TargetMode="External"/><Relationship Id="rId197" Type="http://schemas.openxmlformats.org/officeDocument/2006/relationships/hyperlink" Target="mailto:walter.chavez@gdosa.com.ar" TargetMode="External"/><Relationship Id="rId341" Type="http://schemas.openxmlformats.org/officeDocument/2006/relationships/hyperlink" Target="mailto:anticipar3@gmail.com" TargetMode="External"/><Relationship Id="rId362" Type="http://schemas.openxmlformats.org/officeDocument/2006/relationships/hyperlink" Target="mailto:sebastian@manitta.com.ar" TargetMode="External"/><Relationship Id="rId383" Type="http://schemas.openxmlformats.org/officeDocument/2006/relationships/hyperlink" Target="mailto:lic.verdaguer@hotmail.com" TargetMode="External"/><Relationship Id="rId418" Type="http://schemas.openxmlformats.org/officeDocument/2006/relationships/hyperlink" Target="mailto:mirta_farina@hotmail.com" TargetMode="External"/><Relationship Id="rId439" Type="http://schemas.openxmlformats.org/officeDocument/2006/relationships/hyperlink" Target="mailto:marcelo.bargazzi@ayfra.com.ar" TargetMode="External"/><Relationship Id="rId201" Type="http://schemas.openxmlformats.org/officeDocument/2006/relationships/hyperlink" Target="mailto:beltran@rcc.com.ar" TargetMode="External"/><Relationship Id="rId222" Type="http://schemas.openxmlformats.org/officeDocument/2006/relationships/hyperlink" Target="mailto:jlvernier@speedy.com.ar" TargetMode="External"/><Relationship Id="rId243" Type="http://schemas.openxmlformats.org/officeDocument/2006/relationships/hyperlink" Target="mailto:sepemlubricantes@argentina.com" TargetMode="External"/><Relationship Id="rId264" Type="http://schemas.openxmlformats.org/officeDocument/2006/relationships/hyperlink" Target="mailto:graficacrear@graficarcrear.com.ar" TargetMode="External"/><Relationship Id="rId285" Type="http://schemas.openxmlformats.org/officeDocument/2006/relationships/hyperlink" Target="mailto:info@gruasargentinassa.com.ar" TargetMode="External"/><Relationship Id="rId450" Type="http://schemas.openxmlformats.org/officeDocument/2006/relationships/hyperlink" Target="mailto:admiassrl@gmail.com" TargetMode="External"/><Relationship Id="rId471" Type="http://schemas.openxmlformats.org/officeDocument/2006/relationships/hyperlink" Target="mailto:presidencia@stmendoza.com" TargetMode="External"/><Relationship Id="rId506" Type="http://schemas.openxmlformats.org/officeDocument/2006/relationships/hyperlink" Target="mailto:viel.emiliano.1996@gmail.com" TargetMode="External"/><Relationship Id="rId17" Type="http://schemas.openxmlformats.org/officeDocument/2006/relationships/hyperlink" Target="mailto:administracion@tecno-electro.com" TargetMode="External"/><Relationship Id="rId38" Type="http://schemas.openxmlformats.org/officeDocument/2006/relationships/hyperlink" Target="mailto:salvador@esjocoli.com.ar" TargetMode="External"/><Relationship Id="rId59" Type="http://schemas.openxmlformats.org/officeDocument/2006/relationships/hyperlink" Target="mailto:andre.sme@hotmail.com" TargetMode="External"/><Relationship Id="rId103" Type="http://schemas.openxmlformats.org/officeDocument/2006/relationships/hyperlink" Target="mailto:mabelalonso15@hotmail.com" TargetMode="External"/><Relationship Id="rId124" Type="http://schemas.openxmlformats.org/officeDocument/2006/relationships/hyperlink" Target="mailto:sebamoraconti@gmail.com" TargetMode="External"/><Relationship Id="rId310" Type="http://schemas.openxmlformats.org/officeDocument/2006/relationships/hyperlink" Target="mailto:lubricentrojr@gmail.com" TargetMode="External"/><Relationship Id="rId492" Type="http://schemas.openxmlformats.org/officeDocument/2006/relationships/hyperlink" Target="mailto:javierrosental@gmail.com" TargetMode="External"/><Relationship Id="rId527" Type="http://schemas.openxmlformats.org/officeDocument/2006/relationships/hyperlink" Target="mailto:lic.verdaguer@hotmail.com" TargetMode="External"/><Relationship Id="rId548" Type="http://schemas.openxmlformats.org/officeDocument/2006/relationships/hyperlink" Target="mailto:vbravomellado@gmail.com" TargetMode="External"/><Relationship Id="rId569" Type="http://schemas.openxmlformats.org/officeDocument/2006/relationships/hyperlink" Target="mailto:miguelchacon@live.com,transportechaconmiguel@gmail.com" TargetMode="External"/><Relationship Id="rId70" Type="http://schemas.openxmlformats.org/officeDocument/2006/relationships/hyperlink" Target="mailto:gestoriaambiental.mza@gmail.com" TargetMode="External"/><Relationship Id="rId91" Type="http://schemas.openxmlformats.org/officeDocument/2006/relationships/hyperlink" Target="mailto:gjfalcati@falfersa.com.ar" TargetMode="External"/><Relationship Id="rId145" Type="http://schemas.openxmlformats.org/officeDocument/2006/relationships/hyperlink" Target="mailto:productosgp2018@gmail.com" TargetMode="External"/><Relationship Id="rId166" Type="http://schemas.openxmlformats.org/officeDocument/2006/relationships/hyperlink" Target="mailto:hugo.baldin@gmail.com" TargetMode="External"/><Relationship Id="rId187" Type="http://schemas.openxmlformats.org/officeDocument/2006/relationships/hyperlink" Target="mailto:datos@scall.com.ar" TargetMode="External"/><Relationship Id="rId331" Type="http://schemas.openxmlformats.org/officeDocument/2006/relationships/hyperlink" Target="mailto:consulgreenmendoza@gmail.com" TargetMode="External"/><Relationship Id="rId352" Type="http://schemas.openxmlformats.org/officeDocument/2006/relationships/hyperlink" Target="mailto:mreinoso@redmeschini.com.ar" TargetMode="External"/><Relationship Id="rId373" Type="http://schemas.openxmlformats.org/officeDocument/2006/relationships/hyperlink" Target="mailto:lic.verdaguer@hotmail.com" TargetMode="External"/><Relationship Id="rId394" Type="http://schemas.openxmlformats.org/officeDocument/2006/relationships/hyperlink" Target="mailto:Postventa@andesmotors.com.ar" TargetMode="External"/><Relationship Id="rId408" Type="http://schemas.openxmlformats.org/officeDocument/2006/relationships/hyperlink" Target="mailto:enriquebmardones@gmail.com" TargetMode="External"/><Relationship Id="rId429" Type="http://schemas.openxmlformats.org/officeDocument/2006/relationships/hyperlink" Target="mailto:arodriguez@rodriguezdeinhardt.com.ar" TargetMode="External"/><Relationship Id="rId1" Type="http://schemas.openxmlformats.org/officeDocument/2006/relationships/hyperlink" Target="mailto:rodolfo.storelli@speedy.com.ar" TargetMode="External"/><Relationship Id="rId212" Type="http://schemas.openxmlformats.org/officeDocument/2006/relationships/hyperlink" Target="mailto:sebassarda@hotmail.com" TargetMode="External"/><Relationship Id="rId233" Type="http://schemas.openxmlformats.org/officeDocument/2006/relationships/hyperlink" Target="mailto:proveedores@trapolimp.com.ar" TargetMode="External"/><Relationship Id="rId254" Type="http://schemas.openxmlformats.org/officeDocument/2006/relationships/hyperlink" Target="mailto:gestoriaambiental.mza@gmail.com" TargetMode="External"/><Relationship Id="rId440" Type="http://schemas.openxmlformats.org/officeDocument/2006/relationships/hyperlink" Target="mailto:admin@saenz.com.ar" TargetMode="External"/><Relationship Id="rId28" Type="http://schemas.openxmlformats.org/officeDocument/2006/relationships/hyperlink" Target="mailto:agroquimicos@iscamen.com.ar" TargetMode="External"/><Relationship Id="rId49" Type="http://schemas.openxmlformats.org/officeDocument/2006/relationships/hyperlink" Target="mailto:info@alclasrl.com.ar" TargetMode="External"/><Relationship Id="rId114" Type="http://schemas.openxmlformats.org/officeDocument/2006/relationships/hyperlink" Target="mailto:atencioypfbeltran@yahoo.com" TargetMode="External"/><Relationship Id="rId275" Type="http://schemas.openxmlformats.org/officeDocument/2006/relationships/hyperlink" Target="mailto:claudiatobares@ctalcon.com.ar" TargetMode="External"/><Relationship Id="rId296" Type="http://schemas.openxmlformats.org/officeDocument/2006/relationships/hyperlink" Target="mailto:mandisovisrl@gmail.com" TargetMode="External"/><Relationship Id="rId300" Type="http://schemas.openxmlformats.org/officeDocument/2006/relationships/hyperlink" Target="mailto:fralberto988@hotmail.com" TargetMode="External"/><Relationship Id="rId461" Type="http://schemas.openxmlformats.org/officeDocument/2006/relationships/hyperlink" Target="mailto:administracion@greco-sa.com" TargetMode="External"/><Relationship Id="rId482" Type="http://schemas.openxmlformats.org/officeDocument/2006/relationships/hyperlink" Target="mailto:gestoriaambiental.mza@gmail.com" TargetMode="External"/><Relationship Id="rId517" Type="http://schemas.openxmlformats.org/officeDocument/2006/relationships/hyperlink" Target="mailto:p.borgo@codorniu.com" TargetMode="External"/><Relationship Id="rId538" Type="http://schemas.openxmlformats.org/officeDocument/2006/relationships/hyperlink" Target="mailto:amcampos@arcor.com" TargetMode="External"/><Relationship Id="rId559" Type="http://schemas.openxmlformats.org/officeDocument/2006/relationships/hyperlink" Target="mailto:mendoza@vgneumaticos.com.ar" TargetMode="External"/><Relationship Id="rId60" Type="http://schemas.openxmlformats.org/officeDocument/2006/relationships/hyperlink" Target="mailto:ypfmonteverdisrl@arnet.com.ar" TargetMode="External"/><Relationship Id="rId81" Type="http://schemas.openxmlformats.org/officeDocument/2006/relationships/hyperlink" Target="mailto:hugo.baldin@gmail.com" TargetMode="External"/><Relationship Id="rId135" Type="http://schemas.openxmlformats.org/officeDocument/2006/relationships/hyperlink" Target="mailto:migueltoledo77@hotmail.com" TargetMode="External"/><Relationship Id="rId156" Type="http://schemas.openxmlformats.org/officeDocument/2006/relationships/hyperlink" Target="mailto:emilio.mercado@airliquide.com" TargetMode="External"/><Relationship Id="rId177" Type="http://schemas.openxmlformats.org/officeDocument/2006/relationships/hyperlink" Target="mailto:hugo.baldin@gmail.com" TargetMode="External"/><Relationship Id="rId198" Type="http://schemas.openxmlformats.org/officeDocument/2006/relationships/hyperlink" Target="mailto:mbenedetti@grupoceosa.com" TargetMode="External"/><Relationship Id="rId321" Type="http://schemas.openxmlformats.org/officeDocument/2006/relationships/hyperlink" Target="mailto:gestoriaambiental.mza@gmail.com" TargetMode="External"/><Relationship Id="rId342" Type="http://schemas.openxmlformats.org/officeDocument/2006/relationships/hyperlink" Target="mailto:diegoescayol@hotmail.com" TargetMode="External"/><Relationship Id="rId363" Type="http://schemas.openxmlformats.org/officeDocument/2006/relationships/hyperlink" Target="mailto:carielcandeloro@yahoo.com.ar" TargetMode="External"/><Relationship Id="rId384" Type="http://schemas.openxmlformats.org/officeDocument/2006/relationships/hyperlink" Target="mailto:b.vera@avconsultora.com" TargetMode="External"/><Relationship Id="rId419" Type="http://schemas.openxmlformats.org/officeDocument/2006/relationships/hyperlink" Target="mailto:brunomaragna@gmail.com" TargetMode="External"/><Relationship Id="rId202" Type="http://schemas.openxmlformats.org/officeDocument/2006/relationships/hyperlink" Target="mailto:juliohoraciopalau@hotmail.com" TargetMode="External"/><Relationship Id="rId223" Type="http://schemas.openxmlformats.org/officeDocument/2006/relationships/hyperlink" Target="mailto:nazarmecanica@hotmail.com.ar" TargetMode="External"/><Relationship Id="rId244" Type="http://schemas.openxmlformats.org/officeDocument/2006/relationships/hyperlink" Target="mailto:aldodomingosanchez@hotmail.com" TargetMode="External"/><Relationship Id="rId430" Type="http://schemas.openxmlformats.org/officeDocument/2006/relationships/hyperlink" Target="mailto:gestoriaambiental.mza@gmail.com" TargetMode="External"/><Relationship Id="rId18" Type="http://schemas.openxmlformats.org/officeDocument/2006/relationships/hyperlink" Target="mailto:baresisrl@baresi.com.ar" TargetMode="External"/><Relationship Id="rId39" Type="http://schemas.openxmlformats.org/officeDocument/2006/relationships/hyperlink" Target="mailto:lavasecmendoza@hotmail.com.ar" TargetMode="External"/><Relationship Id="rId265" Type="http://schemas.openxmlformats.org/officeDocument/2006/relationships/hyperlink" Target="mailto:gestoriaambiental.mza@gmail.com,promero@inelcosrl.com.ar" TargetMode="External"/><Relationship Id="rId286" Type="http://schemas.openxmlformats.org/officeDocument/2006/relationships/hyperlink" Target="mailto:tlospamperos@hotmail.com" TargetMode="External"/><Relationship Id="rId451" Type="http://schemas.openxmlformats.org/officeDocument/2006/relationships/hyperlink" Target="mailto:rrhh@angiordsaci.com.ar" TargetMode="External"/><Relationship Id="rId472" Type="http://schemas.openxmlformats.org/officeDocument/2006/relationships/hyperlink" Target="mailto:bpresa@trackertools.com" TargetMode="External"/><Relationship Id="rId493" Type="http://schemas.openxmlformats.org/officeDocument/2006/relationships/hyperlink" Target="mailto:gestoriaambiental.mza@gmail.com" TargetMode="External"/><Relationship Id="rId507" Type="http://schemas.openxmlformats.org/officeDocument/2006/relationships/hyperlink" Target="mailto:dinagimenez@yahoo.com.ar" TargetMode="External"/><Relationship Id="rId528" Type="http://schemas.openxmlformats.org/officeDocument/2006/relationships/hyperlink" Target="mailto:metalplegmza@gmail.com" TargetMode="External"/><Relationship Id="rId549" Type="http://schemas.openxmlformats.org/officeDocument/2006/relationships/hyperlink" Target="mailto:gestoriaambiental.mza@gmail.com" TargetMode="External"/><Relationship Id="rId50" Type="http://schemas.openxmlformats.org/officeDocument/2006/relationships/hyperlink" Target="mailto:tracsalogistica@gmail.com" TargetMode="External"/><Relationship Id="rId104" Type="http://schemas.openxmlformats.org/officeDocument/2006/relationships/hyperlink" Target="mailto:lsanchez@mariogoldsteinsa.com" TargetMode="External"/><Relationship Id="rId125" Type="http://schemas.openxmlformats.org/officeDocument/2006/relationships/hyperlink" Target="mailto:gncgodoycruz@yahoo.com" TargetMode="External"/><Relationship Id="rId146" Type="http://schemas.openxmlformats.org/officeDocument/2006/relationships/hyperlink" Target="mailto:impred-alvear@yahoo.com" TargetMode="External"/><Relationship Id="rId167" Type="http://schemas.openxmlformats.org/officeDocument/2006/relationships/hyperlink" Target="mailto:jpc_cecchini@yahoo.com.ar" TargetMode="External"/><Relationship Id="rId188" Type="http://schemas.openxmlformats.org/officeDocument/2006/relationships/hyperlink" Target="mailto:hugo.baldin@gmail.com" TargetMode="External"/><Relationship Id="rId311" Type="http://schemas.openxmlformats.org/officeDocument/2006/relationships/hyperlink" Target="mailto:lubricentrovr@gmail.com" TargetMode="External"/><Relationship Id="rId332" Type="http://schemas.openxmlformats.org/officeDocument/2006/relationships/hyperlink" Target="mailto:jmbello@autogsm.com.ar" TargetMode="External"/><Relationship Id="rId353" Type="http://schemas.openxmlformats.org/officeDocument/2006/relationships/hyperlink" Target="mailto:hugo.baldin@gmail.com" TargetMode="External"/><Relationship Id="rId374" Type="http://schemas.openxmlformats.org/officeDocument/2006/relationships/hyperlink" Target="mailto:peletayandres@gmail.com" TargetMode="External"/><Relationship Id="rId395" Type="http://schemas.openxmlformats.org/officeDocument/2006/relationships/hyperlink" Target="mailto:pimenidesport@hotmail.com" TargetMode="External"/><Relationship Id="rId409" Type="http://schemas.openxmlformats.org/officeDocument/2006/relationships/hyperlink" Target="mailto:nelsongenna68@gmail.com,fer-paconstrucciones@hotmail.com" TargetMode="External"/><Relationship Id="rId560" Type="http://schemas.openxmlformats.org/officeDocument/2006/relationships/hyperlink" Target="mailto:lapostadcastilla@gmail.com" TargetMode="External"/><Relationship Id="rId71" Type="http://schemas.openxmlformats.org/officeDocument/2006/relationships/hyperlink" Target="mailto:leonargarabetti680@gmail.com" TargetMode="External"/><Relationship Id="rId92" Type="http://schemas.openxmlformats.org/officeDocument/2006/relationships/hyperlink" Target="mailto:abaigorria@chandon.com.arr" TargetMode="External"/><Relationship Id="rId213" Type="http://schemas.openxmlformats.org/officeDocument/2006/relationships/hyperlink" Target="mailto:malentachi@nttec.com.ar" TargetMode="External"/><Relationship Id="rId234" Type="http://schemas.openxmlformats.org/officeDocument/2006/relationships/hyperlink" Target="mailto:privadadeportes@mendoza.gov.ar" TargetMode="External"/><Relationship Id="rId420" Type="http://schemas.openxmlformats.org/officeDocument/2006/relationships/hyperlink" Target="mailto:reparacionesjjcosta@hotmail.com" TargetMode="External"/><Relationship Id="rId2" Type="http://schemas.openxmlformats.org/officeDocument/2006/relationships/hyperlink" Target="mailto:jpotenzone@mariogoldsteinsa.com" TargetMode="External"/><Relationship Id="rId29" Type="http://schemas.openxmlformats.org/officeDocument/2006/relationships/hyperlink" Target="mailto:nicolasgonzalezdelsolar@gmail.com" TargetMode="External"/><Relationship Id="rId255" Type="http://schemas.openxmlformats.org/officeDocument/2006/relationships/hyperlink" Target="mailto:gestoriaambiental.mza@gmail.com.ar" TargetMode="External"/><Relationship Id="rId276" Type="http://schemas.openxmlformats.org/officeDocument/2006/relationships/hyperlink" Target="mailto:trueargentina2013@yahoo.com.ar" TargetMode="External"/><Relationship Id="rId297" Type="http://schemas.openxmlformats.org/officeDocument/2006/relationships/hyperlink" Target="mailto:chcaritaparisautopartes@hotmail.com" TargetMode="External"/><Relationship Id="rId441" Type="http://schemas.openxmlformats.org/officeDocument/2006/relationships/hyperlink" Target="mailto:betina.lopez@lopezargentina.com" TargetMode="External"/><Relationship Id="rId462" Type="http://schemas.openxmlformats.org/officeDocument/2006/relationships/hyperlink" Target="mailto:gestoriaambiental.mza@gmail.com" TargetMode="External"/><Relationship Id="rId483" Type="http://schemas.openxmlformats.org/officeDocument/2006/relationships/hyperlink" Target="mailto:servicentrocorsan@gamail.com" TargetMode="External"/><Relationship Id="rId518" Type="http://schemas.openxmlformats.org/officeDocument/2006/relationships/hyperlink" Target="mailto:agronomia@bodegarenacer.com.ar" TargetMode="External"/><Relationship Id="rId539" Type="http://schemas.openxmlformats.org/officeDocument/2006/relationships/hyperlink" Target="mailto:amcampos@arcor.com" TargetMode="External"/><Relationship Id="rId40" Type="http://schemas.openxmlformats.org/officeDocument/2006/relationships/hyperlink" Target="mailto:ignaciiorodriguez764@gmail.com" TargetMode="External"/><Relationship Id="rId115" Type="http://schemas.openxmlformats.org/officeDocument/2006/relationships/hyperlink" Target="mailto:elabuelo444@hotmail.com" TargetMode="External"/><Relationship Id="rId136" Type="http://schemas.openxmlformats.org/officeDocument/2006/relationships/hyperlink" Target="mailto:administracion@lacordillera.com.ar" TargetMode="External"/><Relationship Id="rId157" Type="http://schemas.openxmlformats.org/officeDocument/2006/relationships/hyperlink" Target="mailto:allubhnos@allubhnossrl.com.ar" TargetMode="External"/><Relationship Id="rId178" Type="http://schemas.openxmlformats.org/officeDocument/2006/relationships/hyperlink" Target="mailto:gestoriaambiental.mza@gmail.com" TargetMode="External"/><Relationship Id="rId301" Type="http://schemas.openxmlformats.org/officeDocument/2006/relationships/hyperlink" Target="mailto:marialauracola@gmail.com" TargetMode="External"/><Relationship Id="rId322" Type="http://schemas.openxmlformats.org/officeDocument/2006/relationships/hyperlink" Target="mailto:dniela.forner@fornersrl.com.ar" TargetMode="External"/><Relationship Id="rId343" Type="http://schemas.openxmlformats.org/officeDocument/2006/relationships/hyperlink" Target="mailto:anticipar3@gmail.com" TargetMode="External"/><Relationship Id="rId364" Type="http://schemas.openxmlformats.org/officeDocument/2006/relationships/hyperlink" Target="mailto:luis@efeargentina.com" TargetMode="External"/><Relationship Id="rId550" Type="http://schemas.openxmlformats.org/officeDocument/2006/relationships/hyperlink" Target="mailto:gestoriaambiental.mza@gmail.com" TargetMode="External"/><Relationship Id="rId61" Type="http://schemas.openxmlformats.org/officeDocument/2006/relationships/hyperlink" Target="mailto:raulventurin@gmail.com" TargetMode="External"/><Relationship Id="rId82" Type="http://schemas.openxmlformats.org/officeDocument/2006/relationships/hyperlink" Target="mailto:mchavetta@yahoo.com.ar" TargetMode="External"/><Relationship Id="rId199" Type="http://schemas.openxmlformats.org/officeDocument/2006/relationships/hyperlink" Target="mailto:mbenedetti@grupoceosa.com" TargetMode="External"/><Relationship Id="rId203" Type="http://schemas.openxmlformats.org/officeDocument/2006/relationships/hyperlink" Target="mailto:timarcaslamas@speedy.com.ar" TargetMode="External"/><Relationship Id="rId385" Type="http://schemas.openxmlformats.org/officeDocument/2006/relationships/hyperlink" Target="mailto:belen@andres-merino.com.ar" TargetMode="External"/><Relationship Id="rId19" Type="http://schemas.openxmlformats.org/officeDocument/2006/relationships/hyperlink" Target="mailto:ganp-sa@speedy.com.ar" TargetMode="External"/><Relationship Id="rId224" Type="http://schemas.openxmlformats.org/officeDocument/2006/relationships/hyperlink" Target="mailto:contacto@monteverdiconstrucciones.com" TargetMode="External"/><Relationship Id="rId245" Type="http://schemas.openxmlformats.org/officeDocument/2006/relationships/hyperlink" Target="mailto:aldodomingosanchez@hotmail.com" TargetMode="External"/><Relationship Id="rId266" Type="http://schemas.openxmlformats.org/officeDocument/2006/relationships/hyperlink" Target="mailto:gestoriaambiental.mza@gmail.com" TargetMode="External"/><Relationship Id="rId287" Type="http://schemas.openxmlformats.org/officeDocument/2006/relationships/hyperlink" Target="mailto:gestoriaambiental.mza@gmail.com" TargetMode="External"/><Relationship Id="rId410" Type="http://schemas.openxmlformats.org/officeDocument/2006/relationships/hyperlink" Target="mailto:gestoriaambiental.mza@gmail.com" TargetMode="External"/><Relationship Id="rId431" Type="http://schemas.openxmlformats.org/officeDocument/2006/relationships/hyperlink" Target="mailto:info@tecnoservicemza.com.ar" TargetMode="External"/><Relationship Id="rId452" Type="http://schemas.openxmlformats.org/officeDocument/2006/relationships/hyperlink" Target="mailto:gestoriaambiental.mza@gmail.com" TargetMode="External"/><Relationship Id="rId473" Type="http://schemas.openxmlformats.org/officeDocument/2006/relationships/hyperlink" Target="mailto:martin.casado@iscamen.com.ar" TargetMode="External"/><Relationship Id="rId494" Type="http://schemas.openxmlformats.org/officeDocument/2006/relationships/hyperlink" Target="mailto:gringuin_88@hotmail.com" TargetMode="External"/><Relationship Id="rId508" Type="http://schemas.openxmlformats.org/officeDocument/2006/relationships/hyperlink" Target="mailto:elgatomecanica92@gmail.com" TargetMode="External"/><Relationship Id="rId529" Type="http://schemas.openxmlformats.org/officeDocument/2006/relationships/hyperlink" Target="mailto:lic.verdaguer@hotmail.com" TargetMode="External"/><Relationship Id="rId30" Type="http://schemas.openxmlformats.org/officeDocument/2006/relationships/hyperlink" Target="mailto:gestoriaambiental.mza@gmail.com" TargetMode="External"/><Relationship Id="rId105" Type="http://schemas.openxmlformats.org/officeDocument/2006/relationships/hyperlink" Target="mailto:granlibertador@speedy.com.ar" TargetMode="External"/><Relationship Id="rId126" Type="http://schemas.openxmlformats.org/officeDocument/2006/relationships/hyperlink" Target="mailto:desarmaderolamasrodeo@gmail.com" TargetMode="External"/><Relationship Id="rId147" Type="http://schemas.openxmlformats.org/officeDocument/2006/relationships/hyperlink" Target="mailto:ricardofuentes2027@gmail.com" TargetMode="External"/><Relationship Id="rId168" Type="http://schemas.openxmlformats.org/officeDocument/2006/relationships/hyperlink" Target="mailto:areseguridad@arenadoslujan.com.ar" TargetMode="External"/><Relationship Id="rId312" Type="http://schemas.openxmlformats.org/officeDocument/2006/relationships/hyperlink" Target="mailto:palvear@speedy.com.ar" TargetMode="External"/><Relationship Id="rId333" Type="http://schemas.openxmlformats.org/officeDocument/2006/relationships/hyperlink" Target="mailto:edomingo@siemelectrico.com.ar" TargetMode="External"/><Relationship Id="rId354" Type="http://schemas.openxmlformats.org/officeDocument/2006/relationships/hyperlink" Target="mailto:leandroyacobucci@gmail.com" TargetMode="External"/><Relationship Id="rId540" Type="http://schemas.openxmlformats.org/officeDocument/2006/relationships/hyperlink" Target="mailto:carolina.mktinversiones@gmail.com" TargetMode="External"/><Relationship Id="rId51" Type="http://schemas.openxmlformats.org/officeDocument/2006/relationships/hyperlink" Target="mailto:jvallesi@petrebol.com.ar" TargetMode="External"/><Relationship Id="rId72" Type="http://schemas.openxmlformats.org/officeDocument/2006/relationships/hyperlink" Target="mailto:raulventurin@gmail.com" TargetMode="External"/><Relationship Id="rId93" Type="http://schemas.openxmlformats.org/officeDocument/2006/relationships/hyperlink" Target="mailto:informe@grupo-gentili.com.ar" TargetMode="External"/><Relationship Id="rId189" Type="http://schemas.openxmlformats.org/officeDocument/2006/relationships/hyperlink" Target="mailto:lic.verdaguer@hotmail.com" TargetMode="External"/><Relationship Id="rId375" Type="http://schemas.openxmlformats.org/officeDocument/2006/relationships/hyperlink" Target="mailto:leandro_333@hotmail.com" TargetMode="External"/><Relationship Id="rId396" Type="http://schemas.openxmlformats.org/officeDocument/2006/relationships/hyperlink" Target="mailto:topfc2018@hotmail.com" TargetMode="External"/><Relationship Id="rId561" Type="http://schemas.openxmlformats.org/officeDocument/2006/relationships/hyperlink" Target="mailto:camad@tecnovid.com.ar" TargetMode="External"/><Relationship Id="rId3" Type="http://schemas.openxmlformats.org/officeDocument/2006/relationships/hyperlink" Target="mailto:info@venetasudamericana.com.ar" TargetMode="External"/><Relationship Id="rId214" Type="http://schemas.openxmlformats.org/officeDocument/2006/relationships/hyperlink" Target="mailto:malentachi@nttec.com.ar" TargetMode="External"/><Relationship Id="rId235" Type="http://schemas.openxmlformats.org/officeDocument/2006/relationships/hyperlink" Target="mailto:alaugero@laugero.com.ar" TargetMode="External"/><Relationship Id="rId256" Type="http://schemas.openxmlformats.org/officeDocument/2006/relationships/hyperlink" Target="mailto:alvear@moranmanera.com" TargetMode="External"/><Relationship Id="rId277" Type="http://schemas.openxmlformats.org/officeDocument/2006/relationships/hyperlink" Target="mailto:rgisbert@cuyoplacas.com.ar" TargetMode="External"/><Relationship Id="rId298" Type="http://schemas.openxmlformats.org/officeDocument/2006/relationships/hyperlink" Target="mailto:chcaritaparisautopartes@hotmail.com" TargetMode="External"/><Relationship Id="rId400" Type="http://schemas.openxmlformats.org/officeDocument/2006/relationships/hyperlink" Target="mailto:cristianmanoni@hotmail.com" TargetMode="External"/><Relationship Id="rId421" Type="http://schemas.openxmlformats.org/officeDocument/2006/relationships/hyperlink" Target="mailto:shigiene@transol.com.ar" TargetMode="External"/><Relationship Id="rId442" Type="http://schemas.openxmlformats.org/officeDocument/2006/relationships/hyperlink" Target="mailto:robertobellene@gmail.com" TargetMode="External"/><Relationship Id="rId463" Type="http://schemas.openxmlformats.org/officeDocument/2006/relationships/hyperlink" Target="mailto:mendezoscar21@yahoo.com.ar" TargetMode="External"/><Relationship Id="rId484" Type="http://schemas.openxmlformats.org/officeDocument/2006/relationships/hyperlink" Target="mailto:contaduria@macar.com.ar" TargetMode="External"/><Relationship Id="rId519" Type="http://schemas.openxmlformats.org/officeDocument/2006/relationships/hyperlink" Target="mailto:crivas@escorihuela.com.ar" TargetMode="External"/><Relationship Id="rId116" Type="http://schemas.openxmlformats.org/officeDocument/2006/relationships/hyperlink" Target="mailto:gestoriaambiental.mza@gmail.com" TargetMode="External"/><Relationship Id="rId137" Type="http://schemas.openxmlformats.org/officeDocument/2006/relationships/hyperlink" Target="mailto:mrmg1473@hotmail.com" TargetMode="External"/><Relationship Id="rId158" Type="http://schemas.openxmlformats.org/officeDocument/2006/relationships/hyperlink" Target="mailto:coria_hys@hotmail.com" TargetMode="External"/><Relationship Id="rId302" Type="http://schemas.openxmlformats.org/officeDocument/2006/relationships/hyperlink" Target="mailto:gaby-sanchez88@hotmail.com" TargetMode="External"/><Relationship Id="rId323" Type="http://schemas.openxmlformats.org/officeDocument/2006/relationships/hyperlink" Target="mailto:vbravomellado@gmail.com" TargetMode="External"/><Relationship Id="rId344" Type="http://schemas.openxmlformats.org/officeDocument/2006/relationships/hyperlink" Target="mailto:lic.verdaguer@hotmail.com" TargetMode="External"/><Relationship Id="rId530" Type="http://schemas.openxmlformats.org/officeDocument/2006/relationships/hyperlink" Target="mailto:caia65@hotmail.com" TargetMode="External"/><Relationship Id="rId20" Type="http://schemas.openxmlformats.org/officeDocument/2006/relationships/hyperlink" Target="mailto:rrhh@petroplastmza.com.ar" TargetMode="External"/><Relationship Id="rId41" Type="http://schemas.openxmlformats.org/officeDocument/2006/relationships/hyperlink" Target="mailto:andesmar@andesmar.com.ar" TargetMode="External"/><Relationship Id="rId62" Type="http://schemas.openxmlformats.org/officeDocument/2006/relationships/hyperlink" Target="mailto:dibiagi@dibiagi.com.ar" TargetMode="External"/><Relationship Id="rId83" Type="http://schemas.openxmlformats.org/officeDocument/2006/relationships/hyperlink" Target="mailto:vbravomellado@gmail.com" TargetMode="External"/><Relationship Id="rId179" Type="http://schemas.openxmlformats.org/officeDocument/2006/relationships/hyperlink" Target="mailto:gerksa2005@yahoo.com.ar" TargetMode="External"/><Relationship Id="rId365" Type="http://schemas.openxmlformats.org/officeDocument/2006/relationships/hyperlink" Target="mailto:javier.klita@gmail.com" TargetMode="External"/><Relationship Id="rId386" Type="http://schemas.openxmlformats.org/officeDocument/2006/relationships/hyperlink" Target="mailto:cmaradona2013@gmail.com" TargetMode="External"/><Relationship Id="rId551" Type="http://schemas.openxmlformats.org/officeDocument/2006/relationships/hyperlink" Target="mailto:serviciospublicos@juninmendoza.gov.ar" TargetMode="External"/><Relationship Id="rId190" Type="http://schemas.openxmlformats.org/officeDocument/2006/relationships/hyperlink" Target="mailto:grafexss@gmail.com" TargetMode="External"/><Relationship Id="rId204" Type="http://schemas.openxmlformats.org/officeDocument/2006/relationships/hyperlink" Target="mailto:producionecocloro@gmail.com" TargetMode="External"/><Relationship Id="rId225" Type="http://schemas.openxmlformats.org/officeDocument/2006/relationships/hyperlink" Target="mailto:lic.verdaguer@hotmail.com" TargetMode="External"/><Relationship Id="rId246" Type="http://schemas.openxmlformats.org/officeDocument/2006/relationships/hyperlink" Target="mailto:b.jadue@phoenixgr.com" TargetMode="External"/><Relationship Id="rId267" Type="http://schemas.openxmlformats.org/officeDocument/2006/relationships/hyperlink" Target="mailto:ruanservice_@hotmail.com" TargetMode="External"/><Relationship Id="rId288" Type="http://schemas.openxmlformats.org/officeDocument/2006/relationships/hyperlink" Target="mailto:gestoriaambiental.mza@gmail.com" TargetMode="External"/><Relationship Id="rId411" Type="http://schemas.openxmlformats.org/officeDocument/2006/relationships/hyperlink" Target="mailto:cristian.d.artero@ypf.com" TargetMode="External"/><Relationship Id="rId432" Type="http://schemas.openxmlformats.org/officeDocument/2006/relationships/hyperlink" Target="mailto:b.jadue@phoenixgr.com" TargetMode="External"/><Relationship Id="rId453" Type="http://schemas.openxmlformats.org/officeDocument/2006/relationships/hyperlink" Target="mailto:liccalegari@yahoo.com.ar" TargetMode="External"/><Relationship Id="rId474" Type="http://schemas.openxmlformats.org/officeDocument/2006/relationships/hyperlink" Target="mailto:pdmoyano@yahoo.com.ar" TargetMode="External"/><Relationship Id="rId509" Type="http://schemas.openxmlformats.org/officeDocument/2006/relationships/hyperlink" Target="mailto:rubenrijavec@gmail.com;fernando.lisazo@obras.chediack.com.ar" TargetMode="External"/><Relationship Id="rId106" Type="http://schemas.openxmlformats.org/officeDocument/2006/relationships/hyperlink" Target="mailto:ruitti4x4@live.com.ar" TargetMode="External"/><Relationship Id="rId127" Type="http://schemas.openxmlformats.org/officeDocument/2006/relationships/hyperlink" Target="mailto:mendozafundacional@hotmail.com" TargetMode="External"/><Relationship Id="rId313" Type="http://schemas.openxmlformats.org/officeDocument/2006/relationships/hyperlink" Target="mailto:zuccarhnos@yahoo.com.ar" TargetMode="External"/><Relationship Id="rId495" Type="http://schemas.openxmlformats.org/officeDocument/2006/relationships/hyperlink" Target="mailto:waltherpalma@hotmail.com.ar" TargetMode="External"/><Relationship Id="rId10" Type="http://schemas.openxmlformats.org/officeDocument/2006/relationships/hyperlink" Target="mailto:lilyschiavone@yahoo.com.ar" TargetMode="External"/><Relationship Id="rId31" Type="http://schemas.openxmlformats.org/officeDocument/2006/relationships/hyperlink" Target="mailto:rubendmanfredi@hotmail.com" TargetMode="External"/><Relationship Id="rId52" Type="http://schemas.openxmlformats.org/officeDocument/2006/relationships/hyperlink" Target="mailto:sharbela.santivanez@grupopenaflor.com.ar" TargetMode="External"/><Relationship Id="rId73" Type="http://schemas.openxmlformats.org/officeDocument/2006/relationships/hyperlink" Target="mailto:info@hormimac.com.ar" TargetMode="External"/><Relationship Id="rId94" Type="http://schemas.openxmlformats.org/officeDocument/2006/relationships/hyperlink" Target="mailto:ljcx2250@hotmail.com" TargetMode="External"/><Relationship Id="rId148" Type="http://schemas.openxmlformats.org/officeDocument/2006/relationships/hyperlink" Target="mailto:julianberrios@live.com.ar" TargetMode="External"/><Relationship Id="rId169" Type="http://schemas.openxmlformats.org/officeDocument/2006/relationships/hyperlink" Target="mailto:recursoshumanos@manitta.com.ar" TargetMode="External"/><Relationship Id="rId334" Type="http://schemas.openxmlformats.org/officeDocument/2006/relationships/hyperlink" Target="mailto:centerws@hotmail.com" TargetMode="External"/><Relationship Id="rId355" Type="http://schemas.openxmlformats.org/officeDocument/2006/relationships/hyperlink" Target="mailto:gestoriaambiental.mza@gmail.com" TargetMode="External"/><Relationship Id="rId376" Type="http://schemas.openxmlformats.org/officeDocument/2006/relationships/hyperlink" Target="mailto:estacionnagdan@gmail.com" TargetMode="External"/><Relationship Id="rId397" Type="http://schemas.openxmlformats.org/officeDocument/2006/relationships/hyperlink" Target="mailto:rrhh@bodegaespino.com.ar" TargetMode="External"/><Relationship Id="rId520" Type="http://schemas.openxmlformats.org/officeDocument/2006/relationships/hyperlink" Target="mailto:leonardo.devia@chakanawines.com.ar" TargetMode="External"/><Relationship Id="rId541" Type="http://schemas.openxmlformats.org/officeDocument/2006/relationships/hyperlink" Target="mailto:hamusri@gmail.com" TargetMode="External"/><Relationship Id="rId562" Type="http://schemas.openxmlformats.org/officeDocument/2006/relationships/hyperlink" Target="mailto:calidad@americangarlic.com.ar" TargetMode="External"/><Relationship Id="rId4" Type="http://schemas.openxmlformats.org/officeDocument/2006/relationships/hyperlink" Target="mailto:mjargana@quilmes.com.ar" TargetMode="External"/><Relationship Id="rId180" Type="http://schemas.openxmlformats.org/officeDocument/2006/relationships/hyperlink" Target="mailto:allubhnos@allubhnossrl.com.ar" TargetMode="External"/><Relationship Id="rId215" Type="http://schemas.openxmlformats.org/officeDocument/2006/relationships/hyperlink" Target="mailto:mendozalogistica@yahoo.com.ar" TargetMode="External"/><Relationship Id="rId236" Type="http://schemas.openxmlformats.org/officeDocument/2006/relationships/hyperlink" Target="mailto:timlosa2017@gmail.com" TargetMode="External"/><Relationship Id="rId257" Type="http://schemas.openxmlformats.org/officeDocument/2006/relationships/hyperlink" Target="mailto:deltagnc@speedy.com.ar" TargetMode="External"/><Relationship Id="rId278" Type="http://schemas.openxmlformats.org/officeDocument/2006/relationships/hyperlink" Target="mailto:acometano.sa@gmail.com" TargetMode="External"/><Relationship Id="rId401" Type="http://schemas.openxmlformats.org/officeDocument/2006/relationships/hyperlink" Target="mailto:estacionelsol@gmail.com" TargetMode="External"/><Relationship Id="rId422" Type="http://schemas.openxmlformats.org/officeDocument/2006/relationships/hyperlink" Target="mailto:carlindiazpalmili@gmail.com" TargetMode="External"/><Relationship Id="rId443" Type="http://schemas.openxmlformats.org/officeDocument/2006/relationships/hyperlink" Target="mailto:leonvezzoni@andesmar.com.ar" TargetMode="External"/><Relationship Id="rId464" Type="http://schemas.openxmlformats.org/officeDocument/2006/relationships/hyperlink" Target="mailto:tallerdariovicari@hotmail.com" TargetMode="External"/><Relationship Id="rId303" Type="http://schemas.openxmlformats.org/officeDocument/2006/relationships/hyperlink" Target="mailto:compras@galvamen.com" TargetMode="External"/><Relationship Id="rId485" Type="http://schemas.openxmlformats.org/officeDocument/2006/relationships/hyperlink" Target="mailto:lorenamza12@hotmail.com" TargetMode="External"/><Relationship Id="rId42" Type="http://schemas.openxmlformats.org/officeDocument/2006/relationships/hyperlink" Target="http://www.cgc.com.ar/" TargetMode="External"/><Relationship Id="rId84" Type="http://schemas.openxmlformats.org/officeDocument/2006/relationships/hyperlink" Target="mailto:abaigorria@chandon.com.ar" TargetMode="External"/><Relationship Id="rId138" Type="http://schemas.openxmlformats.org/officeDocument/2006/relationships/hyperlink" Target="mailto:gerksa2005@yahoo.com.ar" TargetMode="External"/><Relationship Id="rId345" Type="http://schemas.openxmlformats.org/officeDocument/2006/relationships/hyperlink" Target="mailto:clulic@frenosoeste.com.ar" TargetMode="External"/><Relationship Id="rId387" Type="http://schemas.openxmlformats.org/officeDocument/2006/relationships/hyperlink" Target="mailto:l.luna@grupopetersen.com.ar" TargetMode="External"/><Relationship Id="rId510" Type="http://schemas.openxmlformats.org/officeDocument/2006/relationships/hyperlink" Target="mailto:yanimarin1984@hotmail.com" TargetMode="External"/><Relationship Id="rId552" Type="http://schemas.openxmlformats.org/officeDocument/2006/relationships/hyperlink" Target="mailto:hugo.baldin@gmail.com" TargetMode="External"/><Relationship Id="rId191" Type="http://schemas.openxmlformats.org/officeDocument/2006/relationships/hyperlink" Target="mailto:ruta188sa@gmail.com.ar" TargetMode="External"/><Relationship Id="rId205" Type="http://schemas.openxmlformats.org/officeDocument/2006/relationships/hyperlink" Target="mailto:lilyschiavone@yahoo.com.ar" TargetMode="External"/><Relationship Id="rId247" Type="http://schemas.openxmlformats.org/officeDocument/2006/relationships/hyperlink" Target="mailto:mauricioscattolon@gmail.com" TargetMode="External"/><Relationship Id="rId412" Type="http://schemas.openxmlformats.org/officeDocument/2006/relationships/hyperlink" Target="mailto:mrmg1473@hotmail.com" TargetMode="External"/><Relationship Id="rId107" Type="http://schemas.openxmlformats.org/officeDocument/2006/relationships/hyperlink" Target="mailto:administracion@valeriooliva.com" TargetMode="External"/><Relationship Id="rId289" Type="http://schemas.openxmlformats.org/officeDocument/2006/relationships/hyperlink" Target="mailto:coloradatrece@hotmail.com" TargetMode="External"/><Relationship Id="rId454" Type="http://schemas.openxmlformats.org/officeDocument/2006/relationships/hyperlink" Target="mailto:contacto@autopartesalvero.com" TargetMode="External"/><Relationship Id="rId496" Type="http://schemas.openxmlformats.org/officeDocument/2006/relationships/hyperlink" Target="mailto:sguazziniloli@gmail.com" TargetMode="External"/><Relationship Id="rId11" Type="http://schemas.openxmlformats.org/officeDocument/2006/relationships/hyperlink" Target="mailto:cooperativaelectricamontecoman@gmail.com" TargetMode="External"/><Relationship Id="rId53" Type="http://schemas.openxmlformats.org/officeDocument/2006/relationships/hyperlink" Target="mailto:altieri@altieri.com.ar" TargetMode="External"/><Relationship Id="rId149" Type="http://schemas.openxmlformats.org/officeDocument/2006/relationships/hyperlink" Target="mailto:lubarsa111@yahoo.com" TargetMode="External"/><Relationship Id="rId314" Type="http://schemas.openxmlformats.org/officeDocument/2006/relationships/hyperlink" Target="mailto:atsauditoria@gmail.com" TargetMode="External"/><Relationship Id="rId356" Type="http://schemas.openxmlformats.org/officeDocument/2006/relationships/hyperlink" Target="mailto:smaldonado@tinto.com.ar" TargetMode="External"/><Relationship Id="rId398" Type="http://schemas.openxmlformats.org/officeDocument/2006/relationships/hyperlink" Target="mailto:frigorificomdelc@gmail.com" TargetMode="External"/><Relationship Id="rId521" Type="http://schemas.openxmlformats.org/officeDocument/2006/relationships/hyperlink" Target="mailto:ventasnavas@gmail.com" TargetMode="External"/><Relationship Id="rId563" Type="http://schemas.openxmlformats.org/officeDocument/2006/relationships/hyperlink" Target="mailto:joseromeux99@gmail.com" TargetMode="External"/><Relationship Id="rId95" Type="http://schemas.openxmlformats.org/officeDocument/2006/relationships/hyperlink" Target="mailto:abaigorria@chandon.com.ar" TargetMode="External"/><Relationship Id="rId160" Type="http://schemas.openxmlformats.org/officeDocument/2006/relationships/hyperlink" Target="mailto:miguelvalencia@speedy.com.ar" TargetMode="External"/><Relationship Id="rId216" Type="http://schemas.openxmlformats.org/officeDocument/2006/relationships/hyperlink" Target="mailto:mdzlogistica@yahoo.com.ar" TargetMode="External"/><Relationship Id="rId423" Type="http://schemas.openxmlformats.org/officeDocument/2006/relationships/hyperlink" Target="mailto:mnavarro@jaben.com.ar" TargetMode="External"/><Relationship Id="rId258" Type="http://schemas.openxmlformats.org/officeDocument/2006/relationships/hyperlink" Target="mailto:fundicionlosandes@speedy.com.ar" TargetMode="External"/><Relationship Id="rId465" Type="http://schemas.openxmlformats.org/officeDocument/2006/relationships/hyperlink" Target="mailto:gestoriaambiental.mza@gmail.com" TargetMode="External"/><Relationship Id="rId22" Type="http://schemas.openxmlformats.org/officeDocument/2006/relationships/hyperlink" Target="http://www.cgc.com.ar/" TargetMode="External"/><Relationship Id="rId64" Type="http://schemas.openxmlformats.org/officeDocument/2006/relationships/hyperlink" Target="mailto:mary_231@hotmail.com.ar" TargetMode="External"/><Relationship Id="rId118" Type="http://schemas.openxmlformats.org/officeDocument/2006/relationships/hyperlink" Target="mailto:lubricentrofurlani@yahoo.com.ar" TargetMode="External"/><Relationship Id="rId325" Type="http://schemas.openxmlformats.org/officeDocument/2006/relationships/hyperlink" Target="mailto:flaviovignera@coingsa.com.ar" TargetMode="External"/><Relationship Id="rId367" Type="http://schemas.openxmlformats.org/officeDocument/2006/relationships/hyperlink" Target="mailto:servimotoarg@gmail.com" TargetMode="External"/><Relationship Id="rId532" Type="http://schemas.openxmlformats.org/officeDocument/2006/relationships/hyperlink" Target="mailto:diegoescayol@hotmail.com" TargetMode="External"/><Relationship Id="rId171" Type="http://schemas.openxmlformats.org/officeDocument/2006/relationships/hyperlink" Target="mailto:paleroimpresores@paleroimpresores.com" TargetMode="External"/><Relationship Id="rId227" Type="http://schemas.openxmlformats.org/officeDocument/2006/relationships/hyperlink" Target="mailto:administracion@bodegarenaissance.com.ar" TargetMode="External"/><Relationship Id="rId269" Type="http://schemas.openxmlformats.org/officeDocument/2006/relationships/hyperlink" Target="mailto:lic.verdaguer@hotmail.com" TargetMode="External"/><Relationship Id="rId434" Type="http://schemas.openxmlformats.org/officeDocument/2006/relationships/hyperlink" Target="mailto:adriana.jgservicios@gmail.com" TargetMode="External"/><Relationship Id="rId476" Type="http://schemas.openxmlformats.org/officeDocument/2006/relationships/hyperlink" Target="mailto:gestoriaambiental.mza@gmail.com" TargetMode="External"/><Relationship Id="rId33" Type="http://schemas.openxmlformats.org/officeDocument/2006/relationships/hyperlink" Target="mailto:essobarraquero@gmail.com" TargetMode="External"/><Relationship Id="rId129" Type="http://schemas.openxmlformats.org/officeDocument/2006/relationships/hyperlink" Target="mailto:cferraris_1@hotmail.com" TargetMode="External"/><Relationship Id="rId280" Type="http://schemas.openxmlformats.org/officeDocument/2006/relationships/hyperlink" Target="mailto:bgpconstrucciones@gmail.com" TargetMode="External"/><Relationship Id="rId336" Type="http://schemas.openxmlformats.org/officeDocument/2006/relationships/hyperlink" Target="mailto:ngarcia@mediterraneo.com.ar" TargetMode="External"/><Relationship Id="rId501" Type="http://schemas.openxmlformats.org/officeDocument/2006/relationships/hyperlink" Target="mailto:cristian_ec40@hotmail.com" TargetMode="External"/><Relationship Id="rId543" Type="http://schemas.openxmlformats.org/officeDocument/2006/relationships/hyperlink" Target="mailto:administracion@mendoglass.com" TargetMode="External"/><Relationship Id="rId75" Type="http://schemas.openxmlformats.org/officeDocument/2006/relationships/hyperlink" Target="http://ee.ss/" TargetMode="External"/><Relationship Id="rId140" Type="http://schemas.openxmlformats.org/officeDocument/2006/relationships/hyperlink" Target="mailto:avc@scanianet.com.ar" TargetMode="External"/><Relationship Id="rId182" Type="http://schemas.openxmlformats.org/officeDocument/2006/relationships/hyperlink" Target="mailto:gasnat@speedy.com.ar" TargetMode="External"/><Relationship Id="rId378" Type="http://schemas.openxmlformats.org/officeDocument/2006/relationships/hyperlink" Target="mailto:frigorificomdelc@gmail.com" TargetMode="External"/><Relationship Id="rId403" Type="http://schemas.openxmlformats.org/officeDocument/2006/relationships/hyperlink" Target="mailto:dmarengo@pinturasaranjuez.com.ar" TargetMode="External"/><Relationship Id="rId6" Type="http://schemas.openxmlformats.org/officeDocument/2006/relationships/hyperlink" Target="mailto:administracion@lacasadelaimpresora.com.ar" TargetMode="External"/><Relationship Id="rId238" Type="http://schemas.openxmlformats.org/officeDocument/2006/relationships/hyperlink" Target="mailto:guimafrana@cmail.com" TargetMode="External"/><Relationship Id="rId445" Type="http://schemas.openxmlformats.org/officeDocument/2006/relationships/hyperlink" Target="mailto:ceferinomuca@hotmail.com" TargetMode="External"/><Relationship Id="rId487" Type="http://schemas.openxmlformats.org/officeDocument/2006/relationships/hyperlink" Target="mailto:consulgreenmendoza@gmail.com" TargetMode="External"/><Relationship Id="rId291" Type="http://schemas.openxmlformats.org/officeDocument/2006/relationships/hyperlink" Target="mailto:infocuyo@horizonsudamericana.com" TargetMode="External"/><Relationship Id="rId305" Type="http://schemas.openxmlformats.org/officeDocument/2006/relationships/hyperlink" Target="mailto:gestoriaambiental.mza@gmail.com" TargetMode="External"/><Relationship Id="rId347" Type="http://schemas.openxmlformats.org/officeDocument/2006/relationships/hyperlink" Target="mailto:mgottardini@quimicuy.com.ar" TargetMode="External"/><Relationship Id="rId512" Type="http://schemas.openxmlformats.org/officeDocument/2006/relationships/hyperlink" Target="mailto:adm@tapiz.com.ar" TargetMode="External"/><Relationship Id="rId44" Type="http://schemas.openxmlformats.org/officeDocument/2006/relationships/hyperlink" Target="mailto:ext.bordon@grupocepas.com,julieta.leis@grupocepas.com" TargetMode="External"/><Relationship Id="rId86" Type="http://schemas.openxmlformats.org/officeDocument/2006/relationships/hyperlink" Target="mailto:administracion@talleresbarbagallo.com" TargetMode="External"/><Relationship Id="rId151" Type="http://schemas.openxmlformats.org/officeDocument/2006/relationships/hyperlink" Target="mailto:administracion@estacionmasetto.com.ar" TargetMode="External"/><Relationship Id="rId389" Type="http://schemas.openxmlformats.org/officeDocument/2006/relationships/hyperlink" Target="mailto:fambrosio4@gmail.com" TargetMode="External"/><Relationship Id="rId554" Type="http://schemas.openxmlformats.org/officeDocument/2006/relationships/hyperlink" Target="mailto:octaviodascanio@gmail.com" TargetMode="External"/><Relationship Id="rId193" Type="http://schemas.openxmlformats.org/officeDocument/2006/relationships/hyperlink" Target="mailto:vidal@infovia.com.ar" TargetMode="External"/><Relationship Id="rId207" Type="http://schemas.openxmlformats.org/officeDocument/2006/relationships/hyperlink" Target="mailto:productosgp2018@gmail.com" TargetMode="External"/><Relationship Id="rId249" Type="http://schemas.openxmlformats.org/officeDocument/2006/relationships/hyperlink" Target="mailto:aamusri@yahoo.com.ar" TargetMode="External"/><Relationship Id="rId414" Type="http://schemas.openxmlformats.org/officeDocument/2006/relationships/hyperlink" Target="mailto:lic.verdaguer@hotmail.com" TargetMode="External"/><Relationship Id="rId456" Type="http://schemas.openxmlformats.org/officeDocument/2006/relationships/hyperlink" Target="mailto:administracion@in-media.com.ar" TargetMode="External"/><Relationship Id="rId498" Type="http://schemas.openxmlformats.org/officeDocument/2006/relationships/hyperlink" Target="mailto:lubricentrogarage182@gmail.com" TargetMode="External"/><Relationship Id="rId13" Type="http://schemas.openxmlformats.org/officeDocument/2006/relationships/hyperlink" Target="mailto:messina@transportesmessina.com.ar" TargetMode="External"/><Relationship Id="rId109" Type="http://schemas.openxmlformats.org/officeDocument/2006/relationships/hyperlink" Target="mailto:hugosantoni@hotmail.com" TargetMode="External"/><Relationship Id="rId260" Type="http://schemas.openxmlformats.org/officeDocument/2006/relationships/hyperlink" Target="mailto:benjaminperisehijo@speedy.com.ar" TargetMode="External"/><Relationship Id="rId316" Type="http://schemas.openxmlformats.org/officeDocument/2006/relationships/hyperlink" Target="mailto:hugo.baldin@gmail.com" TargetMode="External"/><Relationship Id="rId523" Type="http://schemas.openxmlformats.org/officeDocument/2006/relationships/hyperlink" Target="mailto:lubritodosa@yahoo.com.ar" TargetMode="External"/><Relationship Id="rId55" Type="http://schemas.openxmlformats.org/officeDocument/2006/relationships/hyperlink" Target="mailto:ecordon@gencosa.com.ar" TargetMode="External"/><Relationship Id="rId97" Type="http://schemas.openxmlformats.org/officeDocument/2006/relationships/hyperlink" Target="mailto:gerencia@motofun.com.ar" TargetMode="External"/><Relationship Id="rId120" Type="http://schemas.openxmlformats.org/officeDocument/2006/relationships/hyperlink" Target="mailto:soldyrect@yahoo.com.ar" TargetMode="External"/><Relationship Id="rId358" Type="http://schemas.openxmlformats.org/officeDocument/2006/relationships/hyperlink" Target="mailto:sergio.aed@yahoo.com.ar" TargetMode="External"/><Relationship Id="rId565" Type="http://schemas.openxmlformats.org/officeDocument/2006/relationships/hyperlink" Target="mailto:tanquestyt@gmail.com" TargetMode="External"/><Relationship Id="rId162" Type="http://schemas.openxmlformats.org/officeDocument/2006/relationships/hyperlink" Target="mailto:mendozafundacional@hotmail.com" TargetMode="External"/><Relationship Id="rId218" Type="http://schemas.openxmlformats.org/officeDocument/2006/relationships/hyperlink" Target="mailto:allubhnos@allubhnossrl.com.ar" TargetMode="External"/><Relationship Id="rId425" Type="http://schemas.openxmlformats.org/officeDocument/2006/relationships/hyperlink" Target="mailto:jorgeghiotti@hotmail.com" TargetMode="External"/><Relationship Id="rId467" Type="http://schemas.openxmlformats.org/officeDocument/2006/relationships/hyperlink" Target="mailto:tanquestyt@gmail.com" TargetMode="External"/><Relationship Id="rId271" Type="http://schemas.openxmlformats.org/officeDocument/2006/relationships/hyperlink" Target="mailto:lic.verdaguer@hotmail.com" TargetMode="External"/><Relationship Id="rId24" Type="http://schemas.openxmlformats.org/officeDocument/2006/relationships/hyperlink" Target="mailto:informes@saint-gobain.com" TargetMode="External"/><Relationship Id="rId66" Type="http://schemas.openxmlformats.org/officeDocument/2006/relationships/hyperlink" Target="mailto:info@ecsa.com.ar" TargetMode="External"/><Relationship Id="rId131" Type="http://schemas.openxmlformats.org/officeDocument/2006/relationships/hyperlink" Target="mailto:carolina@eloyguerrero.com.ar" TargetMode="External"/><Relationship Id="rId327" Type="http://schemas.openxmlformats.org/officeDocument/2006/relationships/hyperlink" Target="mailto:pariente.hugo@gmail.com" TargetMode="External"/><Relationship Id="rId369" Type="http://schemas.openxmlformats.org/officeDocument/2006/relationships/hyperlink" Target="mailto:licverdaguer@hotmail.com" TargetMode="External"/><Relationship Id="rId534" Type="http://schemas.openxmlformats.org/officeDocument/2006/relationships/hyperlink" Target="mailto:estacion.artigas.mza@gmail.com" TargetMode="External"/><Relationship Id="rId173" Type="http://schemas.openxmlformats.org/officeDocument/2006/relationships/hyperlink" Target="mailto:jantonio@greensa.com.ar" TargetMode="External"/><Relationship Id="rId229" Type="http://schemas.openxmlformats.org/officeDocument/2006/relationships/hyperlink" Target="mailto:malentachi@nttec.com.ar" TargetMode="External"/><Relationship Id="rId380" Type="http://schemas.openxmlformats.org/officeDocument/2006/relationships/hyperlink" Target="mailto:consulgreenmendoza@gmail.com" TargetMode="External"/><Relationship Id="rId436" Type="http://schemas.openxmlformats.org/officeDocument/2006/relationships/hyperlink" Target="mailto:agruppi@gruppiehijos.com.ar" TargetMode="External"/><Relationship Id="rId240" Type="http://schemas.openxmlformats.org/officeDocument/2006/relationships/hyperlink" Target="mailto:ricardowaltervazquez@hotmail.com" TargetMode="External"/><Relationship Id="rId478" Type="http://schemas.openxmlformats.org/officeDocument/2006/relationships/hyperlink" Target="mailto:marcostaller1357@gmail.com" TargetMode="External"/><Relationship Id="rId35" Type="http://schemas.openxmlformats.org/officeDocument/2006/relationships/hyperlink" Target="mailto:higiene_seguridad@catainternacional.com" TargetMode="External"/><Relationship Id="rId77" Type="http://schemas.openxmlformats.org/officeDocument/2006/relationships/hyperlink" Target="mailto:chivatomza69@gmail.com" TargetMode="External"/><Relationship Id="rId100" Type="http://schemas.openxmlformats.org/officeDocument/2006/relationships/hyperlink" Target="mailto:centroinsumos@hotmail.com" TargetMode="External"/><Relationship Id="rId282" Type="http://schemas.openxmlformats.org/officeDocument/2006/relationships/hyperlink" Target="mailto:gestoriaambiental.mza@gmail.com" TargetMode="External"/><Relationship Id="rId338" Type="http://schemas.openxmlformats.org/officeDocument/2006/relationships/hyperlink" Target="mailto:vbravomellado@gmail.com" TargetMode="External"/><Relationship Id="rId503" Type="http://schemas.openxmlformats.org/officeDocument/2006/relationships/hyperlink" Target="mailto:servilubs.a@live.com.ar" TargetMode="External"/><Relationship Id="rId545" Type="http://schemas.openxmlformats.org/officeDocument/2006/relationships/hyperlink" Target="mailto:lapostadcastilla@gmail.com" TargetMode="External"/><Relationship Id="rId8" Type="http://schemas.openxmlformats.org/officeDocument/2006/relationships/hyperlink" Target="mailto:servicentrovicino@gmail.com" TargetMode="External"/><Relationship Id="rId142" Type="http://schemas.openxmlformats.org/officeDocument/2006/relationships/hyperlink" Target="mailto:cferraris_1@hotmail.com" TargetMode="External"/><Relationship Id="rId184" Type="http://schemas.openxmlformats.org/officeDocument/2006/relationships/hyperlink" Target="mailto:induserolaiz@valsinectis.com.ar" TargetMode="External"/><Relationship Id="rId391" Type="http://schemas.openxmlformats.org/officeDocument/2006/relationships/hyperlink" Target="mailto:ivangel1@hotmail.com" TargetMode="External"/><Relationship Id="rId405" Type="http://schemas.openxmlformats.org/officeDocument/2006/relationships/hyperlink" Target="mailto:mario.carra@yahoo.com.ar" TargetMode="External"/><Relationship Id="rId447" Type="http://schemas.openxmlformats.org/officeDocument/2006/relationships/hyperlink" Target="mailto:lubricarcalderon@hotmail.com" TargetMode="External"/><Relationship Id="rId251" Type="http://schemas.openxmlformats.org/officeDocument/2006/relationships/hyperlink" Target="mailto:eytlapuntillasrl@gmail.com" TargetMode="External"/><Relationship Id="rId489" Type="http://schemas.openxmlformats.org/officeDocument/2006/relationships/hyperlink" Target="mailto:anticipar3@gmail.com" TargetMode="External"/><Relationship Id="rId46" Type="http://schemas.openxmlformats.org/officeDocument/2006/relationships/hyperlink" Target="mailto:parquecombustibles@gmail.com" TargetMode="External"/><Relationship Id="rId293" Type="http://schemas.openxmlformats.org/officeDocument/2006/relationships/hyperlink" Target="mailto:nazarenosanchez08@hotmail.com" TargetMode="External"/><Relationship Id="rId307" Type="http://schemas.openxmlformats.org/officeDocument/2006/relationships/hyperlink" Target="mailto:jmbello@denverauto.com.ar" TargetMode="External"/><Relationship Id="rId349" Type="http://schemas.openxmlformats.org/officeDocument/2006/relationships/hyperlink" Target="mailto:alessandrellovale17@gmail.com" TargetMode="External"/><Relationship Id="rId514" Type="http://schemas.openxmlformats.org/officeDocument/2006/relationships/hyperlink" Target="mailto:oestecnica@yahoo.com.ar" TargetMode="External"/><Relationship Id="rId556" Type="http://schemas.openxmlformats.org/officeDocument/2006/relationships/hyperlink" Target="mailto:vnlombardo@gmail.com" TargetMode="External"/><Relationship Id="rId88" Type="http://schemas.openxmlformats.org/officeDocument/2006/relationships/hyperlink" Target="mailto:instancopy@yahoo.com.ar" TargetMode="External"/><Relationship Id="rId111" Type="http://schemas.openxmlformats.org/officeDocument/2006/relationships/hyperlink" Target="mailto:comunicacionesoficiales@pluspetrol.net" TargetMode="External"/><Relationship Id="rId153" Type="http://schemas.openxmlformats.org/officeDocument/2006/relationships/hyperlink" Target="mailto:grupoaccion@fedacom.com.ar" TargetMode="External"/><Relationship Id="rId195" Type="http://schemas.openxmlformats.org/officeDocument/2006/relationships/hyperlink" Target="mailto:liris.ambiente@gmail.com" TargetMode="External"/><Relationship Id="rId209" Type="http://schemas.openxmlformats.org/officeDocument/2006/relationships/hyperlink" Target="mailto:maria_rita_juan@hotmail.com" TargetMode="External"/><Relationship Id="rId360" Type="http://schemas.openxmlformats.org/officeDocument/2006/relationships/hyperlink" Target="mailto:higiniogarciaacosta@gmail.com" TargetMode="External"/><Relationship Id="rId416" Type="http://schemas.openxmlformats.org/officeDocument/2006/relationships/hyperlink" Target="mailto:urquizaplasticos@gmail.com" TargetMode="External"/><Relationship Id="rId220" Type="http://schemas.openxmlformats.org/officeDocument/2006/relationships/hyperlink" Target="mailto:tamerindsa@tamerindsa.com.ar" TargetMode="External"/><Relationship Id="rId458" Type="http://schemas.openxmlformats.org/officeDocument/2006/relationships/hyperlink" Target="mailto:lic.verdaguer@hotmail.com" TargetMode="External"/><Relationship Id="rId15" Type="http://schemas.openxmlformats.org/officeDocument/2006/relationships/hyperlink" Target="mailto:impremax@arlinkbbt.com.ar" TargetMode="External"/><Relationship Id="rId57" Type="http://schemas.openxmlformats.org/officeDocument/2006/relationships/hyperlink" Target="mailto:godoyhnos@hotmail.com" TargetMode="External"/><Relationship Id="rId262" Type="http://schemas.openxmlformats.org/officeDocument/2006/relationships/hyperlink" Target="mailto:info@magmaandina.com.ar" TargetMode="External"/><Relationship Id="rId318" Type="http://schemas.openxmlformats.org/officeDocument/2006/relationships/hyperlink" Target="mailto:luisboggia22@gmail.com" TargetMode="External"/><Relationship Id="rId525" Type="http://schemas.openxmlformats.org/officeDocument/2006/relationships/hyperlink" Target="mailto:vbravo@cartellone.com.ar" TargetMode="External"/><Relationship Id="rId567" Type="http://schemas.openxmlformats.org/officeDocument/2006/relationships/hyperlink" Target="mailto:asabatinihys@gmail.com" TargetMode="External"/><Relationship Id="rId99" Type="http://schemas.openxmlformats.org/officeDocument/2006/relationships/hyperlink" Target="mailto:gestoriaambiental.mza@gmail.com" TargetMode="External"/><Relationship Id="rId122" Type="http://schemas.openxmlformats.org/officeDocument/2006/relationships/hyperlink" Target="mailto:argservice@hotmail.com" TargetMode="External"/><Relationship Id="rId164" Type="http://schemas.openxmlformats.org/officeDocument/2006/relationships/hyperlink" Target="mailto:rgisbert@cuyoplacas.com.ar" TargetMode="External"/><Relationship Id="rId371" Type="http://schemas.openxmlformats.org/officeDocument/2006/relationships/hyperlink" Target="mailto:cantera-porcili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7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17.42578125" customWidth="1"/>
    <col min="2" max="2" width="37.7109375" customWidth="1"/>
    <col min="3" max="3" width="39.7109375" customWidth="1"/>
    <col min="4" max="4" width="19.5703125" customWidth="1"/>
    <col min="5" max="10" width="18.140625" customWidth="1"/>
    <col min="11" max="11" width="18" customWidth="1"/>
    <col min="12" max="12" width="18.140625" customWidth="1"/>
    <col min="13" max="13" width="32.140625" customWidth="1"/>
    <col min="14" max="14" width="17.7109375" customWidth="1"/>
    <col min="15" max="15" width="20" customWidth="1"/>
    <col min="16" max="16" width="19.85546875" customWidth="1"/>
    <col min="17" max="17" width="15.5703125" customWidth="1"/>
    <col min="18" max="18" width="14.5703125" customWidth="1"/>
    <col min="19" max="19" width="14.7109375" hidden="1" customWidth="1"/>
    <col min="20" max="20" width="13.28515625" customWidth="1"/>
    <col min="21" max="21" width="12.7109375" hidden="1" customWidth="1"/>
    <col min="22" max="22" width="16" hidden="1" customWidth="1"/>
    <col min="23" max="23" width="19.42578125" customWidth="1"/>
    <col min="24" max="24" width="16.28515625" customWidth="1"/>
    <col min="25" max="25" width="13" customWidth="1"/>
    <col min="26" max="26" width="15.5703125" customWidth="1"/>
    <col min="27" max="27" width="13.5703125" customWidth="1"/>
    <col min="28" max="28" width="15.85546875" customWidth="1"/>
    <col min="29" max="30" width="15.42578125" customWidth="1"/>
    <col min="31" max="46" width="11.42578125" customWidth="1"/>
  </cols>
  <sheetData>
    <row r="1" spans="1:46" ht="47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5" t="s">
        <v>20</v>
      </c>
      <c r="V1" s="9" t="s">
        <v>21</v>
      </c>
      <c r="W1" s="10" t="s">
        <v>22</v>
      </c>
      <c r="X1" s="1" t="s">
        <v>23</v>
      </c>
      <c r="Y1" s="1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ht="45" customHeight="1">
      <c r="A2" s="12" t="s">
        <v>30</v>
      </c>
      <c r="B2" s="13" t="s">
        <v>31</v>
      </c>
      <c r="C2" s="14" t="s">
        <v>32</v>
      </c>
      <c r="D2" s="15" t="s">
        <v>33</v>
      </c>
      <c r="E2" s="15" t="s">
        <v>34</v>
      </c>
      <c r="F2" s="15" t="s">
        <v>35</v>
      </c>
      <c r="G2" s="15" t="s">
        <v>36</v>
      </c>
      <c r="H2" s="15" t="s">
        <v>37</v>
      </c>
      <c r="I2" s="15" t="s">
        <v>38</v>
      </c>
      <c r="J2" s="15" t="s">
        <v>39</v>
      </c>
      <c r="K2" s="15" t="s">
        <v>40</v>
      </c>
      <c r="L2" s="15" t="s">
        <v>41</v>
      </c>
      <c r="M2" s="16" t="s">
        <v>42</v>
      </c>
      <c r="N2" s="13" t="s">
        <v>43</v>
      </c>
      <c r="O2" s="13"/>
      <c r="P2" s="15" t="s">
        <v>44</v>
      </c>
      <c r="Q2" s="17" t="s">
        <v>45</v>
      </c>
      <c r="R2" s="18">
        <v>242</v>
      </c>
      <c r="S2" s="19">
        <f t="shared" ref="S2:S11" si="0">162*R2</f>
        <v>39204</v>
      </c>
      <c r="T2" s="12" t="s">
        <v>46</v>
      </c>
      <c r="U2" s="15"/>
      <c r="V2" s="19">
        <v>44610</v>
      </c>
      <c r="W2" s="15" t="s">
        <v>47</v>
      </c>
      <c r="X2" s="13">
        <v>1122009</v>
      </c>
      <c r="Y2" s="20">
        <v>3115240</v>
      </c>
      <c r="Z2" s="13">
        <v>3906505</v>
      </c>
      <c r="AA2" s="13">
        <v>4752924</v>
      </c>
      <c r="AB2" s="13"/>
      <c r="AC2" s="15">
        <v>5611483</v>
      </c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45" customHeight="1">
      <c r="A3" s="12" t="s">
        <v>48</v>
      </c>
      <c r="B3" s="13" t="s">
        <v>49</v>
      </c>
      <c r="C3" s="14" t="s">
        <v>50</v>
      </c>
      <c r="D3" s="15" t="s">
        <v>33</v>
      </c>
      <c r="E3" s="15" t="s">
        <v>34</v>
      </c>
      <c r="F3" s="15" t="s">
        <v>35</v>
      </c>
      <c r="G3" s="15" t="s">
        <v>51</v>
      </c>
      <c r="H3" s="15" t="s">
        <v>52</v>
      </c>
      <c r="I3" s="15" t="s">
        <v>53</v>
      </c>
      <c r="J3" s="15" t="s">
        <v>54</v>
      </c>
      <c r="K3" s="15" t="s">
        <v>55</v>
      </c>
      <c r="L3" s="15" t="s">
        <v>38</v>
      </c>
      <c r="M3" s="16" t="s">
        <v>42</v>
      </c>
      <c r="N3" s="13" t="s">
        <v>43</v>
      </c>
      <c r="O3" s="13"/>
      <c r="P3" s="15" t="s">
        <v>44</v>
      </c>
      <c r="Q3" s="17" t="s">
        <v>56</v>
      </c>
      <c r="R3" s="18">
        <v>297</v>
      </c>
      <c r="S3" s="19">
        <f t="shared" si="0"/>
        <v>48114</v>
      </c>
      <c r="T3" s="12" t="s">
        <v>46</v>
      </c>
      <c r="U3" s="15"/>
      <c r="V3" s="19">
        <v>44610</v>
      </c>
      <c r="W3" s="15" t="s">
        <v>47</v>
      </c>
      <c r="X3" s="13">
        <v>1121975</v>
      </c>
      <c r="Y3" s="20">
        <v>3115206</v>
      </c>
      <c r="Z3" s="13">
        <v>3905700</v>
      </c>
      <c r="AA3" s="13">
        <v>4753054</v>
      </c>
      <c r="AB3" s="13"/>
      <c r="AC3" s="15">
        <v>5611554</v>
      </c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</row>
    <row r="4" spans="1:46" ht="51" customHeight="1">
      <c r="A4" s="21" t="s">
        <v>57</v>
      </c>
      <c r="B4" s="22" t="s">
        <v>58</v>
      </c>
      <c r="C4" s="23" t="s">
        <v>59</v>
      </c>
      <c r="D4" s="24" t="s">
        <v>60</v>
      </c>
      <c r="E4" s="24" t="s">
        <v>61</v>
      </c>
      <c r="F4" s="24" t="s">
        <v>62</v>
      </c>
      <c r="G4" s="24" t="s">
        <v>63</v>
      </c>
      <c r="H4" s="24" t="s">
        <v>64</v>
      </c>
      <c r="I4" s="24" t="s">
        <v>65</v>
      </c>
      <c r="J4" s="24" t="s">
        <v>63</v>
      </c>
      <c r="K4" s="24" t="s">
        <v>64</v>
      </c>
      <c r="L4" s="24" t="s">
        <v>65</v>
      </c>
      <c r="M4" s="25" t="s">
        <v>66</v>
      </c>
      <c r="N4" s="22" t="s">
        <v>67</v>
      </c>
      <c r="O4" s="26">
        <v>46288</v>
      </c>
      <c r="P4" s="27" t="s">
        <v>68</v>
      </c>
      <c r="Q4" s="28" t="s">
        <v>69</v>
      </c>
      <c r="R4" s="29">
        <v>126988</v>
      </c>
      <c r="S4" s="30">
        <f t="shared" si="0"/>
        <v>20572056</v>
      </c>
      <c r="T4" s="21" t="s">
        <v>70</v>
      </c>
      <c r="U4" s="24"/>
      <c r="V4" s="30">
        <f>S4/2</f>
        <v>10286028</v>
      </c>
      <c r="W4" s="24" t="s">
        <v>71</v>
      </c>
      <c r="X4" s="22">
        <v>1009096</v>
      </c>
      <c r="Y4" s="31"/>
      <c r="Z4" s="22">
        <v>3834605</v>
      </c>
      <c r="AA4" s="22">
        <v>4694731</v>
      </c>
      <c r="AB4" s="22"/>
      <c r="AC4" s="24">
        <v>5539872</v>
      </c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</row>
    <row r="5" spans="1:46" ht="45" customHeight="1">
      <c r="A5" s="32" t="s">
        <v>72</v>
      </c>
      <c r="B5" s="33" t="s">
        <v>73</v>
      </c>
      <c r="C5" s="34" t="s">
        <v>74</v>
      </c>
      <c r="D5" s="35" t="s">
        <v>75</v>
      </c>
      <c r="E5" s="35" t="s">
        <v>76</v>
      </c>
      <c r="F5" s="35" t="s">
        <v>77</v>
      </c>
      <c r="G5" s="35" t="s">
        <v>78</v>
      </c>
      <c r="H5" s="35" t="s">
        <v>79</v>
      </c>
      <c r="I5" s="35" t="s">
        <v>80</v>
      </c>
      <c r="J5" s="35" t="s">
        <v>78</v>
      </c>
      <c r="K5" s="35" t="s">
        <v>79</v>
      </c>
      <c r="L5" s="35" t="s">
        <v>80</v>
      </c>
      <c r="M5" s="36" t="s">
        <v>81</v>
      </c>
      <c r="N5" s="33" t="s">
        <v>82</v>
      </c>
      <c r="O5" s="33"/>
      <c r="P5" s="35" t="s">
        <v>83</v>
      </c>
      <c r="Q5" s="37" t="s">
        <v>84</v>
      </c>
      <c r="R5" s="38">
        <v>414</v>
      </c>
      <c r="S5" s="39">
        <f t="shared" si="0"/>
        <v>67068</v>
      </c>
      <c r="T5" s="40" t="s">
        <v>46</v>
      </c>
      <c r="U5" s="35"/>
      <c r="V5" s="39">
        <v>44610</v>
      </c>
      <c r="W5" s="35"/>
      <c r="X5" s="33"/>
      <c r="Y5" s="41"/>
      <c r="Z5" s="33"/>
      <c r="AA5" s="33"/>
      <c r="AB5" s="33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ht="45" customHeight="1">
      <c r="A6" s="21" t="s">
        <v>85</v>
      </c>
      <c r="B6" s="22" t="s">
        <v>86</v>
      </c>
      <c r="C6" s="23" t="s">
        <v>87</v>
      </c>
      <c r="D6" s="24" t="s">
        <v>88</v>
      </c>
      <c r="E6" s="24" t="s">
        <v>34</v>
      </c>
      <c r="F6" s="42" t="s">
        <v>35</v>
      </c>
      <c r="G6" s="24" t="s">
        <v>89</v>
      </c>
      <c r="H6" s="24" t="s">
        <v>52</v>
      </c>
      <c r="I6" s="24" t="s">
        <v>53</v>
      </c>
      <c r="J6" s="24" t="s">
        <v>90</v>
      </c>
      <c r="K6" s="24" t="s">
        <v>91</v>
      </c>
      <c r="L6" s="24" t="s">
        <v>41</v>
      </c>
      <c r="M6" s="43" t="s">
        <v>92</v>
      </c>
      <c r="N6" s="22" t="s">
        <v>93</v>
      </c>
      <c r="O6" s="26">
        <v>46263</v>
      </c>
      <c r="P6" s="24" t="s">
        <v>94</v>
      </c>
      <c r="Q6" s="28" t="s">
        <v>95</v>
      </c>
      <c r="R6" s="29">
        <v>2230</v>
      </c>
      <c r="S6" s="30">
        <f t="shared" si="0"/>
        <v>361260</v>
      </c>
      <c r="T6" s="21" t="s">
        <v>96</v>
      </c>
      <c r="U6" s="24"/>
      <c r="V6" s="44">
        <v>184080</v>
      </c>
      <c r="W6" s="45" t="s">
        <v>71</v>
      </c>
      <c r="X6" s="22">
        <v>1128706</v>
      </c>
      <c r="Y6" s="31">
        <v>3112610</v>
      </c>
      <c r="Z6" s="22">
        <v>3901818</v>
      </c>
      <c r="AA6" s="22">
        <v>4749217</v>
      </c>
      <c r="AB6" s="22"/>
      <c r="AC6" s="45">
        <v>5636600</v>
      </c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</row>
    <row r="7" spans="1:46" ht="45" customHeight="1">
      <c r="A7" s="21" t="s">
        <v>97</v>
      </c>
      <c r="B7" s="22" t="s">
        <v>98</v>
      </c>
      <c r="C7" s="23" t="s">
        <v>99</v>
      </c>
      <c r="D7" s="24" t="s">
        <v>100</v>
      </c>
      <c r="E7" s="24" t="s">
        <v>34</v>
      </c>
      <c r="F7" s="24" t="s">
        <v>35</v>
      </c>
      <c r="G7" s="24" t="s">
        <v>101</v>
      </c>
      <c r="H7" s="24" t="s">
        <v>52</v>
      </c>
      <c r="I7" s="24" t="s">
        <v>53</v>
      </c>
      <c r="J7" s="24" t="s">
        <v>102</v>
      </c>
      <c r="K7" s="24" t="s">
        <v>103</v>
      </c>
      <c r="L7" s="24" t="s">
        <v>41</v>
      </c>
      <c r="M7" s="43" t="s">
        <v>92</v>
      </c>
      <c r="N7" s="22" t="s">
        <v>93</v>
      </c>
      <c r="O7" s="26">
        <v>46263</v>
      </c>
      <c r="P7" s="24" t="s">
        <v>94</v>
      </c>
      <c r="Q7" s="28" t="s">
        <v>104</v>
      </c>
      <c r="R7" s="29">
        <v>4649</v>
      </c>
      <c r="S7" s="30">
        <f t="shared" si="0"/>
        <v>753138</v>
      </c>
      <c r="T7" s="21" t="s">
        <v>105</v>
      </c>
      <c r="U7" s="24"/>
      <c r="V7" s="30">
        <v>736320</v>
      </c>
      <c r="W7" s="45" t="s">
        <v>71</v>
      </c>
      <c r="X7" s="22">
        <v>1128816</v>
      </c>
      <c r="Y7" s="31">
        <v>3112543</v>
      </c>
      <c r="Z7" s="22">
        <v>3901568</v>
      </c>
      <c r="AA7" s="22">
        <v>4751638</v>
      </c>
      <c r="AB7" s="22"/>
      <c r="AC7" s="45">
        <v>5636633</v>
      </c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</row>
    <row r="8" spans="1:46" ht="45" customHeight="1">
      <c r="A8" s="12" t="s">
        <v>106</v>
      </c>
      <c r="B8" s="13" t="s">
        <v>107</v>
      </c>
      <c r="C8" s="14" t="s">
        <v>108</v>
      </c>
      <c r="D8" s="15" t="s">
        <v>109</v>
      </c>
      <c r="E8" s="15" t="s">
        <v>110</v>
      </c>
      <c r="F8" s="15" t="s">
        <v>111</v>
      </c>
      <c r="G8" s="15" t="s">
        <v>112</v>
      </c>
      <c r="H8" s="15" t="s">
        <v>52</v>
      </c>
      <c r="I8" s="15" t="s">
        <v>53</v>
      </c>
      <c r="J8" s="15" t="s">
        <v>113</v>
      </c>
      <c r="K8" s="15" t="s">
        <v>114</v>
      </c>
      <c r="L8" s="15" t="s">
        <v>115</v>
      </c>
      <c r="M8" s="46" t="s">
        <v>116</v>
      </c>
      <c r="N8" s="13">
        <v>4253400</v>
      </c>
      <c r="O8" s="13"/>
      <c r="P8" s="15" t="s">
        <v>117</v>
      </c>
      <c r="Q8" s="17" t="s">
        <v>118</v>
      </c>
      <c r="R8" s="18">
        <v>237</v>
      </c>
      <c r="S8" s="19">
        <f t="shared" si="0"/>
        <v>38394</v>
      </c>
      <c r="T8" s="12" t="s">
        <v>46</v>
      </c>
      <c r="U8" s="15"/>
      <c r="V8" s="19">
        <v>44610</v>
      </c>
      <c r="W8" s="15" t="s">
        <v>71</v>
      </c>
      <c r="X8" s="13"/>
      <c r="Y8" s="20">
        <v>3083141</v>
      </c>
      <c r="Z8" s="13">
        <v>3887826</v>
      </c>
      <c r="AA8" s="13">
        <v>4701973</v>
      </c>
      <c r="AB8" s="13"/>
      <c r="AC8" s="15">
        <v>5528927</v>
      </c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ht="45" customHeight="1">
      <c r="A9" s="12" t="s">
        <v>119</v>
      </c>
      <c r="B9" s="47" t="s">
        <v>120</v>
      </c>
      <c r="C9" s="14" t="s">
        <v>121</v>
      </c>
      <c r="D9" s="15" t="s">
        <v>122</v>
      </c>
      <c r="E9" s="15" t="s">
        <v>123</v>
      </c>
      <c r="F9" s="15" t="s">
        <v>111</v>
      </c>
      <c r="G9" s="15" t="s">
        <v>124</v>
      </c>
      <c r="H9" s="15" t="s">
        <v>125</v>
      </c>
      <c r="I9" s="15" t="s">
        <v>115</v>
      </c>
      <c r="J9" s="15" t="s">
        <v>124</v>
      </c>
      <c r="K9" s="15" t="s">
        <v>125</v>
      </c>
      <c r="L9" s="15" t="s">
        <v>115</v>
      </c>
      <c r="M9" s="48" t="s">
        <v>126</v>
      </c>
      <c r="N9" s="47" t="s">
        <v>127</v>
      </c>
      <c r="O9" s="13"/>
      <c r="P9" s="15" t="s">
        <v>117</v>
      </c>
      <c r="Q9" s="17" t="s">
        <v>128</v>
      </c>
      <c r="R9" s="18">
        <v>3478</v>
      </c>
      <c r="S9" s="19">
        <f t="shared" si="0"/>
        <v>563436</v>
      </c>
      <c r="T9" s="12" t="s">
        <v>129</v>
      </c>
      <c r="U9" s="15"/>
      <c r="V9" s="19">
        <v>545160</v>
      </c>
      <c r="W9" s="15"/>
      <c r="X9" s="13"/>
      <c r="Y9" s="20"/>
      <c r="Z9" s="13">
        <v>3866718</v>
      </c>
      <c r="AA9" s="13"/>
      <c r="AB9" s="13"/>
      <c r="AC9" s="49" t="s">
        <v>130</v>
      </c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</row>
    <row r="10" spans="1:46" ht="45" customHeight="1">
      <c r="A10" s="21" t="s">
        <v>131</v>
      </c>
      <c r="B10" s="22" t="s">
        <v>132</v>
      </c>
      <c r="C10" s="23" t="s">
        <v>133</v>
      </c>
      <c r="D10" s="24" t="s">
        <v>134</v>
      </c>
      <c r="E10" s="24" t="s">
        <v>135</v>
      </c>
      <c r="F10" s="24" t="s">
        <v>62</v>
      </c>
      <c r="G10" s="24" t="s">
        <v>136</v>
      </c>
      <c r="H10" s="24" t="s">
        <v>137</v>
      </c>
      <c r="I10" s="24" t="s">
        <v>38</v>
      </c>
      <c r="J10" s="24" t="s">
        <v>136</v>
      </c>
      <c r="K10" s="24" t="s">
        <v>137</v>
      </c>
      <c r="L10" s="24" t="s">
        <v>38</v>
      </c>
      <c r="M10" s="25" t="s">
        <v>138</v>
      </c>
      <c r="N10" s="22" t="s">
        <v>139</v>
      </c>
      <c r="O10" s="26">
        <v>45789</v>
      </c>
      <c r="P10" s="24" t="s">
        <v>140</v>
      </c>
      <c r="Q10" s="28" t="s">
        <v>141</v>
      </c>
      <c r="R10" s="29">
        <v>62958</v>
      </c>
      <c r="S10" s="30">
        <f t="shared" si="0"/>
        <v>10199196</v>
      </c>
      <c r="T10" s="21" t="s">
        <v>70</v>
      </c>
      <c r="U10" s="24"/>
      <c r="V10" s="30">
        <f>S10/2</f>
        <v>5099598</v>
      </c>
      <c r="W10" s="24" t="s">
        <v>71</v>
      </c>
      <c r="X10" s="22">
        <v>1010896</v>
      </c>
      <c r="Y10" s="31"/>
      <c r="Z10" s="22">
        <v>3829586</v>
      </c>
      <c r="AA10" s="22">
        <v>4672979</v>
      </c>
      <c r="AB10" s="22"/>
      <c r="AC10" s="24">
        <v>5548064</v>
      </c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</row>
    <row r="11" spans="1:46" ht="45" customHeight="1">
      <c r="A11" s="50" t="s">
        <v>142</v>
      </c>
      <c r="B11" s="51" t="s">
        <v>143</v>
      </c>
      <c r="C11" s="52" t="s">
        <v>144</v>
      </c>
      <c r="D11" s="53" t="s">
        <v>145</v>
      </c>
      <c r="E11" s="53" t="s">
        <v>146</v>
      </c>
      <c r="F11" s="53" t="s">
        <v>147</v>
      </c>
      <c r="G11" s="53" t="s">
        <v>148</v>
      </c>
      <c r="H11" s="53"/>
      <c r="I11" s="53" t="s">
        <v>149</v>
      </c>
      <c r="J11" s="53" t="s">
        <v>148</v>
      </c>
      <c r="K11" s="53"/>
      <c r="L11" s="53" t="s">
        <v>149</v>
      </c>
      <c r="M11" s="54" t="s">
        <v>150</v>
      </c>
      <c r="N11" s="51"/>
      <c r="O11" s="51"/>
      <c r="P11" s="53" t="s">
        <v>151</v>
      </c>
      <c r="Q11" s="55" t="s">
        <v>152</v>
      </c>
      <c r="R11" s="56">
        <v>80</v>
      </c>
      <c r="S11" s="57">
        <f t="shared" si="0"/>
        <v>12960</v>
      </c>
      <c r="T11" s="50" t="s">
        <v>46</v>
      </c>
      <c r="U11" s="53"/>
      <c r="V11" s="57">
        <v>44610</v>
      </c>
      <c r="W11" s="53"/>
      <c r="X11" s="51"/>
      <c r="Y11" s="58"/>
      <c r="Z11" s="51"/>
      <c r="AA11" s="51"/>
      <c r="AB11" s="51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</row>
    <row r="12" spans="1:46" ht="45" customHeight="1">
      <c r="A12" s="21" t="s">
        <v>153</v>
      </c>
      <c r="B12" s="22" t="s">
        <v>154</v>
      </c>
      <c r="C12" s="23" t="s">
        <v>155</v>
      </c>
      <c r="D12" s="24" t="s">
        <v>156</v>
      </c>
      <c r="E12" s="24" t="s">
        <v>157</v>
      </c>
      <c r="F12" s="24" t="s">
        <v>158</v>
      </c>
      <c r="G12" s="24" t="s">
        <v>159</v>
      </c>
      <c r="H12" s="24" t="s">
        <v>160</v>
      </c>
      <c r="I12" s="24" t="s">
        <v>149</v>
      </c>
      <c r="J12" s="24" t="s">
        <v>159</v>
      </c>
      <c r="K12" s="24" t="s">
        <v>161</v>
      </c>
      <c r="L12" s="24" t="s">
        <v>149</v>
      </c>
      <c r="M12" s="59" t="s">
        <v>162</v>
      </c>
      <c r="N12" s="22" t="s">
        <v>163</v>
      </c>
      <c r="O12" s="22"/>
      <c r="P12" s="24" t="s">
        <v>164</v>
      </c>
      <c r="Q12" s="28" t="s">
        <v>165</v>
      </c>
      <c r="R12" s="60">
        <v>30098.25</v>
      </c>
      <c r="S12" s="30">
        <f>162*R12</f>
        <v>4875916.5</v>
      </c>
      <c r="T12" s="21" t="s">
        <v>70</v>
      </c>
      <c r="U12" s="24"/>
      <c r="V12" s="30">
        <f>S12</f>
        <v>4875916.5</v>
      </c>
      <c r="W12" s="24" t="s">
        <v>71</v>
      </c>
      <c r="X12" s="22">
        <v>1036165</v>
      </c>
      <c r="Y12" s="31"/>
      <c r="Z12" s="22">
        <v>3836703</v>
      </c>
      <c r="AA12" s="22"/>
      <c r="AB12" s="22"/>
      <c r="AC12" s="24">
        <v>5558851</v>
      </c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</row>
    <row r="13" spans="1:46" ht="45" customHeight="1">
      <c r="A13" s="21" t="s">
        <v>166</v>
      </c>
      <c r="B13" s="22" t="s">
        <v>167</v>
      </c>
      <c r="C13" s="61" t="s">
        <v>168</v>
      </c>
      <c r="D13" s="24" t="s">
        <v>169</v>
      </c>
      <c r="E13" s="24" t="s">
        <v>170</v>
      </c>
      <c r="F13" s="24" t="s">
        <v>77</v>
      </c>
      <c r="G13" s="24" t="s">
        <v>171</v>
      </c>
      <c r="H13" s="24" t="s">
        <v>137</v>
      </c>
      <c r="I13" s="24" t="s">
        <v>38</v>
      </c>
      <c r="J13" s="24" t="s">
        <v>171</v>
      </c>
      <c r="K13" s="24" t="s">
        <v>137</v>
      </c>
      <c r="L13" s="24" t="s">
        <v>38</v>
      </c>
      <c r="M13" s="25" t="s">
        <v>172</v>
      </c>
      <c r="N13" s="22" t="s">
        <v>173</v>
      </c>
      <c r="O13" s="26">
        <v>46216</v>
      </c>
      <c r="P13" s="24" t="s">
        <v>174</v>
      </c>
      <c r="Q13" s="28" t="s">
        <v>175</v>
      </c>
      <c r="R13" s="29">
        <v>286678</v>
      </c>
      <c r="S13" s="30">
        <f t="shared" ref="S13:S62" si="1">162*R13</f>
        <v>46441836</v>
      </c>
      <c r="T13" s="21" t="s">
        <v>70</v>
      </c>
      <c r="U13" s="24"/>
      <c r="V13" s="30">
        <f>+S13/2</f>
        <v>23220918</v>
      </c>
      <c r="W13" s="24" t="s">
        <v>71</v>
      </c>
      <c r="X13" s="22">
        <v>1039326</v>
      </c>
      <c r="Y13" s="31">
        <v>3119945</v>
      </c>
      <c r="Z13" s="22">
        <v>3868721</v>
      </c>
      <c r="AA13" s="22">
        <v>4744703</v>
      </c>
      <c r="AB13" s="22"/>
      <c r="AC13" s="24">
        <v>5589109</v>
      </c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</row>
    <row r="14" spans="1:46" ht="45" customHeight="1">
      <c r="A14" s="12" t="s">
        <v>176</v>
      </c>
      <c r="B14" s="13" t="s">
        <v>177</v>
      </c>
      <c r="C14" s="14" t="s">
        <v>178</v>
      </c>
      <c r="D14" s="15" t="s">
        <v>179</v>
      </c>
      <c r="E14" s="15" t="s">
        <v>180</v>
      </c>
      <c r="F14" s="15" t="s">
        <v>181</v>
      </c>
      <c r="G14" s="15" t="s">
        <v>182</v>
      </c>
      <c r="H14" s="15" t="s">
        <v>125</v>
      </c>
      <c r="I14" s="15" t="s">
        <v>115</v>
      </c>
      <c r="J14" s="15" t="s">
        <v>183</v>
      </c>
      <c r="K14" s="15" t="s">
        <v>125</v>
      </c>
      <c r="L14" s="15" t="s">
        <v>115</v>
      </c>
      <c r="M14" s="16" t="s">
        <v>184</v>
      </c>
      <c r="N14" s="47" t="s">
        <v>185</v>
      </c>
      <c r="O14" s="13"/>
      <c r="P14" s="15" t="s">
        <v>94</v>
      </c>
      <c r="Q14" s="17" t="s">
        <v>186</v>
      </c>
      <c r="R14" s="18">
        <v>181</v>
      </c>
      <c r="S14" s="19">
        <f t="shared" si="1"/>
        <v>29322</v>
      </c>
      <c r="T14" s="12" t="s">
        <v>46</v>
      </c>
      <c r="U14" s="15"/>
      <c r="V14" s="19">
        <v>44610</v>
      </c>
      <c r="W14" s="15" t="s">
        <v>71</v>
      </c>
      <c r="X14" s="13">
        <v>991107</v>
      </c>
      <c r="Y14" s="20">
        <v>3119891</v>
      </c>
      <c r="Z14" s="13">
        <v>3790349</v>
      </c>
      <c r="AA14" s="13">
        <v>4681568</v>
      </c>
      <c r="AB14" s="13"/>
      <c r="AC14" s="15">
        <v>5485763</v>
      </c>
      <c r="AD14" s="49">
        <v>6474427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 ht="45" customHeight="1">
      <c r="A15" s="21" t="s">
        <v>187</v>
      </c>
      <c r="B15" s="22" t="s">
        <v>188</v>
      </c>
      <c r="C15" s="23" t="s">
        <v>189</v>
      </c>
      <c r="D15" s="24" t="s">
        <v>190</v>
      </c>
      <c r="E15" s="24" t="s">
        <v>191</v>
      </c>
      <c r="F15" s="24" t="s">
        <v>35</v>
      </c>
      <c r="G15" s="24" t="s">
        <v>192</v>
      </c>
      <c r="H15" s="24" t="s">
        <v>193</v>
      </c>
      <c r="I15" s="24" t="s">
        <v>115</v>
      </c>
      <c r="J15" s="24" t="s">
        <v>192</v>
      </c>
      <c r="K15" s="24" t="s">
        <v>193</v>
      </c>
      <c r="L15" s="24" t="s">
        <v>115</v>
      </c>
      <c r="M15" s="59" t="s">
        <v>194</v>
      </c>
      <c r="N15" s="22" t="s">
        <v>195</v>
      </c>
      <c r="O15" s="62">
        <v>45974</v>
      </c>
      <c r="P15" s="24" t="s">
        <v>196</v>
      </c>
      <c r="Q15" s="28" t="s">
        <v>197</v>
      </c>
      <c r="R15" s="29">
        <v>1333</v>
      </c>
      <c r="S15" s="30">
        <f t="shared" si="1"/>
        <v>215946</v>
      </c>
      <c r="T15" s="21" t="s">
        <v>198</v>
      </c>
      <c r="U15" s="24"/>
      <c r="V15" s="44">
        <v>107970</v>
      </c>
      <c r="W15" s="24" t="s">
        <v>71</v>
      </c>
      <c r="X15" s="22">
        <v>1121316</v>
      </c>
      <c r="Y15" s="31">
        <v>3114698</v>
      </c>
      <c r="Z15" s="22">
        <v>3899636</v>
      </c>
      <c r="AA15" s="22">
        <v>4721138</v>
      </c>
      <c r="AB15" s="22"/>
      <c r="AC15" s="24">
        <v>5606183</v>
      </c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</row>
    <row r="16" spans="1:46" ht="45" customHeight="1">
      <c r="A16" s="40" t="s">
        <v>199</v>
      </c>
      <c r="B16" s="33" t="s">
        <v>200</v>
      </c>
      <c r="C16" s="34" t="s">
        <v>201</v>
      </c>
      <c r="D16" s="35" t="s">
        <v>202</v>
      </c>
      <c r="E16" s="35" t="s">
        <v>203</v>
      </c>
      <c r="F16" s="35" t="s">
        <v>204</v>
      </c>
      <c r="G16" s="35" t="s">
        <v>205</v>
      </c>
      <c r="H16" s="35" t="s">
        <v>52</v>
      </c>
      <c r="I16" s="35" t="s">
        <v>53</v>
      </c>
      <c r="J16" s="35" t="s">
        <v>205</v>
      </c>
      <c r="K16" s="35"/>
      <c r="L16" s="35" t="s">
        <v>206</v>
      </c>
      <c r="M16" s="36" t="s">
        <v>207</v>
      </c>
      <c r="N16" s="33">
        <v>4292755</v>
      </c>
      <c r="O16" s="33"/>
      <c r="P16" s="35" t="s">
        <v>151</v>
      </c>
      <c r="Q16" s="37" t="s">
        <v>208</v>
      </c>
      <c r="R16" s="38">
        <v>28</v>
      </c>
      <c r="S16" s="39">
        <f t="shared" si="1"/>
        <v>4536</v>
      </c>
      <c r="T16" s="40" t="s">
        <v>46</v>
      </c>
      <c r="U16" s="35"/>
      <c r="V16" s="39">
        <v>44610</v>
      </c>
      <c r="W16" s="35"/>
      <c r="X16" s="33"/>
      <c r="Y16" s="41"/>
      <c r="Z16" s="33"/>
      <c r="AA16" s="33"/>
      <c r="AB16" s="33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</row>
    <row r="17" spans="1:46" ht="45" customHeight="1">
      <c r="A17" s="12" t="s">
        <v>209</v>
      </c>
      <c r="B17" s="13" t="s">
        <v>210</v>
      </c>
      <c r="C17" s="14" t="s">
        <v>211</v>
      </c>
      <c r="D17" s="15" t="s">
        <v>212</v>
      </c>
      <c r="E17" s="15" t="s">
        <v>213</v>
      </c>
      <c r="F17" s="15" t="s">
        <v>62</v>
      </c>
      <c r="G17" s="15" t="s">
        <v>214</v>
      </c>
      <c r="H17" s="15" t="s">
        <v>52</v>
      </c>
      <c r="I17" s="15" t="s">
        <v>53</v>
      </c>
      <c r="J17" s="15" t="s">
        <v>215</v>
      </c>
      <c r="K17" s="15" t="s">
        <v>216</v>
      </c>
      <c r="L17" s="15" t="s">
        <v>149</v>
      </c>
      <c r="M17" s="16" t="s">
        <v>217</v>
      </c>
      <c r="N17" s="13" t="s">
        <v>218</v>
      </c>
      <c r="O17" s="13"/>
      <c r="P17" s="15" t="s">
        <v>219</v>
      </c>
      <c r="Q17" s="17" t="s">
        <v>220</v>
      </c>
      <c r="R17" s="18">
        <v>413</v>
      </c>
      <c r="S17" s="19">
        <f t="shared" si="1"/>
        <v>66906</v>
      </c>
      <c r="T17" s="12" t="s">
        <v>46</v>
      </c>
      <c r="U17" s="15"/>
      <c r="V17" s="19">
        <v>44610</v>
      </c>
      <c r="W17" s="15"/>
      <c r="X17" s="13"/>
      <c r="Y17" s="20">
        <v>3091798</v>
      </c>
      <c r="Z17" s="13"/>
      <c r="AA17" s="13">
        <v>4734363</v>
      </c>
      <c r="AB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 ht="45" customHeight="1">
      <c r="A18" s="21" t="s">
        <v>221</v>
      </c>
      <c r="B18" s="22" t="s">
        <v>222</v>
      </c>
      <c r="C18" s="23" t="s">
        <v>223</v>
      </c>
      <c r="D18" s="24" t="s">
        <v>224</v>
      </c>
      <c r="E18" s="24" t="s">
        <v>225</v>
      </c>
      <c r="F18" s="24" t="s">
        <v>77</v>
      </c>
      <c r="G18" s="24" t="s">
        <v>226</v>
      </c>
      <c r="H18" s="24" t="s">
        <v>227</v>
      </c>
      <c r="I18" s="24" t="s">
        <v>38</v>
      </c>
      <c r="J18" s="24" t="s">
        <v>226</v>
      </c>
      <c r="K18" s="24" t="s">
        <v>227</v>
      </c>
      <c r="L18" s="24" t="s">
        <v>38</v>
      </c>
      <c r="M18" s="25" t="s">
        <v>228</v>
      </c>
      <c r="N18" s="22" t="s">
        <v>229</v>
      </c>
      <c r="O18" s="22"/>
      <c r="P18" s="24" t="s">
        <v>230</v>
      </c>
      <c r="Q18" s="28" t="s">
        <v>231</v>
      </c>
      <c r="R18" s="29">
        <v>1043</v>
      </c>
      <c r="S18" s="30">
        <f t="shared" si="1"/>
        <v>168966</v>
      </c>
      <c r="T18" s="21" t="s">
        <v>198</v>
      </c>
      <c r="U18" s="24"/>
      <c r="V18" s="30">
        <v>215940</v>
      </c>
      <c r="W18" s="24" t="s">
        <v>71</v>
      </c>
      <c r="X18" s="22">
        <v>1020300</v>
      </c>
      <c r="Y18" s="31">
        <v>3059494</v>
      </c>
      <c r="Z18" s="22">
        <v>3861550</v>
      </c>
      <c r="AA18" s="22"/>
      <c r="AB18" s="22"/>
      <c r="AC18" s="24">
        <v>5516380</v>
      </c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</row>
    <row r="19" spans="1:46" ht="45" customHeight="1">
      <c r="A19" s="21" t="s">
        <v>232</v>
      </c>
      <c r="B19" s="22" t="s">
        <v>233</v>
      </c>
      <c r="C19" s="23" t="s">
        <v>234</v>
      </c>
      <c r="D19" s="24" t="s">
        <v>235</v>
      </c>
      <c r="E19" s="24" t="s">
        <v>236</v>
      </c>
      <c r="F19" s="24" t="s">
        <v>35</v>
      </c>
      <c r="G19" s="24" t="s">
        <v>237</v>
      </c>
      <c r="H19" s="24" t="s">
        <v>238</v>
      </c>
      <c r="I19" s="24" t="s">
        <v>38</v>
      </c>
      <c r="J19" s="24" t="s">
        <v>237</v>
      </c>
      <c r="K19" s="24" t="s">
        <v>238</v>
      </c>
      <c r="L19" s="24" t="s">
        <v>38</v>
      </c>
      <c r="M19" s="25" t="s">
        <v>239</v>
      </c>
      <c r="N19" s="22" t="s">
        <v>240</v>
      </c>
      <c r="O19" s="26">
        <v>45850</v>
      </c>
      <c r="P19" s="24" t="s">
        <v>241</v>
      </c>
      <c r="Q19" s="28" t="s">
        <v>242</v>
      </c>
      <c r="R19" s="29">
        <v>17299.2</v>
      </c>
      <c r="S19" s="30">
        <f t="shared" si="1"/>
        <v>2802470.4</v>
      </c>
      <c r="T19" s="21" t="s">
        <v>70</v>
      </c>
      <c r="U19" s="24"/>
      <c r="V19" s="30">
        <f>S19/2</f>
        <v>1401235.2</v>
      </c>
      <c r="W19" s="24" t="s">
        <v>71</v>
      </c>
      <c r="X19" s="22">
        <v>1107166</v>
      </c>
      <c r="Y19" s="31">
        <v>3089264</v>
      </c>
      <c r="Z19" s="22">
        <v>3875150</v>
      </c>
      <c r="AA19" s="22">
        <v>4694110</v>
      </c>
      <c r="AB19" s="22"/>
      <c r="AC19" s="24">
        <v>5570316</v>
      </c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ht="45" customHeight="1">
      <c r="A20" s="21" t="s">
        <v>243</v>
      </c>
      <c r="B20" s="22" t="s">
        <v>244</v>
      </c>
      <c r="C20" s="23" t="s">
        <v>245</v>
      </c>
      <c r="D20" s="24" t="s">
        <v>246</v>
      </c>
      <c r="E20" s="24" t="s">
        <v>247</v>
      </c>
      <c r="F20" s="24" t="s">
        <v>181</v>
      </c>
      <c r="G20" s="24" t="s">
        <v>248</v>
      </c>
      <c r="H20" s="24" t="s">
        <v>52</v>
      </c>
      <c r="I20" s="24" t="s">
        <v>53</v>
      </c>
      <c r="J20" s="24" t="s">
        <v>248</v>
      </c>
      <c r="K20" s="24"/>
      <c r="L20" s="24" t="s">
        <v>206</v>
      </c>
      <c r="M20" s="59" t="s">
        <v>249</v>
      </c>
      <c r="N20" s="22" t="s">
        <v>250</v>
      </c>
      <c r="O20" s="22"/>
      <c r="P20" s="24" t="s">
        <v>94</v>
      </c>
      <c r="Q20" s="28" t="s">
        <v>251</v>
      </c>
      <c r="R20" s="29">
        <v>815</v>
      </c>
      <c r="S20" s="30">
        <f t="shared" si="1"/>
        <v>132030</v>
      </c>
      <c r="T20" s="21" t="s">
        <v>252</v>
      </c>
      <c r="U20" s="24"/>
      <c r="V20" s="30">
        <v>123900</v>
      </c>
      <c r="W20" s="24" t="s">
        <v>71</v>
      </c>
      <c r="X20" s="22">
        <v>1014346</v>
      </c>
      <c r="Y20" s="31">
        <v>3096438</v>
      </c>
      <c r="Z20" s="22">
        <v>3803989</v>
      </c>
      <c r="AA20" s="22">
        <v>4651300</v>
      </c>
      <c r="AB20" s="22"/>
      <c r="AC20" s="24">
        <v>5568550</v>
      </c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</row>
    <row r="21" spans="1:46" ht="45" customHeight="1">
      <c r="A21" s="12" t="s">
        <v>253</v>
      </c>
      <c r="B21" s="13" t="s">
        <v>254</v>
      </c>
      <c r="C21" s="14" t="s">
        <v>255</v>
      </c>
      <c r="D21" s="15" t="s">
        <v>256</v>
      </c>
      <c r="E21" s="15" t="s">
        <v>257</v>
      </c>
      <c r="F21" s="15" t="s">
        <v>181</v>
      </c>
      <c r="G21" s="15" t="s">
        <v>258</v>
      </c>
      <c r="H21" s="15"/>
      <c r="I21" s="15" t="s">
        <v>149</v>
      </c>
      <c r="J21" s="15" t="s">
        <v>259</v>
      </c>
      <c r="K21" s="15"/>
      <c r="L21" s="15" t="s">
        <v>149</v>
      </c>
      <c r="M21" s="46" t="s">
        <v>260</v>
      </c>
      <c r="N21" s="13" t="s">
        <v>261</v>
      </c>
      <c r="O21" s="13"/>
      <c r="P21" s="15" t="s">
        <v>94</v>
      </c>
      <c r="Q21" s="17" t="s">
        <v>262</v>
      </c>
      <c r="R21" s="18">
        <v>166</v>
      </c>
      <c r="S21" s="19">
        <f t="shared" si="1"/>
        <v>26892</v>
      </c>
      <c r="T21" s="12" t="s">
        <v>46</v>
      </c>
      <c r="U21" s="15"/>
      <c r="V21" s="19">
        <v>44610</v>
      </c>
      <c r="W21" s="15" t="s">
        <v>71</v>
      </c>
      <c r="X21" s="13">
        <v>1043788</v>
      </c>
      <c r="Y21" s="20">
        <v>3095556</v>
      </c>
      <c r="Z21" s="13">
        <v>3836104</v>
      </c>
      <c r="AA21" s="13">
        <v>4753671</v>
      </c>
      <c r="AB21" s="13"/>
      <c r="AC21" s="15">
        <v>5578454</v>
      </c>
      <c r="AD21" s="49">
        <v>6480565</v>
      </c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</row>
    <row r="22" spans="1:46" ht="45" customHeight="1">
      <c r="A22" s="21" t="s">
        <v>263</v>
      </c>
      <c r="B22" s="22" t="s">
        <v>264</v>
      </c>
      <c r="C22" s="23" t="s">
        <v>265</v>
      </c>
      <c r="D22" s="24" t="s">
        <v>266</v>
      </c>
      <c r="E22" s="24" t="s">
        <v>267</v>
      </c>
      <c r="F22" s="24" t="s">
        <v>35</v>
      </c>
      <c r="G22" s="24" t="s">
        <v>268</v>
      </c>
      <c r="H22" s="24" t="s">
        <v>52</v>
      </c>
      <c r="I22" s="24" t="s">
        <v>53</v>
      </c>
      <c r="J22" s="24" t="s">
        <v>269</v>
      </c>
      <c r="K22" s="24"/>
      <c r="L22" s="24" t="s">
        <v>149</v>
      </c>
      <c r="M22" s="63" t="s">
        <v>270</v>
      </c>
      <c r="N22" s="22" t="s">
        <v>271</v>
      </c>
      <c r="O22" s="26">
        <v>45379</v>
      </c>
      <c r="P22" s="24" t="s">
        <v>272</v>
      </c>
      <c r="Q22" s="28" t="s">
        <v>273</v>
      </c>
      <c r="R22" s="29">
        <v>45412</v>
      </c>
      <c r="S22" s="30">
        <f t="shared" si="1"/>
        <v>7356744</v>
      </c>
      <c r="T22" s="21" t="s">
        <v>70</v>
      </c>
      <c r="U22" s="24"/>
      <c r="V22" s="30">
        <f>S22</f>
        <v>7356744</v>
      </c>
      <c r="W22" s="24"/>
      <c r="X22" s="22">
        <v>1030455</v>
      </c>
      <c r="Y22" s="31">
        <v>3103284</v>
      </c>
      <c r="Z22" s="22">
        <v>3842344</v>
      </c>
      <c r="AA22" s="22">
        <v>4698870</v>
      </c>
      <c r="AB22" s="22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</row>
    <row r="23" spans="1:46" ht="45" customHeight="1">
      <c r="A23" s="12" t="s">
        <v>274</v>
      </c>
      <c r="B23" s="13" t="s">
        <v>275</v>
      </c>
      <c r="C23" s="14" t="s">
        <v>276</v>
      </c>
      <c r="D23" s="15" t="s">
        <v>277</v>
      </c>
      <c r="E23" s="15" t="s">
        <v>278</v>
      </c>
      <c r="F23" s="15" t="s">
        <v>181</v>
      </c>
      <c r="G23" s="15" t="s">
        <v>279</v>
      </c>
      <c r="H23" s="15"/>
      <c r="I23" s="15" t="s">
        <v>65</v>
      </c>
      <c r="J23" s="15" t="s">
        <v>279</v>
      </c>
      <c r="K23" s="15"/>
      <c r="L23" s="15" t="s">
        <v>65</v>
      </c>
      <c r="M23" s="46" t="s">
        <v>280</v>
      </c>
      <c r="N23" s="13">
        <v>2614370983</v>
      </c>
      <c r="O23" s="13"/>
      <c r="P23" s="15" t="s">
        <v>94</v>
      </c>
      <c r="Q23" s="17" t="s">
        <v>281</v>
      </c>
      <c r="R23" s="18">
        <v>483</v>
      </c>
      <c r="S23" s="19">
        <f t="shared" si="1"/>
        <v>78246</v>
      </c>
      <c r="T23" s="12" t="s">
        <v>46</v>
      </c>
      <c r="U23" s="15"/>
      <c r="V23" s="19">
        <v>44610</v>
      </c>
      <c r="W23" s="15" t="s">
        <v>71</v>
      </c>
      <c r="X23" s="13">
        <v>993031</v>
      </c>
      <c r="Y23" s="20">
        <v>3081422</v>
      </c>
      <c r="Z23" s="13">
        <v>3793243</v>
      </c>
      <c r="AA23" s="13">
        <v>4681173</v>
      </c>
      <c r="AB23" s="13"/>
      <c r="AC23" s="15">
        <v>5504615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</row>
    <row r="24" spans="1:46" ht="45" customHeight="1">
      <c r="A24" s="12" t="s">
        <v>282</v>
      </c>
      <c r="B24" s="13" t="s">
        <v>283</v>
      </c>
      <c r="C24" s="14" t="s">
        <v>284</v>
      </c>
      <c r="D24" s="15" t="s">
        <v>285</v>
      </c>
      <c r="E24" s="15" t="s">
        <v>286</v>
      </c>
      <c r="F24" s="15" t="s">
        <v>287</v>
      </c>
      <c r="G24" s="15" t="s">
        <v>288</v>
      </c>
      <c r="H24" s="15" t="s">
        <v>289</v>
      </c>
      <c r="I24" s="15" t="s">
        <v>38</v>
      </c>
      <c r="J24" s="15" t="s">
        <v>290</v>
      </c>
      <c r="K24" s="15" t="s">
        <v>291</v>
      </c>
      <c r="L24" s="15" t="s">
        <v>115</v>
      </c>
      <c r="M24" s="46" t="s">
        <v>292</v>
      </c>
      <c r="N24" s="13" t="s">
        <v>293</v>
      </c>
      <c r="O24" s="13"/>
      <c r="P24" s="15" t="s">
        <v>294</v>
      </c>
      <c r="Q24" s="17" t="s">
        <v>295</v>
      </c>
      <c r="R24" s="18">
        <v>59</v>
      </c>
      <c r="S24" s="19">
        <f t="shared" si="1"/>
        <v>9558</v>
      </c>
      <c r="T24" s="12" t="s">
        <v>46</v>
      </c>
      <c r="U24" s="15"/>
      <c r="V24" s="19">
        <v>44610</v>
      </c>
      <c r="W24" s="49" t="s">
        <v>71</v>
      </c>
      <c r="X24" s="13">
        <v>1015490</v>
      </c>
      <c r="Y24" s="20">
        <v>3107099</v>
      </c>
      <c r="Z24" s="13">
        <v>3871341</v>
      </c>
      <c r="AA24" s="13"/>
      <c r="AB24" s="13"/>
      <c r="AC24" s="49">
        <v>5633741</v>
      </c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</row>
    <row r="25" spans="1:46" ht="45" customHeight="1">
      <c r="A25" s="12" t="s">
        <v>296</v>
      </c>
      <c r="B25" s="13" t="s">
        <v>297</v>
      </c>
      <c r="C25" s="14" t="s">
        <v>298</v>
      </c>
      <c r="D25" s="15" t="s">
        <v>299</v>
      </c>
      <c r="E25" s="15" t="s">
        <v>300</v>
      </c>
      <c r="F25" s="15" t="s">
        <v>287</v>
      </c>
      <c r="G25" s="15" t="s">
        <v>301</v>
      </c>
      <c r="H25" s="15"/>
      <c r="I25" s="15" t="s">
        <v>149</v>
      </c>
      <c r="J25" s="15" t="s">
        <v>302</v>
      </c>
      <c r="K25" s="15"/>
      <c r="L25" s="15" t="s">
        <v>149</v>
      </c>
      <c r="M25" s="16" t="s">
        <v>303</v>
      </c>
      <c r="N25" s="13" t="s">
        <v>304</v>
      </c>
      <c r="O25" s="13"/>
      <c r="P25" s="15" t="s">
        <v>305</v>
      </c>
      <c r="Q25" s="17" t="s">
        <v>306</v>
      </c>
      <c r="R25" s="18">
        <v>47</v>
      </c>
      <c r="S25" s="19">
        <f t="shared" si="1"/>
        <v>7614</v>
      </c>
      <c r="T25" s="12" t="s">
        <v>46</v>
      </c>
      <c r="U25" s="15"/>
      <c r="V25" s="19">
        <v>44610</v>
      </c>
      <c r="W25" s="15"/>
      <c r="X25" s="13"/>
      <c r="Y25" s="20"/>
      <c r="Z25" s="13"/>
      <c r="AA25" s="13"/>
      <c r="AB25" s="64">
        <v>4847385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</row>
    <row r="26" spans="1:46" ht="45" customHeight="1">
      <c r="A26" s="21" t="s">
        <v>307</v>
      </c>
      <c r="B26" s="22" t="s">
        <v>308</v>
      </c>
      <c r="C26" s="23" t="s">
        <v>309</v>
      </c>
      <c r="D26" s="24" t="s">
        <v>310</v>
      </c>
      <c r="E26" s="24" t="s">
        <v>267</v>
      </c>
      <c r="F26" s="24" t="s">
        <v>35</v>
      </c>
      <c r="G26" s="24" t="s">
        <v>311</v>
      </c>
      <c r="H26" s="24"/>
      <c r="I26" s="24" t="s">
        <v>149</v>
      </c>
      <c r="J26" s="24" t="s">
        <v>312</v>
      </c>
      <c r="K26" s="24"/>
      <c r="L26" s="24" t="s">
        <v>149</v>
      </c>
      <c r="M26" s="63" t="s">
        <v>313</v>
      </c>
      <c r="N26" s="22" t="s">
        <v>314</v>
      </c>
      <c r="O26" s="22"/>
      <c r="P26" s="24" t="s">
        <v>44</v>
      </c>
      <c r="Q26" s="28" t="s">
        <v>315</v>
      </c>
      <c r="R26" s="29">
        <v>620</v>
      </c>
      <c r="S26" s="30">
        <f t="shared" si="1"/>
        <v>100440</v>
      </c>
      <c r="T26" s="21" t="s">
        <v>252</v>
      </c>
      <c r="U26" s="24"/>
      <c r="V26" s="30">
        <v>123900</v>
      </c>
      <c r="W26" s="24" t="s">
        <v>71</v>
      </c>
      <c r="X26" s="22"/>
      <c r="Y26" s="31">
        <v>3089558</v>
      </c>
      <c r="Z26" s="22"/>
      <c r="AA26" s="22">
        <v>4669023</v>
      </c>
      <c r="AB26" s="22"/>
      <c r="AC26" s="24">
        <v>5495463</v>
      </c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</row>
    <row r="27" spans="1:46" ht="45" customHeight="1">
      <c r="A27" s="21" t="s">
        <v>316</v>
      </c>
      <c r="B27" s="22" t="s">
        <v>317</v>
      </c>
      <c r="C27" s="23" t="s">
        <v>318</v>
      </c>
      <c r="D27" s="24" t="s">
        <v>319</v>
      </c>
      <c r="E27" s="24" t="s">
        <v>267</v>
      </c>
      <c r="F27" s="24" t="s">
        <v>35</v>
      </c>
      <c r="G27" s="24" t="s">
        <v>320</v>
      </c>
      <c r="H27" s="24"/>
      <c r="I27" s="24" t="s">
        <v>321</v>
      </c>
      <c r="J27" s="24" t="s">
        <v>320</v>
      </c>
      <c r="K27" s="24"/>
      <c r="L27" s="24" t="s">
        <v>321</v>
      </c>
      <c r="M27" s="59" t="s">
        <v>322</v>
      </c>
      <c r="N27" s="22" t="s">
        <v>323</v>
      </c>
      <c r="O27" s="22"/>
      <c r="P27" s="24" t="s">
        <v>324</v>
      </c>
      <c r="Q27" s="28" t="s">
        <v>325</v>
      </c>
      <c r="R27" s="29">
        <v>6529</v>
      </c>
      <c r="S27" s="30">
        <f t="shared" si="1"/>
        <v>1057698</v>
      </c>
      <c r="T27" s="21" t="s">
        <v>70</v>
      </c>
      <c r="U27" s="24"/>
      <c r="V27" s="30">
        <f>S27</f>
        <v>1057698</v>
      </c>
      <c r="W27" s="24" t="s">
        <v>71</v>
      </c>
      <c r="X27" s="22">
        <v>1111984</v>
      </c>
      <c r="Y27" s="31">
        <v>3118172</v>
      </c>
      <c r="Z27" s="22">
        <v>3901568</v>
      </c>
      <c r="AA27" s="22">
        <v>4752805</v>
      </c>
      <c r="AB27" s="22"/>
      <c r="AC27" s="24">
        <v>5619361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</row>
    <row r="28" spans="1:46" ht="45" customHeight="1">
      <c r="A28" s="21" t="s">
        <v>326</v>
      </c>
      <c r="B28" s="22" t="s">
        <v>327</v>
      </c>
      <c r="C28" s="23" t="s">
        <v>328</v>
      </c>
      <c r="D28" s="24" t="s">
        <v>329</v>
      </c>
      <c r="E28" s="24" t="s">
        <v>267</v>
      </c>
      <c r="F28" s="24" t="s">
        <v>35</v>
      </c>
      <c r="G28" s="24" t="s">
        <v>330</v>
      </c>
      <c r="H28" s="24" t="s">
        <v>331</v>
      </c>
      <c r="I28" s="24" t="s">
        <v>332</v>
      </c>
      <c r="J28" s="24" t="s">
        <v>333</v>
      </c>
      <c r="K28" s="24" t="s">
        <v>331</v>
      </c>
      <c r="L28" s="24" t="s">
        <v>332</v>
      </c>
      <c r="M28" s="25" t="s">
        <v>334</v>
      </c>
      <c r="N28" s="22" t="s">
        <v>335</v>
      </c>
      <c r="O28" s="22"/>
      <c r="P28" s="24" t="s">
        <v>94</v>
      </c>
      <c r="Q28" s="28" t="s">
        <v>336</v>
      </c>
      <c r="R28" s="29">
        <v>1689</v>
      </c>
      <c r="S28" s="30">
        <f t="shared" si="1"/>
        <v>273618</v>
      </c>
      <c r="T28" s="21" t="s">
        <v>198</v>
      </c>
      <c r="U28" s="24"/>
      <c r="V28" s="30">
        <v>215940</v>
      </c>
      <c r="W28" s="24"/>
      <c r="X28" s="22"/>
      <c r="Y28" s="31">
        <v>3104525</v>
      </c>
      <c r="Z28" s="22">
        <v>3843956</v>
      </c>
      <c r="AA28" s="22">
        <v>4667197</v>
      </c>
      <c r="AB28" s="22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</row>
    <row r="29" spans="1:46" ht="45" customHeight="1">
      <c r="A29" s="40" t="s">
        <v>337</v>
      </c>
      <c r="B29" s="33" t="s">
        <v>338</v>
      </c>
      <c r="C29" s="65" t="s">
        <v>339</v>
      </c>
      <c r="D29" s="35" t="s">
        <v>340</v>
      </c>
      <c r="E29" s="35" t="s">
        <v>267</v>
      </c>
      <c r="F29" s="35" t="s">
        <v>35</v>
      </c>
      <c r="G29" s="35" t="s">
        <v>341</v>
      </c>
      <c r="H29" s="35" t="s">
        <v>342</v>
      </c>
      <c r="I29" s="35" t="s">
        <v>41</v>
      </c>
      <c r="J29" s="35" t="s">
        <v>341</v>
      </c>
      <c r="K29" s="35" t="s">
        <v>342</v>
      </c>
      <c r="L29" s="35" t="s">
        <v>41</v>
      </c>
      <c r="M29" s="36" t="s">
        <v>343</v>
      </c>
      <c r="N29" s="33" t="s">
        <v>344</v>
      </c>
      <c r="O29" s="33"/>
      <c r="P29" s="35" t="s">
        <v>44</v>
      </c>
      <c r="Q29" s="37" t="s">
        <v>345</v>
      </c>
      <c r="R29" s="38">
        <v>34</v>
      </c>
      <c r="S29" s="39">
        <f t="shared" si="1"/>
        <v>5508</v>
      </c>
      <c r="T29" s="40" t="s">
        <v>46</v>
      </c>
      <c r="U29" s="35"/>
      <c r="V29" s="39">
        <v>44610</v>
      </c>
      <c r="W29" s="35"/>
      <c r="X29" s="33"/>
      <c r="Y29" s="41"/>
      <c r="Z29" s="33"/>
      <c r="AA29" s="33"/>
      <c r="AB29" s="33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</row>
    <row r="30" spans="1:46" ht="61.5" customHeight="1">
      <c r="A30" s="12" t="s">
        <v>346</v>
      </c>
      <c r="B30" s="13" t="s">
        <v>347</v>
      </c>
      <c r="C30" s="14" t="s">
        <v>348</v>
      </c>
      <c r="D30" s="15" t="s">
        <v>349</v>
      </c>
      <c r="E30" s="15" t="s">
        <v>267</v>
      </c>
      <c r="F30" s="15" t="s">
        <v>35</v>
      </c>
      <c r="G30" s="15" t="s">
        <v>350</v>
      </c>
      <c r="H30" s="15" t="s">
        <v>351</v>
      </c>
      <c r="I30" s="15" t="s">
        <v>352</v>
      </c>
      <c r="J30" s="15" t="s">
        <v>353</v>
      </c>
      <c r="K30" s="15" t="s">
        <v>331</v>
      </c>
      <c r="L30" s="15" t="s">
        <v>352</v>
      </c>
      <c r="M30" s="16" t="s">
        <v>354</v>
      </c>
      <c r="N30" s="13" t="s">
        <v>355</v>
      </c>
      <c r="O30" s="13"/>
      <c r="P30" s="15" t="s">
        <v>44</v>
      </c>
      <c r="Q30" s="17" t="s">
        <v>356</v>
      </c>
      <c r="R30" s="18">
        <v>284</v>
      </c>
      <c r="S30" s="19">
        <f t="shared" si="1"/>
        <v>46008</v>
      </c>
      <c r="T30" s="12" t="s">
        <v>46</v>
      </c>
      <c r="U30" s="15"/>
      <c r="V30" s="19">
        <v>44610</v>
      </c>
      <c r="W30" s="15"/>
      <c r="X30" s="13">
        <v>1009776</v>
      </c>
      <c r="Y30" s="20"/>
      <c r="Z30" s="13"/>
      <c r="AA30" s="13"/>
      <c r="AB30" s="13">
        <v>4838696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</row>
    <row r="31" spans="1:46" ht="45" customHeight="1">
      <c r="A31" s="12" t="s">
        <v>357</v>
      </c>
      <c r="B31" s="13" t="s">
        <v>358</v>
      </c>
      <c r="C31" s="14" t="s">
        <v>359</v>
      </c>
      <c r="D31" s="15" t="s">
        <v>360</v>
      </c>
      <c r="E31" s="15" t="s">
        <v>267</v>
      </c>
      <c r="F31" s="15" t="s">
        <v>35</v>
      </c>
      <c r="G31" s="15" t="s">
        <v>361</v>
      </c>
      <c r="H31" s="15" t="s">
        <v>52</v>
      </c>
      <c r="I31" s="15" t="s">
        <v>53</v>
      </c>
      <c r="J31" s="15" t="s">
        <v>362</v>
      </c>
      <c r="K31" s="15"/>
      <c r="L31" s="15" t="s">
        <v>332</v>
      </c>
      <c r="M31" s="16" t="s">
        <v>363</v>
      </c>
      <c r="N31" s="13" t="s">
        <v>364</v>
      </c>
      <c r="O31" s="13"/>
      <c r="P31" s="15" t="s">
        <v>44</v>
      </c>
      <c r="Q31" s="17" t="s">
        <v>365</v>
      </c>
      <c r="R31" s="18">
        <v>47</v>
      </c>
      <c r="S31" s="19">
        <f t="shared" si="1"/>
        <v>7614</v>
      </c>
      <c r="T31" s="12" t="s">
        <v>46</v>
      </c>
      <c r="U31" s="15"/>
      <c r="V31" s="19">
        <v>44610</v>
      </c>
      <c r="W31" s="15" t="s">
        <v>71</v>
      </c>
      <c r="X31" s="13">
        <v>1011665</v>
      </c>
      <c r="Y31" s="20">
        <v>3114400</v>
      </c>
      <c r="Z31" s="13">
        <v>3897167</v>
      </c>
      <c r="AA31" s="13"/>
      <c r="AB31" s="13"/>
      <c r="AC31" s="15">
        <v>5604224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</row>
    <row r="32" spans="1:46" ht="45" customHeight="1">
      <c r="A32" s="12" t="s">
        <v>366</v>
      </c>
      <c r="B32" s="13" t="s">
        <v>367</v>
      </c>
      <c r="C32" s="14" t="s">
        <v>368</v>
      </c>
      <c r="D32" s="15" t="s">
        <v>369</v>
      </c>
      <c r="E32" s="15" t="s">
        <v>267</v>
      </c>
      <c r="F32" s="15" t="s">
        <v>35</v>
      </c>
      <c r="G32" s="15" t="s">
        <v>370</v>
      </c>
      <c r="H32" s="15" t="s">
        <v>125</v>
      </c>
      <c r="I32" s="15" t="s">
        <v>115</v>
      </c>
      <c r="J32" s="15" t="s">
        <v>371</v>
      </c>
      <c r="K32" s="15" t="s">
        <v>372</v>
      </c>
      <c r="L32" s="15" t="s">
        <v>352</v>
      </c>
      <c r="M32" s="46" t="s">
        <v>373</v>
      </c>
      <c r="N32" s="13" t="s">
        <v>374</v>
      </c>
      <c r="O32" s="13"/>
      <c r="P32" s="15" t="s">
        <v>44</v>
      </c>
      <c r="Q32" s="17" t="s">
        <v>375</v>
      </c>
      <c r="R32" s="18">
        <v>66</v>
      </c>
      <c r="S32" s="19">
        <f t="shared" si="1"/>
        <v>10692</v>
      </c>
      <c r="T32" s="12" t="s">
        <v>46</v>
      </c>
      <c r="U32" s="15"/>
      <c r="V32" s="19">
        <v>44610</v>
      </c>
      <c r="W32" s="15" t="s">
        <v>71</v>
      </c>
      <c r="X32" s="13">
        <v>1006325</v>
      </c>
      <c r="Y32" s="20">
        <v>3067169</v>
      </c>
      <c r="Z32" s="13">
        <v>3856501</v>
      </c>
      <c r="AA32" s="13">
        <v>4668977</v>
      </c>
      <c r="AB32" s="13"/>
      <c r="AC32" s="15">
        <v>5571157</v>
      </c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</row>
    <row r="33" spans="1:46" ht="45" customHeight="1">
      <c r="A33" s="12" t="s">
        <v>376</v>
      </c>
      <c r="B33" s="13" t="s">
        <v>377</v>
      </c>
      <c r="C33" s="14" t="s">
        <v>378</v>
      </c>
      <c r="D33" s="15" t="s">
        <v>379</v>
      </c>
      <c r="E33" s="15" t="s">
        <v>267</v>
      </c>
      <c r="F33" s="15" t="s">
        <v>35</v>
      </c>
      <c r="G33" s="15" t="s">
        <v>380</v>
      </c>
      <c r="H33" s="15" t="s">
        <v>52</v>
      </c>
      <c r="I33" s="15" t="s">
        <v>53</v>
      </c>
      <c r="J33" s="15" t="s">
        <v>381</v>
      </c>
      <c r="K33" s="15" t="s">
        <v>382</v>
      </c>
      <c r="L33" s="15" t="s">
        <v>383</v>
      </c>
      <c r="M33" s="16" t="s">
        <v>384</v>
      </c>
      <c r="N33" s="13" t="s">
        <v>385</v>
      </c>
      <c r="O33" s="13"/>
      <c r="P33" s="15" t="s">
        <v>44</v>
      </c>
      <c r="Q33" s="17" t="s">
        <v>386</v>
      </c>
      <c r="R33" s="18">
        <v>177</v>
      </c>
      <c r="S33" s="19">
        <f t="shared" si="1"/>
        <v>28674</v>
      </c>
      <c r="T33" s="12" t="s">
        <v>46</v>
      </c>
      <c r="U33" s="15"/>
      <c r="V33" s="19">
        <v>44610</v>
      </c>
      <c r="W33" s="15"/>
      <c r="X33" s="13"/>
      <c r="Y33" s="20"/>
      <c r="Z33" s="13"/>
      <c r="AA33" s="13"/>
      <c r="AB33" s="13">
        <v>4879605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</row>
    <row r="34" spans="1:46" ht="45" customHeight="1">
      <c r="A34" s="12" t="s">
        <v>387</v>
      </c>
      <c r="B34" s="13" t="s">
        <v>388</v>
      </c>
      <c r="C34" s="66" t="s">
        <v>389</v>
      </c>
      <c r="D34" s="15" t="s">
        <v>390</v>
      </c>
      <c r="E34" s="15" t="s">
        <v>267</v>
      </c>
      <c r="F34" s="15" t="s">
        <v>35</v>
      </c>
      <c r="G34" s="15" t="s">
        <v>391</v>
      </c>
      <c r="H34" s="15" t="s">
        <v>52</v>
      </c>
      <c r="I34" s="15" t="s">
        <v>53</v>
      </c>
      <c r="J34" s="15" t="s">
        <v>392</v>
      </c>
      <c r="K34" s="15" t="s">
        <v>393</v>
      </c>
      <c r="L34" s="15" t="s">
        <v>332</v>
      </c>
      <c r="M34" s="16" t="s">
        <v>394</v>
      </c>
      <c r="N34" s="13" t="s">
        <v>395</v>
      </c>
      <c r="O34" s="13"/>
      <c r="P34" s="15" t="s">
        <v>44</v>
      </c>
      <c r="Q34" s="17" t="s">
        <v>396</v>
      </c>
      <c r="R34" s="18">
        <v>35</v>
      </c>
      <c r="S34" s="19">
        <f t="shared" si="1"/>
        <v>5670</v>
      </c>
      <c r="T34" s="12" t="s">
        <v>46</v>
      </c>
      <c r="U34" s="15"/>
      <c r="V34" s="19">
        <v>44610</v>
      </c>
      <c r="W34" s="15" t="s">
        <v>71</v>
      </c>
      <c r="X34" s="13"/>
      <c r="Y34" s="20"/>
      <c r="Z34" s="13"/>
      <c r="AA34" s="13"/>
      <c r="AB34" s="13"/>
      <c r="AC34" s="15">
        <v>5608439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</row>
    <row r="35" spans="1:46" ht="45" customHeight="1">
      <c r="A35" s="21" t="s">
        <v>397</v>
      </c>
      <c r="B35" s="22" t="s">
        <v>398</v>
      </c>
      <c r="C35" s="23" t="s">
        <v>399</v>
      </c>
      <c r="D35" s="24" t="s">
        <v>400</v>
      </c>
      <c r="E35" s="24" t="s">
        <v>401</v>
      </c>
      <c r="F35" s="24" t="s">
        <v>402</v>
      </c>
      <c r="G35" s="24" t="s">
        <v>403</v>
      </c>
      <c r="H35" s="24" t="s">
        <v>52</v>
      </c>
      <c r="I35" s="24" t="s">
        <v>53</v>
      </c>
      <c r="J35" s="24" t="s">
        <v>404</v>
      </c>
      <c r="K35" s="24" t="s">
        <v>405</v>
      </c>
      <c r="L35" s="24" t="s">
        <v>115</v>
      </c>
      <c r="M35" s="59" t="s">
        <v>406</v>
      </c>
      <c r="N35" s="22" t="s">
        <v>407</v>
      </c>
      <c r="O35" s="22"/>
      <c r="P35" s="24" t="s">
        <v>408</v>
      </c>
      <c r="Q35" s="28" t="s">
        <v>409</v>
      </c>
      <c r="R35" s="29">
        <v>1538.87</v>
      </c>
      <c r="S35" s="30">
        <f t="shared" si="1"/>
        <v>249296.93999999997</v>
      </c>
      <c r="T35" s="21" t="s">
        <v>198</v>
      </c>
      <c r="U35" s="24"/>
      <c r="V35" s="30">
        <v>215940</v>
      </c>
      <c r="W35" s="45" t="s">
        <v>71</v>
      </c>
      <c r="X35" s="22">
        <v>1135208</v>
      </c>
      <c r="Y35" s="31">
        <v>3119174</v>
      </c>
      <c r="Z35" s="22">
        <v>3899623</v>
      </c>
      <c r="AA35" s="22">
        <v>4757441</v>
      </c>
      <c r="AB35" s="22"/>
      <c r="AC35" s="45">
        <v>5626216</v>
      </c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</row>
    <row r="36" spans="1:46" ht="45" customHeight="1">
      <c r="A36" s="21" t="s">
        <v>410</v>
      </c>
      <c r="B36" s="22" t="s">
        <v>411</v>
      </c>
      <c r="C36" s="23" t="s">
        <v>412</v>
      </c>
      <c r="D36" s="24" t="s">
        <v>413</v>
      </c>
      <c r="E36" s="24" t="s">
        <v>414</v>
      </c>
      <c r="F36" s="24" t="s">
        <v>35</v>
      </c>
      <c r="G36" s="24" t="s">
        <v>415</v>
      </c>
      <c r="H36" s="24" t="s">
        <v>331</v>
      </c>
      <c r="I36" s="24" t="s">
        <v>321</v>
      </c>
      <c r="J36" s="24" t="s">
        <v>416</v>
      </c>
      <c r="K36" s="24" t="s">
        <v>331</v>
      </c>
      <c r="L36" s="24" t="s">
        <v>321</v>
      </c>
      <c r="M36" s="59" t="s">
        <v>417</v>
      </c>
      <c r="N36" s="22" t="s">
        <v>418</v>
      </c>
      <c r="O36" s="22"/>
      <c r="P36" s="24" t="s">
        <v>419</v>
      </c>
      <c r="Q36" s="28" t="s">
        <v>420</v>
      </c>
      <c r="R36" s="29">
        <v>759</v>
      </c>
      <c r="S36" s="30">
        <f t="shared" si="1"/>
        <v>122958</v>
      </c>
      <c r="T36" s="21" t="s">
        <v>252</v>
      </c>
      <c r="U36" s="24"/>
      <c r="V36" s="30">
        <v>123900</v>
      </c>
      <c r="W36" s="24" t="s">
        <v>71</v>
      </c>
      <c r="X36" s="22"/>
      <c r="Y36" s="31">
        <v>3116303</v>
      </c>
      <c r="Z36" s="22">
        <v>38987778</v>
      </c>
      <c r="AA36" s="22">
        <v>4751746</v>
      </c>
      <c r="AB36" s="22"/>
      <c r="AC36" s="24">
        <v>5619046</v>
      </c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</row>
    <row r="37" spans="1:46" ht="51" customHeight="1">
      <c r="A37" s="50" t="s">
        <v>421</v>
      </c>
      <c r="B37" s="51" t="s">
        <v>422</v>
      </c>
      <c r="C37" s="52" t="s">
        <v>423</v>
      </c>
      <c r="D37" s="53" t="s">
        <v>424</v>
      </c>
      <c r="E37" s="53" t="s">
        <v>425</v>
      </c>
      <c r="F37" s="53" t="s">
        <v>147</v>
      </c>
      <c r="G37" s="53" t="s">
        <v>426</v>
      </c>
      <c r="H37" s="53" t="s">
        <v>52</v>
      </c>
      <c r="I37" s="53" t="s">
        <v>53</v>
      </c>
      <c r="J37" s="53" t="s">
        <v>426</v>
      </c>
      <c r="K37" s="53"/>
      <c r="L37" s="53" t="s">
        <v>206</v>
      </c>
      <c r="M37" s="54" t="s">
        <v>427</v>
      </c>
      <c r="N37" s="51" t="s">
        <v>428</v>
      </c>
      <c r="O37" s="51"/>
      <c r="P37" s="53" t="s">
        <v>429</v>
      </c>
      <c r="Q37" s="55" t="s">
        <v>430</v>
      </c>
      <c r="R37" s="56">
        <v>21</v>
      </c>
      <c r="S37" s="57">
        <f t="shared" si="1"/>
        <v>3402</v>
      </c>
      <c r="T37" s="50" t="s">
        <v>46</v>
      </c>
      <c r="U37" s="53"/>
      <c r="V37" s="57">
        <v>44610</v>
      </c>
      <c r="W37" s="53"/>
      <c r="X37" s="51"/>
      <c r="Y37" s="58"/>
      <c r="Z37" s="51"/>
      <c r="AA37" s="51"/>
      <c r="AB37" s="51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</row>
    <row r="38" spans="1:46" ht="45" customHeight="1">
      <c r="A38" s="12" t="s">
        <v>431</v>
      </c>
      <c r="B38" s="13" t="s">
        <v>432</v>
      </c>
      <c r="C38" s="14" t="s">
        <v>433</v>
      </c>
      <c r="D38" s="15" t="s">
        <v>434</v>
      </c>
      <c r="E38" s="15" t="s">
        <v>435</v>
      </c>
      <c r="F38" s="15" t="s">
        <v>181</v>
      </c>
      <c r="G38" s="15" t="s">
        <v>436</v>
      </c>
      <c r="H38" s="15" t="s">
        <v>437</v>
      </c>
      <c r="I38" s="15" t="s">
        <v>149</v>
      </c>
      <c r="J38" s="15" t="s">
        <v>436</v>
      </c>
      <c r="K38" s="15" t="s">
        <v>437</v>
      </c>
      <c r="L38" s="15" t="s">
        <v>149</v>
      </c>
      <c r="M38" s="46" t="s">
        <v>438</v>
      </c>
      <c r="N38" s="13" t="s">
        <v>439</v>
      </c>
      <c r="O38" s="13"/>
      <c r="P38" s="15" t="s">
        <v>117</v>
      </c>
      <c r="Q38" s="17" t="s">
        <v>440</v>
      </c>
      <c r="R38" s="18">
        <v>132</v>
      </c>
      <c r="S38" s="19">
        <f t="shared" si="1"/>
        <v>21384</v>
      </c>
      <c r="T38" s="12" t="s">
        <v>46</v>
      </c>
      <c r="U38" s="15"/>
      <c r="V38" s="19">
        <v>44610</v>
      </c>
      <c r="W38" s="15"/>
      <c r="X38" s="13">
        <v>1010265</v>
      </c>
      <c r="Y38" s="20">
        <v>3088212</v>
      </c>
      <c r="Z38" s="13">
        <v>3873527</v>
      </c>
      <c r="AA38" s="13">
        <v>4743665</v>
      </c>
      <c r="AB38" s="13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</row>
    <row r="39" spans="1:46" ht="45" customHeight="1">
      <c r="A39" s="12" t="s">
        <v>441</v>
      </c>
      <c r="B39" s="13" t="s">
        <v>442</v>
      </c>
      <c r="C39" s="14" t="s">
        <v>443</v>
      </c>
      <c r="D39" s="15" t="s">
        <v>444</v>
      </c>
      <c r="E39" s="15" t="s">
        <v>445</v>
      </c>
      <c r="F39" s="15" t="s">
        <v>204</v>
      </c>
      <c r="G39" s="15" t="s">
        <v>446</v>
      </c>
      <c r="H39" s="15" t="s">
        <v>447</v>
      </c>
      <c r="I39" s="15" t="s">
        <v>38</v>
      </c>
      <c r="J39" s="15" t="s">
        <v>446</v>
      </c>
      <c r="K39" s="15" t="s">
        <v>447</v>
      </c>
      <c r="L39" s="15" t="s">
        <v>38</v>
      </c>
      <c r="M39" s="46" t="s">
        <v>448</v>
      </c>
      <c r="N39" s="13" t="s">
        <v>449</v>
      </c>
      <c r="O39" s="13"/>
      <c r="P39" s="15" t="s">
        <v>117</v>
      </c>
      <c r="Q39" s="17" t="s">
        <v>450</v>
      </c>
      <c r="R39" s="18">
        <v>168</v>
      </c>
      <c r="S39" s="19">
        <f t="shared" si="1"/>
        <v>27216</v>
      </c>
      <c r="T39" s="12" t="s">
        <v>46</v>
      </c>
      <c r="U39" s="15"/>
      <c r="V39" s="19">
        <v>44610</v>
      </c>
      <c r="W39" s="15" t="s">
        <v>71</v>
      </c>
      <c r="X39" s="13">
        <v>1041728</v>
      </c>
      <c r="Y39" s="20"/>
      <c r="Z39" s="13">
        <v>3785461</v>
      </c>
      <c r="AA39" s="13">
        <v>4661497</v>
      </c>
      <c r="AB39" s="13"/>
      <c r="AC39" s="15">
        <v>5598009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</row>
    <row r="40" spans="1:46" ht="45" customHeight="1">
      <c r="A40" s="21" t="s">
        <v>451</v>
      </c>
      <c r="B40" s="22" t="s">
        <v>452</v>
      </c>
      <c r="C40" s="23" t="s">
        <v>453</v>
      </c>
      <c r="D40" s="24" t="s">
        <v>454</v>
      </c>
      <c r="E40" s="24" t="s">
        <v>455</v>
      </c>
      <c r="F40" s="24" t="s">
        <v>62</v>
      </c>
      <c r="G40" s="24" t="s">
        <v>456</v>
      </c>
      <c r="H40" s="24" t="s">
        <v>457</v>
      </c>
      <c r="I40" s="24" t="s">
        <v>80</v>
      </c>
      <c r="J40" s="24" t="s">
        <v>456</v>
      </c>
      <c r="K40" s="24" t="s">
        <v>457</v>
      </c>
      <c r="L40" s="24" t="s">
        <v>80</v>
      </c>
      <c r="M40" s="59" t="s">
        <v>458</v>
      </c>
      <c r="N40" s="22" t="s">
        <v>459</v>
      </c>
      <c r="O40" s="22"/>
      <c r="P40" s="24" t="s">
        <v>44</v>
      </c>
      <c r="Q40" s="28" t="s">
        <v>460</v>
      </c>
      <c r="R40" s="29">
        <v>738</v>
      </c>
      <c r="S40" s="30">
        <f t="shared" si="1"/>
        <v>119556</v>
      </c>
      <c r="T40" s="21" t="s">
        <v>252</v>
      </c>
      <c r="U40" s="24"/>
      <c r="V40" s="30">
        <v>123900</v>
      </c>
      <c r="W40" s="24" t="s">
        <v>71</v>
      </c>
      <c r="X40" s="22">
        <v>1027539</v>
      </c>
      <c r="Y40" s="31" t="s">
        <v>461</v>
      </c>
      <c r="Z40" s="22">
        <v>3882210</v>
      </c>
      <c r="AA40" s="22">
        <v>4749652</v>
      </c>
      <c r="AB40" s="22"/>
      <c r="AC40" s="24">
        <v>5580808</v>
      </c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</row>
    <row r="41" spans="1:46" ht="45" customHeight="1">
      <c r="A41" s="12" t="s">
        <v>462</v>
      </c>
      <c r="B41" s="13" t="s">
        <v>463</v>
      </c>
      <c r="C41" s="14" t="s">
        <v>464</v>
      </c>
      <c r="D41" s="15" t="s">
        <v>465</v>
      </c>
      <c r="E41" s="15" t="s">
        <v>466</v>
      </c>
      <c r="F41" s="15" t="s">
        <v>181</v>
      </c>
      <c r="G41" s="15" t="s">
        <v>467</v>
      </c>
      <c r="H41" s="15" t="s">
        <v>468</v>
      </c>
      <c r="I41" s="15" t="s">
        <v>115</v>
      </c>
      <c r="J41" s="15" t="s">
        <v>467</v>
      </c>
      <c r="K41" s="15" t="s">
        <v>468</v>
      </c>
      <c r="L41" s="15" t="s">
        <v>115</v>
      </c>
      <c r="M41" s="46" t="s">
        <v>469</v>
      </c>
      <c r="N41" s="13" t="s">
        <v>470</v>
      </c>
      <c r="O41" s="13"/>
      <c r="P41" s="15" t="s">
        <v>94</v>
      </c>
      <c r="Q41" s="17" t="s">
        <v>471</v>
      </c>
      <c r="R41" s="18">
        <v>89</v>
      </c>
      <c r="S41" s="19">
        <f t="shared" si="1"/>
        <v>14418</v>
      </c>
      <c r="T41" s="12" t="s">
        <v>46</v>
      </c>
      <c r="U41" s="15"/>
      <c r="V41" s="19">
        <v>44610</v>
      </c>
      <c r="W41" s="15" t="s">
        <v>71</v>
      </c>
      <c r="X41" s="13">
        <v>1006220</v>
      </c>
      <c r="Y41" s="20">
        <v>3079499</v>
      </c>
      <c r="Z41" s="13">
        <v>8828665</v>
      </c>
      <c r="AA41" s="13">
        <v>4621849</v>
      </c>
      <c r="AB41" s="13"/>
      <c r="AC41" s="15">
        <v>5511634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</row>
    <row r="42" spans="1:46" ht="45" customHeight="1">
      <c r="A42" s="12" t="s">
        <v>472</v>
      </c>
      <c r="B42" s="13" t="s">
        <v>473</v>
      </c>
      <c r="C42" s="66" t="s">
        <v>474</v>
      </c>
      <c r="D42" s="15" t="s">
        <v>475</v>
      </c>
      <c r="E42" s="15" t="s">
        <v>476</v>
      </c>
      <c r="F42" s="15" t="s">
        <v>477</v>
      </c>
      <c r="G42" s="15" t="s">
        <v>478</v>
      </c>
      <c r="H42" s="15" t="s">
        <v>291</v>
      </c>
      <c r="I42" s="15" t="s">
        <v>115</v>
      </c>
      <c r="J42" s="15" t="s">
        <v>479</v>
      </c>
      <c r="K42" s="15" t="s">
        <v>291</v>
      </c>
      <c r="L42" s="15" t="s">
        <v>115</v>
      </c>
      <c r="M42" s="16" t="s">
        <v>480</v>
      </c>
      <c r="N42" s="13" t="s">
        <v>481</v>
      </c>
      <c r="O42" s="13"/>
      <c r="P42" s="15" t="s">
        <v>482</v>
      </c>
      <c r="Q42" s="17" t="s">
        <v>483</v>
      </c>
      <c r="R42" s="18">
        <v>8498</v>
      </c>
      <c r="S42" s="30">
        <f t="shared" si="1"/>
        <v>1376676</v>
      </c>
      <c r="T42" s="12" t="s">
        <v>70</v>
      </c>
      <c r="U42" s="15"/>
      <c r="V42" s="19">
        <f>S42</f>
        <v>1376676</v>
      </c>
      <c r="W42" s="15" t="s">
        <v>71</v>
      </c>
      <c r="X42" s="13">
        <v>1021208</v>
      </c>
      <c r="Y42" s="20">
        <v>3079889</v>
      </c>
      <c r="Z42" s="13">
        <v>3796956</v>
      </c>
      <c r="AA42" s="13">
        <v>4648122</v>
      </c>
      <c r="AB42" s="13"/>
      <c r="AC42" s="15">
        <v>5511567</v>
      </c>
      <c r="AD42" s="49">
        <v>6477284</v>
      </c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</row>
    <row r="43" spans="1:46" ht="45" customHeight="1">
      <c r="A43" s="12" t="s">
        <v>484</v>
      </c>
      <c r="B43" s="13" t="s">
        <v>485</v>
      </c>
      <c r="C43" s="14" t="s">
        <v>486</v>
      </c>
      <c r="D43" s="15" t="s">
        <v>487</v>
      </c>
      <c r="E43" s="15" t="s">
        <v>488</v>
      </c>
      <c r="F43" s="15" t="s">
        <v>181</v>
      </c>
      <c r="G43" s="15" t="s">
        <v>489</v>
      </c>
      <c r="H43" s="15" t="s">
        <v>490</v>
      </c>
      <c r="I43" s="15" t="s">
        <v>115</v>
      </c>
      <c r="J43" s="15" t="s">
        <v>489</v>
      </c>
      <c r="K43" s="15" t="s">
        <v>490</v>
      </c>
      <c r="L43" s="15" t="s">
        <v>115</v>
      </c>
      <c r="M43" s="67" t="s">
        <v>491</v>
      </c>
      <c r="N43" s="13" t="s">
        <v>492</v>
      </c>
      <c r="O43" s="13"/>
      <c r="P43" s="15" t="s">
        <v>94</v>
      </c>
      <c r="Q43" s="17" t="s">
        <v>493</v>
      </c>
      <c r="R43" s="18">
        <v>528</v>
      </c>
      <c r="S43" s="19">
        <f t="shared" si="1"/>
        <v>85536</v>
      </c>
      <c r="T43" s="12" t="s">
        <v>46</v>
      </c>
      <c r="U43" s="15"/>
      <c r="V43" s="19">
        <v>44610</v>
      </c>
      <c r="W43" s="49" t="s">
        <v>71</v>
      </c>
      <c r="X43" s="13">
        <v>1012131</v>
      </c>
      <c r="Y43" s="20">
        <v>3082690</v>
      </c>
      <c r="Z43" s="13">
        <v>3851280</v>
      </c>
      <c r="AA43" s="13">
        <v>4896598</v>
      </c>
      <c r="AB43" s="13"/>
      <c r="AC43" s="49">
        <v>5629544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</row>
    <row r="44" spans="1:46" ht="45" customHeight="1">
      <c r="A44" s="12" t="s">
        <v>494</v>
      </c>
      <c r="B44" s="13" t="s">
        <v>495</v>
      </c>
      <c r="C44" s="14" t="s">
        <v>496</v>
      </c>
      <c r="D44" s="15" t="s">
        <v>487</v>
      </c>
      <c r="E44" s="15" t="s">
        <v>488</v>
      </c>
      <c r="F44" s="15" t="s">
        <v>181</v>
      </c>
      <c r="G44" s="15" t="s">
        <v>497</v>
      </c>
      <c r="H44" s="15" t="s">
        <v>52</v>
      </c>
      <c r="I44" s="15" t="s">
        <v>53</v>
      </c>
      <c r="J44" s="15" t="s">
        <v>497</v>
      </c>
      <c r="K44" s="15" t="s">
        <v>52</v>
      </c>
      <c r="L44" s="15" t="s">
        <v>53</v>
      </c>
      <c r="M44" s="67" t="s">
        <v>491</v>
      </c>
      <c r="N44" s="13" t="s">
        <v>498</v>
      </c>
      <c r="O44" s="13"/>
      <c r="P44" s="15" t="s">
        <v>94</v>
      </c>
      <c r="Q44" s="17" t="s">
        <v>499</v>
      </c>
      <c r="R44" s="18">
        <v>141</v>
      </c>
      <c r="S44" s="19">
        <f t="shared" si="1"/>
        <v>22842</v>
      </c>
      <c r="T44" s="12" t="s">
        <v>46</v>
      </c>
      <c r="U44" s="15"/>
      <c r="V44" s="19">
        <v>44610</v>
      </c>
      <c r="W44" s="49" t="s">
        <v>71</v>
      </c>
      <c r="X44" s="13">
        <v>1012801</v>
      </c>
      <c r="Y44" s="20">
        <v>3091679</v>
      </c>
      <c r="Z44" s="13">
        <v>3830081</v>
      </c>
      <c r="AA44" s="13">
        <v>4896391</v>
      </c>
      <c r="AB44" s="13"/>
      <c r="AC44" s="49">
        <v>5630047</v>
      </c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</row>
    <row r="45" spans="1:46" ht="45" customHeight="1">
      <c r="A45" s="12" t="s">
        <v>500</v>
      </c>
      <c r="B45" s="13" t="s">
        <v>501</v>
      </c>
      <c r="C45" s="14" t="s">
        <v>502</v>
      </c>
      <c r="D45" s="15" t="s">
        <v>503</v>
      </c>
      <c r="E45" s="15" t="s">
        <v>488</v>
      </c>
      <c r="F45" s="15" t="s">
        <v>181</v>
      </c>
      <c r="G45" s="15" t="s">
        <v>504</v>
      </c>
      <c r="H45" s="15" t="s">
        <v>505</v>
      </c>
      <c r="I45" s="15" t="s">
        <v>65</v>
      </c>
      <c r="J45" s="15" t="s">
        <v>504</v>
      </c>
      <c r="K45" s="15" t="s">
        <v>505</v>
      </c>
      <c r="L45" s="15" t="s">
        <v>65</v>
      </c>
      <c r="M45" s="16" t="s">
        <v>506</v>
      </c>
      <c r="N45" s="13">
        <v>2616244666</v>
      </c>
      <c r="O45" s="13"/>
      <c r="P45" s="15" t="s">
        <v>94</v>
      </c>
      <c r="Q45" s="17" t="s">
        <v>507</v>
      </c>
      <c r="R45" s="18">
        <v>52</v>
      </c>
      <c r="S45" s="19">
        <f t="shared" si="1"/>
        <v>8424</v>
      </c>
      <c r="T45" s="12" t="s">
        <v>46</v>
      </c>
      <c r="U45" s="15"/>
      <c r="V45" s="19">
        <v>44610</v>
      </c>
      <c r="W45" s="15"/>
      <c r="X45" s="13">
        <v>1012448</v>
      </c>
      <c r="Y45" s="20">
        <v>3099790</v>
      </c>
      <c r="Z45" s="13">
        <v>3871744</v>
      </c>
      <c r="AA45" s="13">
        <v>4740659</v>
      </c>
      <c r="AB45" s="13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</row>
    <row r="46" spans="1:46" ht="45" customHeight="1">
      <c r="A46" s="12" t="s">
        <v>508</v>
      </c>
      <c r="B46" s="13" t="s">
        <v>509</v>
      </c>
      <c r="C46" s="14" t="s">
        <v>510</v>
      </c>
      <c r="D46" s="15" t="s">
        <v>487</v>
      </c>
      <c r="E46" s="15" t="s">
        <v>488</v>
      </c>
      <c r="F46" s="15" t="s">
        <v>181</v>
      </c>
      <c r="G46" s="15" t="s">
        <v>511</v>
      </c>
      <c r="H46" s="15"/>
      <c r="I46" s="15" t="s">
        <v>41</v>
      </c>
      <c r="J46" s="15" t="s">
        <v>511</v>
      </c>
      <c r="K46" s="15"/>
      <c r="L46" s="15" t="s">
        <v>41</v>
      </c>
      <c r="M46" s="67" t="s">
        <v>491</v>
      </c>
      <c r="N46" s="13" t="s">
        <v>512</v>
      </c>
      <c r="O46" s="13"/>
      <c r="P46" s="15" t="s">
        <v>94</v>
      </c>
      <c r="Q46" s="17" t="s">
        <v>513</v>
      </c>
      <c r="R46" s="18">
        <v>76</v>
      </c>
      <c r="S46" s="19">
        <f t="shared" si="1"/>
        <v>12312</v>
      </c>
      <c r="T46" s="12" t="s">
        <v>46</v>
      </c>
      <c r="U46" s="15"/>
      <c r="V46" s="19">
        <v>44610</v>
      </c>
      <c r="W46" s="49" t="s">
        <v>71</v>
      </c>
      <c r="X46" s="13">
        <v>1013608</v>
      </c>
      <c r="Y46" s="20">
        <v>3099818</v>
      </c>
      <c r="Z46" s="13">
        <v>3837788</v>
      </c>
      <c r="AA46" s="13">
        <v>4902136</v>
      </c>
      <c r="AB46" s="13"/>
      <c r="AC46" s="49">
        <v>5629742</v>
      </c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</row>
    <row r="47" spans="1:46" ht="45" customHeight="1">
      <c r="A47" s="12" t="s">
        <v>514</v>
      </c>
      <c r="B47" s="13" t="s">
        <v>515</v>
      </c>
      <c r="C47" s="14" t="s">
        <v>516</v>
      </c>
      <c r="D47" s="15" t="s">
        <v>487</v>
      </c>
      <c r="E47" s="15" t="s">
        <v>488</v>
      </c>
      <c r="F47" s="15" t="s">
        <v>181</v>
      </c>
      <c r="G47" s="15" t="s">
        <v>517</v>
      </c>
      <c r="H47" s="15"/>
      <c r="I47" s="15" t="s">
        <v>41</v>
      </c>
      <c r="J47" s="15" t="s">
        <v>517</v>
      </c>
      <c r="K47" s="15"/>
      <c r="L47" s="15" t="s">
        <v>41</v>
      </c>
      <c r="M47" s="67" t="s">
        <v>491</v>
      </c>
      <c r="N47" s="13" t="s">
        <v>518</v>
      </c>
      <c r="O47" s="13"/>
      <c r="P47" s="15" t="s">
        <v>94</v>
      </c>
      <c r="Q47" s="17" t="s">
        <v>519</v>
      </c>
      <c r="R47" s="18">
        <v>515</v>
      </c>
      <c r="S47" s="19">
        <f t="shared" si="1"/>
        <v>83430</v>
      </c>
      <c r="T47" s="12" t="s">
        <v>46</v>
      </c>
      <c r="U47" s="15"/>
      <c r="V47" s="19">
        <v>44610</v>
      </c>
      <c r="W47" s="49" t="s">
        <v>71</v>
      </c>
      <c r="X47" s="13">
        <v>1012516</v>
      </c>
      <c r="Y47" s="20">
        <v>3099742</v>
      </c>
      <c r="Z47" s="13">
        <v>3838260</v>
      </c>
      <c r="AA47" s="13">
        <v>4901376</v>
      </c>
      <c r="AB47" s="13"/>
      <c r="AC47" s="49">
        <v>5630185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</row>
    <row r="48" spans="1:46" ht="45" customHeight="1">
      <c r="A48" s="12" t="s">
        <v>520</v>
      </c>
      <c r="B48" s="13" t="s">
        <v>521</v>
      </c>
      <c r="C48" s="14" t="s">
        <v>522</v>
      </c>
      <c r="D48" s="15" t="s">
        <v>523</v>
      </c>
      <c r="E48" s="15" t="s">
        <v>524</v>
      </c>
      <c r="F48" s="15" t="s">
        <v>181</v>
      </c>
      <c r="G48" s="15" t="s">
        <v>525</v>
      </c>
      <c r="H48" s="15" t="s">
        <v>405</v>
      </c>
      <c r="I48" s="15" t="s">
        <v>115</v>
      </c>
      <c r="J48" s="15" t="s">
        <v>525</v>
      </c>
      <c r="K48" s="15" t="s">
        <v>405</v>
      </c>
      <c r="L48" s="15" t="s">
        <v>115</v>
      </c>
      <c r="M48" s="16" t="s">
        <v>526</v>
      </c>
      <c r="N48" s="13" t="s">
        <v>527</v>
      </c>
      <c r="O48" s="13"/>
      <c r="P48" s="15" t="s">
        <v>44</v>
      </c>
      <c r="Q48" s="17" t="s">
        <v>528</v>
      </c>
      <c r="R48" s="18">
        <v>21</v>
      </c>
      <c r="S48" s="19">
        <f t="shared" si="1"/>
        <v>3402</v>
      </c>
      <c r="T48" s="12" t="s">
        <v>46</v>
      </c>
      <c r="U48" s="15"/>
      <c r="V48" s="19">
        <v>44610</v>
      </c>
      <c r="W48" s="49" t="s">
        <v>71</v>
      </c>
      <c r="X48" s="13"/>
      <c r="Y48" s="20"/>
      <c r="Z48" s="13">
        <v>3893222</v>
      </c>
      <c r="AA48" s="13">
        <v>4753614</v>
      </c>
      <c r="AB48" s="13"/>
      <c r="AC48" s="49">
        <v>5622953</v>
      </c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</row>
    <row r="49" spans="1:46" ht="45" customHeight="1">
      <c r="A49" s="50" t="s">
        <v>529</v>
      </c>
      <c r="B49" s="51" t="s">
        <v>530</v>
      </c>
      <c r="C49" s="52" t="s">
        <v>531</v>
      </c>
      <c r="D49" s="53" t="s">
        <v>532</v>
      </c>
      <c r="E49" s="53" t="s">
        <v>533</v>
      </c>
      <c r="F49" s="53" t="s">
        <v>287</v>
      </c>
      <c r="G49" s="53" t="s">
        <v>534</v>
      </c>
      <c r="H49" s="53" t="s">
        <v>52</v>
      </c>
      <c r="I49" s="53" t="s">
        <v>53</v>
      </c>
      <c r="J49" s="53" t="s">
        <v>535</v>
      </c>
      <c r="K49" s="53" t="s">
        <v>125</v>
      </c>
      <c r="L49" s="53" t="s">
        <v>115</v>
      </c>
      <c r="M49" s="68"/>
      <c r="N49" s="51">
        <v>4204391</v>
      </c>
      <c r="O49" s="51"/>
      <c r="P49" s="53" t="s">
        <v>305</v>
      </c>
      <c r="Q49" s="55" t="s">
        <v>536</v>
      </c>
      <c r="R49" s="56">
        <v>5</v>
      </c>
      <c r="S49" s="57">
        <f t="shared" si="1"/>
        <v>810</v>
      </c>
      <c r="T49" s="50" t="s">
        <v>46</v>
      </c>
      <c r="U49" s="53"/>
      <c r="V49" s="57">
        <v>44610</v>
      </c>
      <c r="W49" s="53"/>
      <c r="X49" s="51"/>
      <c r="Y49" s="58"/>
      <c r="Z49" s="51"/>
      <c r="AA49" s="51"/>
      <c r="AB49" s="51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</row>
    <row r="50" spans="1:46" ht="45" customHeight="1">
      <c r="A50" s="12" t="s">
        <v>537</v>
      </c>
      <c r="B50" s="13" t="s">
        <v>538</v>
      </c>
      <c r="C50" s="14" t="s">
        <v>539</v>
      </c>
      <c r="D50" s="15" t="s">
        <v>540</v>
      </c>
      <c r="E50" s="15" t="s">
        <v>541</v>
      </c>
      <c r="F50" s="15" t="s">
        <v>542</v>
      </c>
      <c r="G50" s="15" t="s">
        <v>543</v>
      </c>
      <c r="H50" s="15" t="s">
        <v>544</v>
      </c>
      <c r="I50" s="15" t="s">
        <v>38</v>
      </c>
      <c r="J50" s="15" t="s">
        <v>543</v>
      </c>
      <c r="K50" s="15" t="s">
        <v>544</v>
      </c>
      <c r="L50" s="15" t="s">
        <v>38</v>
      </c>
      <c r="M50" s="16" t="s">
        <v>545</v>
      </c>
      <c r="N50" s="13" t="s">
        <v>546</v>
      </c>
      <c r="O50" s="13"/>
      <c r="P50" s="15" t="s">
        <v>117</v>
      </c>
      <c r="Q50" s="17" t="s">
        <v>547</v>
      </c>
      <c r="R50" s="18">
        <v>337</v>
      </c>
      <c r="S50" s="19">
        <f t="shared" si="1"/>
        <v>54594</v>
      </c>
      <c r="T50" s="12" t="s">
        <v>46</v>
      </c>
      <c r="U50" s="15"/>
      <c r="V50" s="19">
        <v>44610</v>
      </c>
      <c r="W50" s="15"/>
      <c r="X50" s="13"/>
      <c r="Y50" s="20">
        <v>3087977</v>
      </c>
      <c r="Z50" s="13"/>
      <c r="AA50" s="13"/>
      <c r="AB50" s="13">
        <v>4901407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</row>
    <row r="51" spans="1:46" ht="45" customHeight="1">
      <c r="A51" s="21" t="s">
        <v>548</v>
      </c>
      <c r="B51" s="22" t="s">
        <v>549</v>
      </c>
      <c r="C51" s="23" t="s">
        <v>550</v>
      </c>
      <c r="D51" s="24" t="s">
        <v>551</v>
      </c>
      <c r="E51" s="24" t="s">
        <v>552</v>
      </c>
      <c r="F51" s="24" t="s">
        <v>111</v>
      </c>
      <c r="G51" s="24" t="s">
        <v>553</v>
      </c>
      <c r="H51" s="24"/>
      <c r="I51" s="24" t="s">
        <v>149</v>
      </c>
      <c r="J51" s="24" t="s">
        <v>553</v>
      </c>
      <c r="K51" s="24"/>
      <c r="L51" s="24" t="s">
        <v>149</v>
      </c>
      <c r="M51" s="25" t="s">
        <v>554</v>
      </c>
      <c r="N51" s="22" t="s">
        <v>555</v>
      </c>
      <c r="O51" s="22"/>
      <c r="P51" s="24" t="s">
        <v>196</v>
      </c>
      <c r="Q51" s="28" t="s">
        <v>556</v>
      </c>
      <c r="R51" s="29">
        <v>983</v>
      </c>
      <c r="S51" s="30">
        <f t="shared" si="1"/>
        <v>159246</v>
      </c>
      <c r="T51" s="21" t="s">
        <v>252</v>
      </c>
      <c r="U51" s="24"/>
      <c r="V51" s="30">
        <v>123900</v>
      </c>
      <c r="W51" s="24" t="s">
        <v>71</v>
      </c>
      <c r="X51" s="22"/>
      <c r="Y51" s="31"/>
      <c r="Z51" s="22"/>
      <c r="AA51" s="22">
        <v>4747320</v>
      </c>
      <c r="AB51" s="22"/>
      <c r="AC51" s="24">
        <v>5478354</v>
      </c>
      <c r="AD51" s="45">
        <v>6457834</v>
      </c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</row>
    <row r="52" spans="1:46" ht="45" customHeight="1">
      <c r="A52" s="21" t="s">
        <v>557</v>
      </c>
      <c r="B52" s="22" t="s">
        <v>558</v>
      </c>
      <c r="C52" s="23" t="s">
        <v>559</v>
      </c>
      <c r="D52" s="24" t="s">
        <v>560</v>
      </c>
      <c r="E52" s="24" t="s">
        <v>561</v>
      </c>
      <c r="F52" s="24" t="s">
        <v>62</v>
      </c>
      <c r="G52" s="24" t="s">
        <v>562</v>
      </c>
      <c r="H52" s="24" t="s">
        <v>52</v>
      </c>
      <c r="I52" s="24" t="s">
        <v>53</v>
      </c>
      <c r="J52" s="24" t="s">
        <v>563</v>
      </c>
      <c r="K52" s="24"/>
      <c r="L52" s="24" t="s">
        <v>383</v>
      </c>
      <c r="M52" s="59" t="s">
        <v>564</v>
      </c>
      <c r="N52" s="22" t="s">
        <v>565</v>
      </c>
      <c r="O52" s="22"/>
      <c r="P52" s="24" t="s">
        <v>566</v>
      </c>
      <c r="Q52" s="28" t="s">
        <v>567</v>
      </c>
      <c r="R52" s="29">
        <v>2194</v>
      </c>
      <c r="S52" s="30">
        <f t="shared" si="1"/>
        <v>355428</v>
      </c>
      <c r="T52" s="21" t="s">
        <v>96</v>
      </c>
      <c r="U52" s="24"/>
      <c r="V52" s="30">
        <v>368160</v>
      </c>
      <c r="W52" s="24"/>
      <c r="X52" s="22"/>
      <c r="Y52" s="31"/>
      <c r="Z52" s="22"/>
      <c r="AA52" s="22">
        <v>4754915</v>
      </c>
      <c r="AB52" s="22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</row>
    <row r="53" spans="1:46" ht="45" customHeight="1">
      <c r="A53" s="12" t="s">
        <v>568</v>
      </c>
      <c r="B53" s="13" t="s">
        <v>569</v>
      </c>
      <c r="C53" s="14" t="s">
        <v>570</v>
      </c>
      <c r="D53" s="15" t="s">
        <v>571</v>
      </c>
      <c r="E53" s="15" t="s">
        <v>572</v>
      </c>
      <c r="F53" s="15" t="s">
        <v>181</v>
      </c>
      <c r="G53" s="15" t="s">
        <v>573</v>
      </c>
      <c r="H53" s="15"/>
      <c r="I53" s="15" t="s">
        <v>149</v>
      </c>
      <c r="J53" s="15" t="s">
        <v>573</v>
      </c>
      <c r="K53" s="15"/>
      <c r="L53" s="15" t="s">
        <v>149</v>
      </c>
      <c r="M53" s="46" t="s">
        <v>574</v>
      </c>
      <c r="N53" s="13" t="s">
        <v>575</v>
      </c>
      <c r="O53" s="13"/>
      <c r="P53" s="15" t="s">
        <v>117</v>
      </c>
      <c r="Q53" s="17" t="s">
        <v>576</v>
      </c>
      <c r="R53" s="18">
        <v>297</v>
      </c>
      <c r="S53" s="19">
        <f t="shared" si="1"/>
        <v>48114</v>
      </c>
      <c r="T53" s="12" t="s">
        <v>46</v>
      </c>
      <c r="U53" s="15"/>
      <c r="V53" s="19">
        <v>44610</v>
      </c>
      <c r="W53" s="15" t="s">
        <v>71</v>
      </c>
      <c r="X53" s="13">
        <v>1010913</v>
      </c>
      <c r="Y53" s="20">
        <v>3088851</v>
      </c>
      <c r="Z53" s="13">
        <v>3880127</v>
      </c>
      <c r="AA53" s="13">
        <v>4745148</v>
      </c>
      <c r="AB53" s="13"/>
      <c r="AC53" s="15">
        <v>5606471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</row>
    <row r="54" spans="1:46" ht="45" customHeight="1">
      <c r="A54" s="12" t="s">
        <v>577</v>
      </c>
      <c r="B54" s="13" t="s">
        <v>578</v>
      </c>
      <c r="C54" s="14" t="s">
        <v>579</v>
      </c>
      <c r="D54" s="15" t="s">
        <v>580</v>
      </c>
      <c r="E54" s="15" t="s">
        <v>581</v>
      </c>
      <c r="F54" s="15" t="s">
        <v>77</v>
      </c>
      <c r="G54" s="15" t="s">
        <v>582</v>
      </c>
      <c r="H54" s="15" t="s">
        <v>52</v>
      </c>
      <c r="I54" s="15" t="s">
        <v>53</v>
      </c>
      <c r="J54" s="15" t="s">
        <v>583</v>
      </c>
      <c r="K54" s="15" t="s">
        <v>584</v>
      </c>
      <c r="L54" s="15" t="s">
        <v>585</v>
      </c>
      <c r="M54" s="46" t="s">
        <v>586</v>
      </c>
      <c r="N54" s="13">
        <v>2614135800</v>
      </c>
      <c r="O54" s="69">
        <v>45980</v>
      </c>
      <c r="P54" s="15" t="s">
        <v>117</v>
      </c>
      <c r="Q54" s="17" t="s">
        <v>587</v>
      </c>
      <c r="R54" s="18">
        <v>176.035</v>
      </c>
      <c r="S54" s="19">
        <f t="shared" si="1"/>
        <v>28517.67</v>
      </c>
      <c r="T54" s="12" t="s">
        <v>46</v>
      </c>
      <c r="U54" s="15"/>
      <c r="V54" s="19">
        <f>44610/2</f>
        <v>22305</v>
      </c>
      <c r="W54" s="15" t="s">
        <v>71</v>
      </c>
      <c r="X54" s="13">
        <v>1126478</v>
      </c>
      <c r="Y54" s="20">
        <v>3109489</v>
      </c>
      <c r="Z54" s="13">
        <v>3888162</v>
      </c>
      <c r="AA54" s="13">
        <v>4701917</v>
      </c>
      <c r="AB54" s="13"/>
      <c r="AC54" s="15">
        <v>5612667</v>
      </c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</row>
    <row r="55" spans="1:46" ht="45" customHeight="1">
      <c r="A55" s="21" t="s">
        <v>588</v>
      </c>
      <c r="B55" s="22" t="s">
        <v>589</v>
      </c>
      <c r="C55" s="23" t="s">
        <v>590</v>
      </c>
      <c r="D55" s="24" t="s">
        <v>591</v>
      </c>
      <c r="E55" s="24" t="s">
        <v>592</v>
      </c>
      <c r="F55" s="24" t="s">
        <v>593</v>
      </c>
      <c r="G55" s="24" t="s">
        <v>594</v>
      </c>
      <c r="H55" s="24" t="s">
        <v>595</v>
      </c>
      <c r="I55" s="24" t="s">
        <v>65</v>
      </c>
      <c r="J55" s="24" t="s">
        <v>596</v>
      </c>
      <c r="K55" s="24" t="s">
        <v>597</v>
      </c>
      <c r="L55" s="24" t="s">
        <v>65</v>
      </c>
      <c r="M55" s="70" t="s">
        <v>598</v>
      </c>
      <c r="N55" s="22" t="s">
        <v>599</v>
      </c>
      <c r="O55" s="22"/>
      <c r="P55" s="24" t="s">
        <v>600</v>
      </c>
      <c r="Q55" s="28" t="s">
        <v>601</v>
      </c>
      <c r="R55" s="29">
        <v>4981.7299999999996</v>
      </c>
      <c r="S55" s="30">
        <f t="shared" si="1"/>
        <v>807040.25999999989</v>
      </c>
      <c r="T55" s="21" t="s">
        <v>105</v>
      </c>
      <c r="U55" s="24"/>
      <c r="V55" s="30">
        <v>736320</v>
      </c>
      <c r="W55" s="45" t="s">
        <v>71</v>
      </c>
      <c r="X55" s="22">
        <v>1130308</v>
      </c>
      <c r="Y55" s="31">
        <v>3119184</v>
      </c>
      <c r="Z55" s="22">
        <v>3903399</v>
      </c>
      <c r="AA55" s="22">
        <v>4751659</v>
      </c>
      <c r="AB55" s="22"/>
      <c r="AC55" s="45">
        <v>5633299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</row>
    <row r="56" spans="1:46" ht="45" customHeight="1">
      <c r="A56" s="21" t="s">
        <v>602</v>
      </c>
      <c r="B56" s="22" t="s">
        <v>603</v>
      </c>
      <c r="C56" s="23" t="s">
        <v>604</v>
      </c>
      <c r="D56" s="24" t="s">
        <v>169</v>
      </c>
      <c r="E56" s="24" t="s">
        <v>605</v>
      </c>
      <c r="F56" s="24" t="s">
        <v>77</v>
      </c>
      <c r="G56" s="24" t="s">
        <v>606</v>
      </c>
      <c r="H56" s="24" t="s">
        <v>137</v>
      </c>
      <c r="I56" s="24" t="s">
        <v>38</v>
      </c>
      <c r="J56" s="24" t="s">
        <v>606</v>
      </c>
      <c r="K56" s="24" t="s">
        <v>137</v>
      </c>
      <c r="L56" s="24" t="s">
        <v>38</v>
      </c>
      <c r="M56" s="70" t="s">
        <v>607</v>
      </c>
      <c r="N56" s="22" t="s">
        <v>608</v>
      </c>
      <c r="O56" s="71">
        <v>46643</v>
      </c>
      <c r="P56" s="45" t="s">
        <v>609</v>
      </c>
      <c r="Q56" s="28" t="s">
        <v>610</v>
      </c>
      <c r="R56" s="29">
        <v>52082</v>
      </c>
      <c r="S56" s="30">
        <f t="shared" si="1"/>
        <v>8437284</v>
      </c>
      <c r="T56" s="21" t="s">
        <v>70</v>
      </c>
      <c r="U56" s="24"/>
      <c r="V56" s="44">
        <v>4218642</v>
      </c>
      <c r="W56" s="45" t="s">
        <v>71</v>
      </c>
      <c r="X56" s="22">
        <v>1130276</v>
      </c>
      <c r="Y56" s="31">
        <v>3120233</v>
      </c>
      <c r="Z56" s="22">
        <v>3865567</v>
      </c>
      <c r="AA56" s="22">
        <v>4750977</v>
      </c>
      <c r="AB56" s="22"/>
      <c r="AC56" s="45">
        <v>5624130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</row>
    <row r="57" spans="1:46" ht="45" customHeight="1">
      <c r="A57" s="72" t="s">
        <v>611</v>
      </c>
      <c r="B57" s="13" t="s">
        <v>612</v>
      </c>
      <c r="C57" s="14" t="s">
        <v>613</v>
      </c>
      <c r="D57" s="15" t="s">
        <v>614</v>
      </c>
      <c r="E57" s="15" t="s">
        <v>615</v>
      </c>
      <c r="F57" s="15" t="s">
        <v>77</v>
      </c>
      <c r="G57" s="15" t="s">
        <v>616</v>
      </c>
      <c r="H57" s="15" t="s">
        <v>617</v>
      </c>
      <c r="I57" s="15" t="s">
        <v>38</v>
      </c>
      <c r="J57" s="15" t="s">
        <v>618</v>
      </c>
      <c r="K57" s="15" t="s">
        <v>619</v>
      </c>
      <c r="L57" s="15" t="s">
        <v>38</v>
      </c>
      <c r="M57" s="16" t="s">
        <v>620</v>
      </c>
      <c r="N57" s="47" t="s">
        <v>621</v>
      </c>
      <c r="O57" s="73">
        <v>46699</v>
      </c>
      <c r="P57" s="15" t="s">
        <v>622</v>
      </c>
      <c r="Q57" s="17" t="s">
        <v>623</v>
      </c>
      <c r="R57" s="18">
        <v>466</v>
      </c>
      <c r="S57" s="19">
        <f t="shared" si="1"/>
        <v>75492</v>
      </c>
      <c r="T57" s="12" t="s">
        <v>46</v>
      </c>
      <c r="U57" s="15"/>
      <c r="V57" s="19">
        <f>44610/2</f>
        <v>22305</v>
      </c>
      <c r="W57" s="15" t="s">
        <v>71</v>
      </c>
      <c r="X57" s="13"/>
      <c r="Y57" s="20"/>
      <c r="Z57" s="13">
        <v>3789142</v>
      </c>
      <c r="AA57" s="13">
        <v>4662903</v>
      </c>
      <c r="AB57" s="13"/>
      <c r="AC57" s="15">
        <v>5490607</v>
      </c>
      <c r="AD57" s="49">
        <v>6477226</v>
      </c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</row>
    <row r="58" spans="1:46" ht="45" customHeight="1">
      <c r="A58" s="12" t="s">
        <v>624</v>
      </c>
      <c r="B58" s="13" t="s">
        <v>625</v>
      </c>
      <c r="C58" s="14" t="s">
        <v>626</v>
      </c>
      <c r="D58" s="15" t="s">
        <v>627</v>
      </c>
      <c r="E58" s="15" t="s">
        <v>628</v>
      </c>
      <c r="F58" s="15" t="s">
        <v>35</v>
      </c>
      <c r="G58" s="15" t="s">
        <v>629</v>
      </c>
      <c r="H58" s="15" t="s">
        <v>630</v>
      </c>
      <c r="I58" s="15" t="s">
        <v>80</v>
      </c>
      <c r="J58" s="15" t="s">
        <v>631</v>
      </c>
      <c r="K58" s="15" t="s">
        <v>632</v>
      </c>
      <c r="L58" s="15" t="s">
        <v>38</v>
      </c>
      <c r="M58" s="74" t="s">
        <v>633</v>
      </c>
      <c r="N58" s="47" t="s">
        <v>634</v>
      </c>
      <c r="O58" s="13"/>
      <c r="P58" s="15" t="s">
        <v>94</v>
      </c>
      <c r="Q58" s="17" t="s">
        <v>635</v>
      </c>
      <c r="R58" s="18">
        <v>117</v>
      </c>
      <c r="S58" s="19">
        <f t="shared" si="1"/>
        <v>18954</v>
      </c>
      <c r="T58" s="12" t="s">
        <v>46</v>
      </c>
      <c r="U58" s="15"/>
      <c r="V58" s="19">
        <v>44610</v>
      </c>
      <c r="W58" s="49" t="s">
        <v>71</v>
      </c>
      <c r="X58" s="13">
        <v>1022776</v>
      </c>
      <c r="Y58" s="20">
        <v>3114815</v>
      </c>
      <c r="Z58" s="13">
        <v>3884651</v>
      </c>
      <c r="AA58" s="13">
        <v>4744801</v>
      </c>
      <c r="AB58" s="13"/>
      <c r="AC58" s="49">
        <v>5635847</v>
      </c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</row>
    <row r="59" spans="1:46" ht="45" customHeight="1">
      <c r="A59" s="12" t="s">
        <v>636</v>
      </c>
      <c r="B59" s="13" t="s">
        <v>637</v>
      </c>
      <c r="C59" s="14" t="s">
        <v>638</v>
      </c>
      <c r="D59" s="15" t="s">
        <v>627</v>
      </c>
      <c r="E59" s="15" t="s">
        <v>628</v>
      </c>
      <c r="F59" s="15" t="s">
        <v>35</v>
      </c>
      <c r="G59" s="15" t="s">
        <v>629</v>
      </c>
      <c r="H59" s="15" t="s">
        <v>630</v>
      </c>
      <c r="I59" s="15" t="s">
        <v>80</v>
      </c>
      <c r="J59" s="15" t="s">
        <v>639</v>
      </c>
      <c r="K59" s="15" t="s">
        <v>640</v>
      </c>
      <c r="L59" s="15" t="s">
        <v>38</v>
      </c>
      <c r="M59" s="74" t="s">
        <v>641</v>
      </c>
      <c r="N59" s="13" t="s">
        <v>642</v>
      </c>
      <c r="O59" s="13"/>
      <c r="P59" s="15" t="s">
        <v>408</v>
      </c>
      <c r="Q59" s="17" t="s">
        <v>643</v>
      </c>
      <c r="R59" s="18">
        <v>141</v>
      </c>
      <c r="S59" s="19">
        <f t="shared" si="1"/>
        <v>22842</v>
      </c>
      <c r="T59" s="12" t="s">
        <v>46</v>
      </c>
      <c r="U59" s="15"/>
      <c r="V59" s="19">
        <v>44610</v>
      </c>
      <c r="W59" s="49" t="s">
        <v>71</v>
      </c>
      <c r="X59" s="13">
        <v>1022882</v>
      </c>
      <c r="Y59" s="20">
        <v>3114894</v>
      </c>
      <c r="Z59" s="13">
        <v>3884748</v>
      </c>
      <c r="AA59" s="13">
        <v>4744892</v>
      </c>
      <c r="AB59" s="13"/>
      <c r="AC59" s="49">
        <v>5636043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</row>
    <row r="60" spans="1:46" ht="45" customHeight="1">
      <c r="A60" s="12" t="s">
        <v>644</v>
      </c>
      <c r="B60" s="13" t="s">
        <v>645</v>
      </c>
      <c r="C60" s="14" t="s">
        <v>646</v>
      </c>
      <c r="D60" s="15" t="s">
        <v>627</v>
      </c>
      <c r="E60" s="15" t="s">
        <v>628</v>
      </c>
      <c r="F60" s="15" t="s">
        <v>35</v>
      </c>
      <c r="G60" s="15" t="s">
        <v>629</v>
      </c>
      <c r="H60" s="15" t="s">
        <v>630</v>
      </c>
      <c r="I60" s="15" t="s">
        <v>80</v>
      </c>
      <c r="J60" s="15" t="s">
        <v>647</v>
      </c>
      <c r="K60" s="15" t="s">
        <v>648</v>
      </c>
      <c r="L60" s="15" t="s">
        <v>38</v>
      </c>
      <c r="M60" s="74" t="s">
        <v>649</v>
      </c>
      <c r="N60" s="13" t="s">
        <v>650</v>
      </c>
      <c r="O60" s="13"/>
      <c r="P60" s="49" t="s">
        <v>651</v>
      </c>
      <c r="Q60" s="17" t="s">
        <v>652</v>
      </c>
      <c r="R60" s="75">
        <v>165</v>
      </c>
      <c r="S60" s="19">
        <f t="shared" si="1"/>
        <v>26730</v>
      </c>
      <c r="T60" s="12" t="s">
        <v>46</v>
      </c>
      <c r="U60" s="15"/>
      <c r="V60" s="19">
        <v>44610</v>
      </c>
      <c r="W60" s="49" t="s">
        <v>71</v>
      </c>
      <c r="X60" s="13">
        <v>1022931</v>
      </c>
      <c r="Y60" s="20">
        <v>3115026</v>
      </c>
      <c r="Z60" s="13">
        <v>3884831</v>
      </c>
      <c r="AA60" s="13">
        <v>4744945</v>
      </c>
      <c r="AB60" s="13"/>
      <c r="AC60" s="49">
        <v>5636374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</row>
    <row r="61" spans="1:46" ht="45" customHeight="1">
      <c r="A61" s="12" t="s">
        <v>653</v>
      </c>
      <c r="B61" s="13" t="s">
        <v>654</v>
      </c>
      <c r="C61" s="14" t="s">
        <v>655</v>
      </c>
      <c r="D61" s="15" t="s">
        <v>656</v>
      </c>
      <c r="E61" s="15" t="s">
        <v>657</v>
      </c>
      <c r="F61" s="15" t="s">
        <v>62</v>
      </c>
      <c r="G61" s="15" t="s">
        <v>658</v>
      </c>
      <c r="H61" s="15" t="s">
        <v>447</v>
      </c>
      <c r="I61" s="15" t="s">
        <v>38</v>
      </c>
      <c r="J61" s="15" t="s">
        <v>659</v>
      </c>
      <c r="K61" s="15" t="s">
        <v>660</v>
      </c>
      <c r="L61" s="15" t="s">
        <v>38</v>
      </c>
      <c r="M61" s="16" t="s">
        <v>661</v>
      </c>
      <c r="N61" s="13" t="s">
        <v>662</v>
      </c>
      <c r="O61" s="13"/>
      <c r="P61" s="15" t="s">
        <v>663</v>
      </c>
      <c r="Q61" s="17" t="s">
        <v>664</v>
      </c>
      <c r="R61" s="18">
        <v>441</v>
      </c>
      <c r="S61" s="19">
        <f t="shared" si="1"/>
        <v>71442</v>
      </c>
      <c r="T61" s="12" t="s">
        <v>46</v>
      </c>
      <c r="U61" s="15"/>
      <c r="V61" s="19">
        <v>44610</v>
      </c>
      <c r="W61" s="15"/>
      <c r="X61" s="13"/>
      <c r="Y61" s="20"/>
      <c r="Z61" s="13"/>
      <c r="AA61" s="13"/>
      <c r="AB61" s="13">
        <v>4865861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</row>
    <row r="62" spans="1:46" ht="45" customHeight="1">
      <c r="A62" s="21" t="s">
        <v>665</v>
      </c>
      <c r="B62" s="22" t="s">
        <v>666</v>
      </c>
      <c r="C62" s="23" t="s">
        <v>667</v>
      </c>
      <c r="D62" s="24" t="s">
        <v>668</v>
      </c>
      <c r="E62" s="24" t="s">
        <v>669</v>
      </c>
      <c r="F62" s="24" t="s">
        <v>542</v>
      </c>
      <c r="G62" s="24" t="s">
        <v>670</v>
      </c>
      <c r="H62" s="24" t="s">
        <v>671</v>
      </c>
      <c r="I62" s="24" t="s">
        <v>149</v>
      </c>
      <c r="J62" s="24" t="s">
        <v>670</v>
      </c>
      <c r="K62" s="24" t="s">
        <v>671</v>
      </c>
      <c r="L62" s="24" t="s">
        <v>149</v>
      </c>
      <c r="M62" s="76" t="s">
        <v>672</v>
      </c>
      <c r="N62" s="22" t="s">
        <v>673</v>
      </c>
      <c r="O62" s="22"/>
      <c r="P62" s="24" t="s">
        <v>117</v>
      </c>
      <c r="Q62" s="28" t="s">
        <v>674</v>
      </c>
      <c r="R62" s="29">
        <v>18670</v>
      </c>
      <c r="S62" s="30">
        <f t="shared" si="1"/>
        <v>3024540</v>
      </c>
      <c r="T62" s="21" t="s">
        <v>70</v>
      </c>
      <c r="U62" s="24"/>
      <c r="V62" s="30">
        <f t="shared" ref="V62:V63" si="2">S62</f>
        <v>3024540</v>
      </c>
      <c r="W62" s="24" t="s">
        <v>71</v>
      </c>
      <c r="X62" s="22"/>
      <c r="Y62" s="31">
        <v>3103925</v>
      </c>
      <c r="Z62" s="22">
        <v>3868956</v>
      </c>
      <c r="AA62" s="22">
        <v>4738515</v>
      </c>
      <c r="AB62" s="22"/>
      <c r="AC62" s="24">
        <v>5614474</v>
      </c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</row>
    <row r="63" spans="1:46" ht="45" customHeight="1">
      <c r="A63" s="21" t="s">
        <v>675</v>
      </c>
      <c r="B63" s="22" t="s">
        <v>676</v>
      </c>
      <c r="C63" s="23" t="s">
        <v>677</v>
      </c>
      <c r="D63" s="24" t="s">
        <v>678</v>
      </c>
      <c r="E63" s="24" t="s">
        <v>679</v>
      </c>
      <c r="F63" s="24" t="s">
        <v>680</v>
      </c>
      <c r="G63" s="24" t="s">
        <v>681</v>
      </c>
      <c r="H63" s="24" t="s">
        <v>682</v>
      </c>
      <c r="I63" s="24" t="s">
        <v>149</v>
      </c>
      <c r="J63" s="24" t="s">
        <v>681</v>
      </c>
      <c r="K63" s="24" t="s">
        <v>682</v>
      </c>
      <c r="L63" s="24" t="s">
        <v>149</v>
      </c>
      <c r="M63" s="25" t="s">
        <v>683</v>
      </c>
      <c r="N63" s="22" t="s">
        <v>684</v>
      </c>
      <c r="O63" s="26">
        <v>46623</v>
      </c>
      <c r="P63" s="24" t="s">
        <v>685</v>
      </c>
      <c r="Q63" s="28" t="s">
        <v>686</v>
      </c>
      <c r="R63" s="29">
        <v>15245</v>
      </c>
      <c r="S63" s="30">
        <f>162*R63</f>
        <v>2469690</v>
      </c>
      <c r="T63" s="21" t="s">
        <v>70</v>
      </c>
      <c r="U63" s="24"/>
      <c r="V63" s="30">
        <f t="shared" si="2"/>
        <v>2469690</v>
      </c>
      <c r="W63" s="24" t="s">
        <v>71</v>
      </c>
      <c r="X63" s="22">
        <v>1025433</v>
      </c>
      <c r="Y63" s="31">
        <v>3059342</v>
      </c>
      <c r="Z63" s="22">
        <v>3851127</v>
      </c>
      <c r="AA63" s="22">
        <v>4753597</v>
      </c>
      <c r="AB63" s="22"/>
      <c r="AC63" s="24">
        <v>5615757</v>
      </c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</row>
    <row r="64" spans="1:46" ht="45" customHeight="1">
      <c r="A64" s="21" t="s">
        <v>687</v>
      </c>
      <c r="B64" s="22" t="s">
        <v>688</v>
      </c>
      <c r="C64" s="23" t="s">
        <v>689</v>
      </c>
      <c r="D64" s="24" t="s">
        <v>690</v>
      </c>
      <c r="E64" s="30" t="s">
        <v>691</v>
      </c>
      <c r="F64" s="24" t="s">
        <v>158</v>
      </c>
      <c r="G64" s="24" t="s">
        <v>692</v>
      </c>
      <c r="H64" s="30" t="s">
        <v>693</v>
      </c>
      <c r="I64" s="24" t="s">
        <v>115</v>
      </c>
      <c r="J64" s="24" t="s">
        <v>692</v>
      </c>
      <c r="K64" s="24" t="s">
        <v>694</v>
      </c>
      <c r="L64" s="24" t="s">
        <v>115</v>
      </c>
      <c r="M64" s="70" t="s">
        <v>695</v>
      </c>
      <c r="N64" s="77" t="s">
        <v>696</v>
      </c>
      <c r="O64" s="22"/>
      <c r="P64" s="24" t="s">
        <v>697</v>
      </c>
      <c r="Q64" s="28" t="s">
        <v>698</v>
      </c>
      <c r="R64" s="29">
        <v>4650</v>
      </c>
      <c r="S64" s="30">
        <f t="shared" ref="S64:S127" si="3">162*R64</f>
        <v>753300</v>
      </c>
      <c r="T64" s="21" t="s">
        <v>105</v>
      </c>
      <c r="U64" s="24"/>
      <c r="V64" s="30">
        <v>736320</v>
      </c>
      <c r="W64" s="24" t="s">
        <v>71</v>
      </c>
      <c r="X64" s="22">
        <v>1023314</v>
      </c>
      <c r="Y64" s="31"/>
      <c r="Z64" s="22">
        <v>3854029</v>
      </c>
      <c r="AA64" s="22">
        <v>4686566</v>
      </c>
      <c r="AB64" s="22"/>
      <c r="AC64" s="24">
        <v>5554103</v>
      </c>
      <c r="AD64" s="45">
        <v>6479490</v>
      </c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</row>
    <row r="65" spans="1:46" ht="45" customHeight="1">
      <c r="A65" s="21" t="s">
        <v>699</v>
      </c>
      <c r="B65" s="22" t="s">
        <v>700</v>
      </c>
      <c r="C65" s="23" t="s">
        <v>701</v>
      </c>
      <c r="D65" s="24" t="s">
        <v>702</v>
      </c>
      <c r="E65" s="24" t="s">
        <v>703</v>
      </c>
      <c r="F65" s="24" t="s">
        <v>704</v>
      </c>
      <c r="G65" s="24" t="s">
        <v>705</v>
      </c>
      <c r="H65" s="24" t="s">
        <v>405</v>
      </c>
      <c r="I65" s="24" t="s">
        <v>115</v>
      </c>
      <c r="J65" s="24" t="s">
        <v>705</v>
      </c>
      <c r="K65" s="24" t="s">
        <v>405</v>
      </c>
      <c r="L65" s="24" t="s">
        <v>115</v>
      </c>
      <c r="M65" s="76" t="s">
        <v>706</v>
      </c>
      <c r="N65" s="22" t="s">
        <v>707</v>
      </c>
      <c r="O65" s="78">
        <v>46685</v>
      </c>
      <c r="P65" s="24" t="s">
        <v>708</v>
      </c>
      <c r="Q65" s="28" t="s">
        <v>709</v>
      </c>
      <c r="R65" s="29">
        <v>50927</v>
      </c>
      <c r="S65" s="30">
        <f t="shared" si="3"/>
        <v>8250174</v>
      </c>
      <c r="T65" s="21" t="s">
        <v>70</v>
      </c>
      <c r="U65" s="24"/>
      <c r="V65" s="44">
        <v>4125087</v>
      </c>
      <c r="W65" s="45" t="s">
        <v>71</v>
      </c>
      <c r="X65" s="22">
        <v>1041035</v>
      </c>
      <c r="Y65" s="31">
        <v>3121035</v>
      </c>
      <c r="Z65" s="22">
        <v>3903448</v>
      </c>
      <c r="AA65" s="22">
        <v>4746225</v>
      </c>
      <c r="AB65" s="22"/>
      <c r="AC65" s="45">
        <v>5628036</v>
      </c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</row>
    <row r="66" spans="1:46" ht="45" customHeight="1">
      <c r="A66" s="12" t="s">
        <v>710</v>
      </c>
      <c r="B66" s="13" t="s">
        <v>711</v>
      </c>
      <c r="C66" s="66" t="s">
        <v>712</v>
      </c>
      <c r="D66" s="15" t="s">
        <v>713</v>
      </c>
      <c r="E66" s="15" t="s">
        <v>476</v>
      </c>
      <c r="F66" s="15" t="s">
        <v>477</v>
      </c>
      <c r="G66" s="15" t="s">
        <v>714</v>
      </c>
      <c r="H66" s="15" t="s">
        <v>52</v>
      </c>
      <c r="I66" s="15" t="s">
        <v>53</v>
      </c>
      <c r="J66" s="15" t="s">
        <v>715</v>
      </c>
      <c r="K66" s="15"/>
      <c r="L66" s="15" t="s">
        <v>206</v>
      </c>
      <c r="M66" s="16" t="s">
        <v>716</v>
      </c>
      <c r="N66" s="13">
        <v>2615690461</v>
      </c>
      <c r="O66" s="13"/>
      <c r="P66" s="15" t="s">
        <v>717</v>
      </c>
      <c r="Q66" s="17" t="s">
        <v>718</v>
      </c>
      <c r="R66" s="18">
        <v>4222</v>
      </c>
      <c r="S66" s="30">
        <f t="shared" si="3"/>
        <v>683964</v>
      </c>
      <c r="T66" s="12" t="s">
        <v>105</v>
      </c>
      <c r="U66" s="15"/>
      <c r="V66" s="30">
        <v>736320</v>
      </c>
      <c r="W66" s="15" t="s">
        <v>71</v>
      </c>
      <c r="X66" s="13"/>
      <c r="Y66" s="20"/>
      <c r="Z66" s="13"/>
      <c r="AA66" s="13"/>
      <c r="AB66" s="13"/>
      <c r="AC66" s="15">
        <v>5593391</v>
      </c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</row>
    <row r="67" spans="1:46" ht="45" customHeight="1">
      <c r="A67" s="12" t="s">
        <v>719</v>
      </c>
      <c r="B67" s="13" t="s">
        <v>720</v>
      </c>
      <c r="C67" s="14" t="s">
        <v>721</v>
      </c>
      <c r="D67" s="15" t="s">
        <v>722</v>
      </c>
      <c r="E67" s="15" t="s">
        <v>723</v>
      </c>
      <c r="F67" s="15" t="s">
        <v>147</v>
      </c>
      <c r="G67" s="15" t="s">
        <v>724</v>
      </c>
      <c r="H67" s="15" t="s">
        <v>52</v>
      </c>
      <c r="I67" s="15" t="s">
        <v>53</v>
      </c>
      <c r="J67" s="15" t="s">
        <v>724</v>
      </c>
      <c r="K67" s="15"/>
      <c r="L67" s="15" t="s">
        <v>206</v>
      </c>
      <c r="M67" s="46" t="s">
        <v>725</v>
      </c>
      <c r="N67" s="13" t="s">
        <v>726</v>
      </c>
      <c r="O67" s="13"/>
      <c r="P67" s="15" t="s">
        <v>151</v>
      </c>
      <c r="Q67" s="17" t="s">
        <v>727</v>
      </c>
      <c r="R67" s="18">
        <v>17</v>
      </c>
      <c r="S67" s="19">
        <f t="shared" si="3"/>
        <v>2754</v>
      </c>
      <c r="T67" s="12" t="s">
        <v>46</v>
      </c>
      <c r="U67" s="15"/>
      <c r="V67" s="19">
        <v>44610</v>
      </c>
      <c r="W67" s="15"/>
      <c r="X67" s="13"/>
      <c r="Y67" s="20"/>
      <c r="Z67" s="13"/>
      <c r="AA67" s="13"/>
      <c r="AB67" s="13">
        <v>4837862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</row>
    <row r="68" spans="1:46" ht="45" customHeight="1">
      <c r="A68" s="21" t="s">
        <v>728</v>
      </c>
      <c r="B68" s="22" t="s">
        <v>729</v>
      </c>
      <c r="C68" s="23" t="s">
        <v>730</v>
      </c>
      <c r="D68" s="24" t="s">
        <v>731</v>
      </c>
      <c r="E68" s="24" t="s">
        <v>732</v>
      </c>
      <c r="F68" s="24" t="s">
        <v>402</v>
      </c>
      <c r="G68" s="24" t="s">
        <v>733</v>
      </c>
      <c r="H68" s="24" t="s">
        <v>125</v>
      </c>
      <c r="I68" s="24" t="s">
        <v>115</v>
      </c>
      <c r="J68" s="24" t="s">
        <v>733</v>
      </c>
      <c r="K68" s="24" t="s">
        <v>125</v>
      </c>
      <c r="L68" s="24" t="s">
        <v>115</v>
      </c>
      <c r="M68" s="76" t="s">
        <v>734</v>
      </c>
      <c r="N68" s="13" t="s">
        <v>735</v>
      </c>
      <c r="O68" s="22"/>
      <c r="P68" s="24" t="s">
        <v>736</v>
      </c>
      <c r="Q68" s="28" t="s">
        <v>737</v>
      </c>
      <c r="R68" s="29">
        <v>3198</v>
      </c>
      <c r="S68" s="30">
        <f t="shared" si="3"/>
        <v>518076</v>
      </c>
      <c r="T68" s="21" t="s">
        <v>129</v>
      </c>
      <c r="U68" s="24"/>
      <c r="V68" s="30">
        <v>545160</v>
      </c>
      <c r="W68" s="45" t="s">
        <v>71</v>
      </c>
      <c r="X68" s="22">
        <v>1135531</v>
      </c>
      <c r="Y68" s="31">
        <v>3115066</v>
      </c>
      <c r="Z68" s="22">
        <v>3908313</v>
      </c>
      <c r="AA68" s="22">
        <v>4757538</v>
      </c>
      <c r="AB68" s="22"/>
      <c r="AC68" s="45">
        <v>5628186</v>
      </c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</row>
    <row r="69" spans="1:46" ht="45" customHeight="1">
      <c r="A69" s="21" t="s">
        <v>738</v>
      </c>
      <c r="B69" s="22" t="s">
        <v>739</v>
      </c>
      <c r="C69" s="23" t="s">
        <v>740</v>
      </c>
      <c r="D69" s="24" t="s">
        <v>741</v>
      </c>
      <c r="E69" s="24" t="s">
        <v>742</v>
      </c>
      <c r="F69" s="24" t="s">
        <v>477</v>
      </c>
      <c r="G69" s="24" t="s">
        <v>743</v>
      </c>
      <c r="H69" s="24"/>
      <c r="I69" s="24" t="s">
        <v>149</v>
      </c>
      <c r="J69" s="24" t="s">
        <v>743</v>
      </c>
      <c r="K69" s="24"/>
      <c r="L69" s="24" t="s">
        <v>149</v>
      </c>
      <c r="M69" s="59" t="s">
        <v>744</v>
      </c>
      <c r="N69" s="22" t="s">
        <v>745</v>
      </c>
      <c r="O69" s="22"/>
      <c r="P69" s="24" t="s">
        <v>746</v>
      </c>
      <c r="Q69" s="28" t="s">
        <v>747</v>
      </c>
      <c r="R69" s="29">
        <v>1803</v>
      </c>
      <c r="S69" s="30">
        <f t="shared" si="3"/>
        <v>292086</v>
      </c>
      <c r="T69" s="21" t="s">
        <v>198</v>
      </c>
      <c r="U69" s="24"/>
      <c r="V69" s="30">
        <v>215940</v>
      </c>
      <c r="W69" s="24" t="s">
        <v>71</v>
      </c>
      <c r="X69" s="22">
        <v>1108542</v>
      </c>
      <c r="Y69" s="31">
        <v>3096688</v>
      </c>
      <c r="Z69" s="22">
        <v>3908292</v>
      </c>
      <c r="AA69" s="22">
        <v>4671540</v>
      </c>
      <c r="AB69" s="22"/>
      <c r="AC69" s="24">
        <v>5540986</v>
      </c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</row>
    <row r="70" spans="1:46" ht="45" customHeight="1">
      <c r="A70" s="12" t="s">
        <v>748</v>
      </c>
      <c r="B70" s="13" t="s">
        <v>749</v>
      </c>
      <c r="C70" s="14" t="s">
        <v>750</v>
      </c>
      <c r="D70" s="15" t="s">
        <v>751</v>
      </c>
      <c r="E70" s="15" t="s">
        <v>752</v>
      </c>
      <c r="F70" s="15" t="s">
        <v>147</v>
      </c>
      <c r="G70" s="15" t="s">
        <v>753</v>
      </c>
      <c r="H70" s="15" t="s">
        <v>52</v>
      </c>
      <c r="I70" s="15" t="s">
        <v>53</v>
      </c>
      <c r="J70" s="15" t="s">
        <v>753</v>
      </c>
      <c r="K70" s="15"/>
      <c r="L70" s="15" t="s">
        <v>206</v>
      </c>
      <c r="M70" s="16" t="s">
        <v>754</v>
      </c>
      <c r="N70" s="13">
        <v>2616524644</v>
      </c>
      <c r="O70" s="13"/>
      <c r="P70" s="15" t="s">
        <v>755</v>
      </c>
      <c r="Q70" s="17" t="s">
        <v>756</v>
      </c>
      <c r="R70" s="18">
        <v>33</v>
      </c>
      <c r="S70" s="19">
        <f t="shared" si="3"/>
        <v>5346</v>
      </c>
      <c r="T70" s="12" t="s">
        <v>46</v>
      </c>
      <c r="U70" s="15"/>
      <c r="V70" s="19">
        <v>44610</v>
      </c>
      <c r="W70" s="15" t="s">
        <v>47</v>
      </c>
      <c r="X70" s="13"/>
      <c r="Y70" s="20"/>
      <c r="Z70" s="13"/>
      <c r="AA70" s="13"/>
      <c r="AB70" s="13">
        <v>4844779</v>
      </c>
      <c r="AC70" s="15">
        <v>5539355</v>
      </c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</row>
    <row r="71" spans="1:46" ht="45" customHeight="1">
      <c r="A71" s="79" t="s">
        <v>757</v>
      </c>
      <c r="B71" s="80" t="s">
        <v>758</v>
      </c>
      <c r="C71" s="81" t="s">
        <v>759</v>
      </c>
      <c r="D71" s="82" t="s">
        <v>760</v>
      </c>
      <c r="E71" s="82" t="s">
        <v>761</v>
      </c>
      <c r="F71" s="82" t="s">
        <v>762</v>
      </c>
      <c r="G71" s="82" t="s">
        <v>763</v>
      </c>
      <c r="H71" s="82" t="s">
        <v>52</v>
      </c>
      <c r="I71" s="82" t="s">
        <v>53</v>
      </c>
      <c r="J71" s="82" t="s">
        <v>764</v>
      </c>
      <c r="K71" s="82" t="s">
        <v>765</v>
      </c>
      <c r="L71" s="82" t="s">
        <v>115</v>
      </c>
      <c r="M71" s="83" t="s">
        <v>766</v>
      </c>
      <c r="N71" s="80" t="s">
        <v>767</v>
      </c>
      <c r="O71" s="80"/>
      <c r="P71" s="82" t="s">
        <v>768</v>
      </c>
      <c r="Q71" s="84" t="s">
        <v>769</v>
      </c>
      <c r="R71" s="85" t="s">
        <v>770</v>
      </c>
      <c r="S71" s="86" t="e">
        <f t="shared" si="3"/>
        <v>#VALUE!</v>
      </c>
      <c r="T71" s="87" t="s">
        <v>770</v>
      </c>
      <c r="U71" s="82"/>
      <c r="V71" s="86">
        <v>0</v>
      </c>
      <c r="W71" s="82"/>
      <c r="X71" s="80"/>
      <c r="Y71" s="88"/>
      <c r="Z71" s="80"/>
      <c r="AA71" s="80"/>
      <c r="AB71" s="80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</row>
    <row r="72" spans="1:46" ht="45" customHeight="1">
      <c r="A72" s="21" t="s">
        <v>771</v>
      </c>
      <c r="B72" s="22" t="s">
        <v>772</v>
      </c>
      <c r="C72" s="23" t="s">
        <v>773</v>
      </c>
      <c r="D72" s="24" t="s">
        <v>774</v>
      </c>
      <c r="E72" s="24" t="s">
        <v>775</v>
      </c>
      <c r="F72" s="24" t="s">
        <v>776</v>
      </c>
      <c r="G72" s="24" t="s">
        <v>777</v>
      </c>
      <c r="H72" s="24" t="s">
        <v>778</v>
      </c>
      <c r="I72" s="24" t="s">
        <v>321</v>
      </c>
      <c r="J72" s="24" t="s">
        <v>777</v>
      </c>
      <c r="K72" s="24" t="s">
        <v>778</v>
      </c>
      <c r="L72" s="24" t="s">
        <v>321</v>
      </c>
      <c r="M72" s="76" t="s">
        <v>779</v>
      </c>
      <c r="N72" s="22" t="s">
        <v>780</v>
      </c>
      <c r="O72" s="71">
        <v>46645</v>
      </c>
      <c r="P72" s="24" t="s">
        <v>408</v>
      </c>
      <c r="Q72" s="28" t="s">
        <v>781</v>
      </c>
      <c r="R72" s="29">
        <v>5213</v>
      </c>
      <c r="S72" s="30">
        <f t="shared" si="3"/>
        <v>844506</v>
      </c>
      <c r="T72" s="21" t="s">
        <v>105</v>
      </c>
      <c r="U72" s="24"/>
      <c r="V72" s="30">
        <v>736320</v>
      </c>
      <c r="W72" s="45" t="s">
        <v>71</v>
      </c>
      <c r="X72" s="22"/>
      <c r="Y72" s="31"/>
      <c r="Z72" s="22">
        <v>3902883</v>
      </c>
      <c r="AA72" s="22">
        <v>4757843</v>
      </c>
      <c r="AB72" s="22"/>
      <c r="AC72" s="45">
        <v>5625108</v>
      </c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</row>
    <row r="73" spans="1:46" ht="45" customHeight="1">
      <c r="A73" s="50" t="s">
        <v>782</v>
      </c>
      <c r="B73" s="51" t="s">
        <v>783</v>
      </c>
      <c r="C73" s="52" t="s">
        <v>784</v>
      </c>
      <c r="D73" s="53" t="s">
        <v>785</v>
      </c>
      <c r="E73" s="53" t="s">
        <v>786</v>
      </c>
      <c r="F73" s="53" t="s">
        <v>204</v>
      </c>
      <c r="G73" s="53" t="s">
        <v>787</v>
      </c>
      <c r="H73" s="53" t="s">
        <v>125</v>
      </c>
      <c r="I73" s="53" t="s">
        <v>115</v>
      </c>
      <c r="J73" s="53" t="s">
        <v>787</v>
      </c>
      <c r="K73" s="53" t="s">
        <v>125</v>
      </c>
      <c r="L73" s="53" t="s">
        <v>115</v>
      </c>
      <c r="M73" s="54" t="s">
        <v>788</v>
      </c>
      <c r="N73" s="51" t="s">
        <v>789</v>
      </c>
      <c r="O73" s="51"/>
      <c r="P73" s="53" t="s">
        <v>790</v>
      </c>
      <c r="Q73" s="55" t="s">
        <v>791</v>
      </c>
      <c r="R73" s="56">
        <v>95</v>
      </c>
      <c r="S73" s="57">
        <f t="shared" si="3"/>
        <v>15390</v>
      </c>
      <c r="T73" s="50" t="s">
        <v>46</v>
      </c>
      <c r="U73" s="53"/>
      <c r="V73" s="57">
        <v>44610</v>
      </c>
      <c r="W73" s="53"/>
      <c r="X73" s="51"/>
      <c r="Y73" s="58"/>
      <c r="Z73" s="51"/>
      <c r="AA73" s="51"/>
      <c r="AB73" s="51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</row>
    <row r="74" spans="1:46" ht="45" customHeight="1">
      <c r="A74" s="12" t="s">
        <v>792</v>
      </c>
      <c r="B74" s="13" t="s">
        <v>793</v>
      </c>
      <c r="C74" s="66" t="s">
        <v>794</v>
      </c>
      <c r="D74" s="15" t="s">
        <v>795</v>
      </c>
      <c r="E74" s="15" t="s">
        <v>796</v>
      </c>
      <c r="F74" s="15" t="s">
        <v>62</v>
      </c>
      <c r="G74" s="15" t="s">
        <v>797</v>
      </c>
      <c r="H74" s="15" t="s">
        <v>798</v>
      </c>
      <c r="I74" s="15" t="s">
        <v>41</v>
      </c>
      <c r="J74" s="15" t="s">
        <v>797</v>
      </c>
      <c r="K74" s="15" t="s">
        <v>798</v>
      </c>
      <c r="L74" s="15" t="s">
        <v>41</v>
      </c>
      <c r="M74" s="67" t="s">
        <v>799</v>
      </c>
      <c r="N74" s="13" t="s">
        <v>800</v>
      </c>
      <c r="O74" s="69">
        <v>45229</v>
      </c>
      <c r="P74" s="15" t="s">
        <v>801</v>
      </c>
      <c r="Q74" s="17" t="s">
        <v>802</v>
      </c>
      <c r="R74" s="75">
        <v>2191.48</v>
      </c>
      <c r="S74" s="30">
        <f t="shared" si="3"/>
        <v>355019.76</v>
      </c>
      <c r="T74" s="89" t="s">
        <v>96</v>
      </c>
      <c r="U74" s="15"/>
      <c r="V74" s="19">
        <f>+S74</f>
        <v>355019.76</v>
      </c>
      <c r="W74" s="15" t="s">
        <v>47</v>
      </c>
      <c r="X74" s="13">
        <v>1013634</v>
      </c>
      <c r="Y74" s="20">
        <v>3075278</v>
      </c>
      <c r="Z74" s="13">
        <v>3828393</v>
      </c>
      <c r="AA74" s="13"/>
      <c r="AB74" s="13"/>
      <c r="AC74" s="15">
        <v>5598294</v>
      </c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</row>
    <row r="75" spans="1:46" ht="45" customHeight="1">
      <c r="A75" s="12" t="s">
        <v>803</v>
      </c>
      <c r="B75" s="13" t="s">
        <v>804</v>
      </c>
      <c r="C75" s="14" t="s">
        <v>805</v>
      </c>
      <c r="D75" s="15" t="s">
        <v>806</v>
      </c>
      <c r="E75" s="15" t="s">
        <v>807</v>
      </c>
      <c r="F75" s="15" t="s">
        <v>181</v>
      </c>
      <c r="G75" s="15" t="s">
        <v>808</v>
      </c>
      <c r="H75" s="15"/>
      <c r="I75" s="15" t="s">
        <v>149</v>
      </c>
      <c r="J75" s="15" t="s">
        <v>808</v>
      </c>
      <c r="K75" s="15"/>
      <c r="L75" s="15" t="s">
        <v>149</v>
      </c>
      <c r="M75" s="16" t="s">
        <v>809</v>
      </c>
      <c r="N75" s="13" t="s">
        <v>810</v>
      </c>
      <c r="O75" s="13"/>
      <c r="P75" s="15" t="s">
        <v>94</v>
      </c>
      <c r="Q75" s="17" t="s">
        <v>811</v>
      </c>
      <c r="R75" s="18">
        <v>178</v>
      </c>
      <c r="S75" s="19">
        <f t="shared" si="3"/>
        <v>28836</v>
      </c>
      <c r="T75" s="12" t="s">
        <v>46</v>
      </c>
      <c r="U75" s="15"/>
      <c r="V75" s="19">
        <v>44610</v>
      </c>
      <c r="W75" s="15" t="s">
        <v>71</v>
      </c>
      <c r="X75" s="13"/>
      <c r="Y75" s="20">
        <v>3113737</v>
      </c>
      <c r="Z75" s="13">
        <v>3826793</v>
      </c>
      <c r="AA75" s="13">
        <v>4729596</v>
      </c>
      <c r="AB75" s="13"/>
      <c r="AC75" s="15">
        <v>5513863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</row>
    <row r="76" spans="1:46" ht="45" customHeight="1">
      <c r="A76" s="21" t="s">
        <v>812</v>
      </c>
      <c r="B76" s="22" t="s">
        <v>813</v>
      </c>
      <c r="C76" s="23" t="s">
        <v>814</v>
      </c>
      <c r="D76" s="24" t="s">
        <v>815</v>
      </c>
      <c r="E76" s="24" t="s">
        <v>816</v>
      </c>
      <c r="F76" s="24" t="s">
        <v>158</v>
      </c>
      <c r="G76" s="24" t="s">
        <v>817</v>
      </c>
      <c r="H76" s="24" t="s">
        <v>216</v>
      </c>
      <c r="I76" s="24" t="s">
        <v>149</v>
      </c>
      <c r="J76" s="24" t="s">
        <v>817</v>
      </c>
      <c r="K76" s="24" t="s">
        <v>216</v>
      </c>
      <c r="L76" s="24" t="s">
        <v>149</v>
      </c>
      <c r="M76" s="25" t="s">
        <v>818</v>
      </c>
      <c r="N76" s="22">
        <v>2612704748</v>
      </c>
      <c r="O76" s="26">
        <v>46052</v>
      </c>
      <c r="P76" s="24" t="s">
        <v>819</v>
      </c>
      <c r="Q76" s="28" t="s">
        <v>820</v>
      </c>
      <c r="R76" s="29">
        <v>15573</v>
      </c>
      <c r="S76" s="30">
        <f t="shared" si="3"/>
        <v>2522826</v>
      </c>
      <c r="T76" s="21" t="s">
        <v>70</v>
      </c>
      <c r="U76" s="24"/>
      <c r="V76" s="44">
        <v>1261413</v>
      </c>
      <c r="W76" s="24" t="s">
        <v>71</v>
      </c>
      <c r="X76" s="22">
        <v>1129183</v>
      </c>
      <c r="Y76" s="31">
        <v>3103494</v>
      </c>
      <c r="Z76" s="22">
        <v>3898223</v>
      </c>
      <c r="AA76" s="22">
        <v>4757746</v>
      </c>
      <c r="AB76" s="22"/>
      <c r="AC76" s="24">
        <v>5633375</v>
      </c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</row>
    <row r="77" spans="1:46" ht="45" customHeight="1">
      <c r="A77" s="12" t="s">
        <v>821</v>
      </c>
      <c r="B77" s="13" t="s">
        <v>822</v>
      </c>
      <c r="C77" s="14" t="s">
        <v>823</v>
      </c>
      <c r="D77" s="15" t="s">
        <v>824</v>
      </c>
      <c r="E77" s="15" t="s">
        <v>247</v>
      </c>
      <c r="F77" s="15" t="s">
        <v>181</v>
      </c>
      <c r="G77" s="15" t="s">
        <v>825</v>
      </c>
      <c r="H77" s="15" t="s">
        <v>52</v>
      </c>
      <c r="I77" s="15" t="s">
        <v>53</v>
      </c>
      <c r="J77" s="15" t="s">
        <v>825</v>
      </c>
      <c r="K77" s="15"/>
      <c r="L77" s="15" t="s">
        <v>206</v>
      </c>
      <c r="M77" s="16" t="s">
        <v>826</v>
      </c>
      <c r="N77" s="13" t="s">
        <v>827</v>
      </c>
      <c r="O77" s="13"/>
      <c r="P77" s="15" t="s">
        <v>94</v>
      </c>
      <c r="Q77" s="17" t="s">
        <v>828</v>
      </c>
      <c r="R77" s="18">
        <v>540</v>
      </c>
      <c r="S77" s="19">
        <f t="shared" si="3"/>
        <v>87480</v>
      </c>
      <c r="T77" s="12" t="s">
        <v>46</v>
      </c>
      <c r="U77" s="15"/>
      <c r="V77" s="19">
        <v>44610</v>
      </c>
      <c r="W77" s="15" t="s">
        <v>71</v>
      </c>
      <c r="X77" s="13"/>
      <c r="Y77" s="20"/>
      <c r="Z77" s="13"/>
      <c r="AA77" s="13">
        <v>4750871</v>
      </c>
      <c r="AB77" s="13"/>
      <c r="AC77" s="15">
        <v>5610302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</row>
    <row r="78" spans="1:46" ht="45" customHeight="1">
      <c r="A78" s="40" t="s">
        <v>829</v>
      </c>
      <c r="B78" s="33" t="s">
        <v>830</v>
      </c>
      <c r="C78" s="90" t="s">
        <v>831</v>
      </c>
      <c r="D78" s="35" t="s">
        <v>832</v>
      </c>
      <c r="E78" s="35" t="s">
        <v>533</v>
      </c>
      <c r="F78" s="35" t="s">
        <v>287</v>
      </c>
      <c r="G78" s="35" t="s">
        <v>833</v>
      </c>
      <c r="H78" s="35" t="s">
        <v>52</v>
      </c>
      <c r="I78" s="35" t="s">
        <v>53</v>
      </c>
      <c r="J78" s="35" t="s">
        <v>834</v>
      </c>
      <c r="K78" s="35"/>
      <c r="L78" s="35" t="s">
        <v>149</v>
      </c>
      <c r="M78" s="36" t="s">
        <v>835</v>
      </c>
      <c r="N78" s="33" t="s">
        <v>836</v>
      </c>
      <c r="O78" s="33"/>
      <c r="P78" s="35" t="s">
        <v>305</v>
      </c>
      <c r="Q78" s="37" t="s">
        <v>837</v>
      </c>
      <c r="R78" s="38">
        <v>21</v>
      </c>
      <c r="S78" s="39">
        <f t="shared" si="3"/>
        <v>3402</v>
      </c>
      <c r="T78" s="40" t="s">
        <v>46</v>
      </c>
      <c r="U78" s="35"/>
      <c r="V78" s="39">
        <v>44610</v>
      </c>
      <c r="W78" s="35"/>
      <c r="X78" s="33"/>
      <c r="Y78" s="41"/>
      <c r="Z78" s="33"/>
      <c r="AA78" s="33"/>
      <c r="AB78" s="33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</row>
    <row r="79" spans="1:46" ht="45" customHeight="1">
      <c r="A79" s="12" t="s">
        <v>838</v>
      </c>
      <c r="B79" s="13" t="s">
        <v>839</v>
      </c>
      <c r="C79" s="14" t="s">
        <v>840</v>
      </c>
      <c r="D79" s="15" t="s">
        <v>841</v>
      </c>
      <c r="E79" s="15" t="s">
        <v>842</v>
      </c>
      <c r="F79" s="15" t="s">
        <v>204</v>
      </c>
      <c r="G79" s="15" t="s">
        <v>843</v>
      </c>
      <c r="H79" s="15" t="s">
        <v>844</v>
      </c>
      <c r="I79" s="15" t="s">
        <v>65</v>
      </c>
      <c r="J79" s="15" t="s">
        <v>843</v>
      </c>
      <c r="K79" s="15" t="s">
        <v>844</v>
      </c>
      <c r="L79" s="15" t="s">
        <v>65</v>
      </c>
      <c r="M79" s="46" t="s">
        <v>845</v>
      </c>
      <c r="N79" s="13">
        <v>2616843924</v>
      </c>
      <c r="O79" s="13"/>
      <c r="P79" s="15" t="s">
        <v>717</v>
      </c>
      <c r="Q79" s="17" t="s">
        <v>846</v>
      </c>
      <c r="R79" s="18">
        <v>320</v>
      </c>
      <c r="S79" s="19">
        <f t="shared" si="3"/>
        <v>51840</v>
      </c>
      <c r="T79" s="12" t="s">
        <v>46</v>
      </c>
      <c r="U79" s="15"/>
      <c r="V79" s="19">
        <v>44610</v>
      </c>
      <c r="W79" s="15" t="s">
        <v>47</v>
      </c>
      <c r="X79" s="13"/>
      <c r="Y79" s="20"/>
      <c r="Z79" s="13"/>
      <c r="AA79" s="13"/>
      <c r="AB79" s="13"/>
      <c r="AC79" s="15">
        <v>5506005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</row>
    <row r="80" spans="1:46" ht="45" customHeight="1">
      <c r="A80" s="12" t="s">
        <v>847</v>
      </c>
      <c r="B80" s="13" t="s">
        <v>848</v>
      </c>
      <c r="C80" s="14" t="s">
        <v>849</v>
      </c>
      <c r="D80" s="15" t="s">
        <v>850</v>
      </c>
      <c r="E80" s="15" t="s">
        <v>851</v>
      </c>
      <c r="F80" s="15" t="s">
        <v>62</v>
      </c>
      <c r="G80" s="15" t="s">
        <v>852</v>
      </c>
      <c r="H80" s="15"/>
      <c r="I80" s="15" t="s">
        <v>149</v>
      </c>
      <c r="J80" s="15" t="s">
        <v>852</v>
      </c>
      <c r="K80" s="15"/>
      <c r="L80" s="15" t="s">
        <v>149</v>
      </c>
      <c r="M80" s="16" t="s">
        <v>853</v>
      </c>
      <c r="N80" s="13" t="s">
        <v>854</v>
      </c>
      <c r="O80" s="13"/>
      <c r="P80" s="15" t="s">
        <v>855</v>
      </c>
      <c r="Q80" s="17" t="s">
        <v>856</v>
      </c>
      <c r="R80" s="18">
        <v>218</v>
      </c>
      <c r="S80" s="19">
        <f t="shared" si="3"/>
        <v>35316</v>
      </c>
      <c r="T80" s="12" t="s">
        <v>46</v>
      </c>
      <c r="U80" s="15"/>
      <c r="V80" s="19">
        <v>44610</v>
      </c>
      <c r="W80" s="15" t="s">
        <v>71</v>
      </c>
      <c r="X80" s="13">
        <v>1027893</v>
      </c>
      <c r="Y80" s="20">
        <v>3066435</v>
      </c>
      <c r="Z80" s="13">
        <v>3834106</v>
      </c>
      <c r="AA80" s="13">
        <v>4723063</v>
      </c>
      <c r="AB80" s="13"/>
      <c r="AC80" s="15">
        <v>5552290</v>
      </c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</row>
    <row r="81" spans="1:46" ht="45" customHeight="1">
      <c r="A81" s="50" t="s">
        <v>857</v>
      </c>
      <c r="B81" s="51" t="s">
        <v>858</v>
      </c>
      <c r="C81" s="52" t="s">
        <v>859</v>
      </c>
      <c r="D81" s="53" t="s">
        <v>860</v>
      </c>
      <c r="E81" s="53" t="s">
        <v>861</v>
      </c>
      <c r="F81" s="53" t="s">
        <v>181</v>
      </c>
      <c r="G81" s="53" t="s">
        <v>862</v>
      </c>
      <c r="H81" s="53" t="s">
        <v>52</v>
      </c>
      <c r="I81" s="53" t="s">
        <v>53</v>
      </c>
      <c r="J81" s="53" t="s">
        <v>863</v>
      </c>
      <c r="K81" s="53"/>
      <c r="L81" s="53" t="s">
        <v>206</v>
      </c>
      <c r="M81" s="54" t="s">
        <v>864</v>
      </c>
      <c r="N81" s="51" t="s">
        <v>865</v>
      </c>
      <c r="O81" s="51"/>
      <c r="P81" s="53" t="s">
        <v>94</v>
      </c>
      <c r="Q81" s="55" t="s">
        <v>866</v>
      </c>
      <c r="R81" s="56">
        <v>111</v>
      </c>
      <c r="S81" s="57">
        <f t="shared" si="3"/>
        <v>17982</v>
      </c>
      <c r="T81" s="50" t="s">
        <v>46</v>
      </c>
      <c r="U81" s="53"/>
      <c r="V81" s="57">
        <v>44610</v>
      </c>
      <c r="W81" s="53"/>
      <c r="X81" s="51"/>
      <c r="Y81" s="58"/>
      <c r="Z81" s="51"/>
      <c r="AA81" s="51"/>
      <c r="AB81" s="51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</row>
    <row r="82" spans="1:46" ht="45" customHeight="1">
      <c r="A82" s="50" t="s">
        <v>867</v>
      </c>
      <c r="B82" s="51" t="s">
        <v>868</v>
      </c>
      <c r="C82" s="52" t="s">
        <v>869</v>
      </c>
      <c r="D82" s="53" t="s">
        <v>860</v>
      </c>
      <c r="E82" s="53" t="s">
        <v>861</v>
      </c>
      <c r="F82" s="53" t="s">
        <v>181</v>
      </c>
      <c r="G82" s="53" t="s">
        <v>862</v>
      </c>
      <c r="H82" s="53" t="s">
        <v>52</v>
      </c>
      <c r="I82" s="53" t="s">
        <v>53</v>
      </c>
      <c r="J82" s="53" t="s">
        <v>870</v>
      </c>
      <c r="K82" s="53"/>
      <c r="L82" s="53" t="s">
        <v>115</v>
      </c>
      <c r="M82" s="54" t="s">
        <v>871</v>
      </c>
      <c r="N82" s="51" t="s">
        <v>865</v>
      </c>
      <c r="O82" s="51"/>
      <c r="P82" s="53" t="s">
        <v>44</v>
      </c>
      <c r="Q82" s="55" t="s">
        <v>872</v>
      </c>
      <c r="R82" s="56">
        <v>32</v>
      </c>
      <c r="S82" s="57">
        <f t="shared" si="3"/>
        <v>5184</v>
      </c>
      <c r="T82" s="50" t="s">
        <v>46</v>
      </c>
      <c r="U82" s="53"/>
      <c r="V82" s="57">
        <v>44610</v>
      </c>
      <c r="W82" s="53"/>
      <c r="X82" s="51"/>
      <c r="Y82" s="58">
        <v>3099645</v>
      </c>
      <c r="Z82" s="51"/>
      <c r="AA82" s="51"/>
      <c r="AB82" s="51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</row>
    <row r="83" spans="1:46" ht="45" customHeight="1">
      <c r="A83" s="21" t="s">
        <v>873</v>
      </c>
      <c r="B83" s="22" t="s">
        <v>874</v>
      </c>
      <c r="C83" s="23" t="s">
        <v>875</v>
      </c>
      <c r="D83" s="24" t="s">
        <v>876</v>
      </c>
      <c r="E83" s="24" t="s">
        <v>877</v>
      </c>
      <c r="F83" s="24" t="s">
        <v>776</v>
      </c>
      <c r="G83" s="24" t="s">
        <v>878</v>
      </c>
      <c r="H83" s="24" t="s">
        <v>52</v>
      </c>
      <c r="I83" s="24" t="s">
        <v>53</v>
      </c>
      <c r="J83" s="24" t="s">
        <v>879</v>
      </c>
      <c r="K83" s="24" t="s">
        <v>880</v>
      </c>
      <c r="L83" s="24" t="s">
        <v>881</v>
      </c>
      <c r="M83" s="63" t="s">
        <v>882</v>
      </c>
      <c r="N83" s="22" t="s">
        <v>883</v>
      </c>
      <c r="O83" s="22"/>
      <c r="P83" s="24" t="s">
        <v>884</v>
      </c>
      <c r="Q83" s="28" t="s">
        <v>885</v>
      </c>
      <c r="R83" s="29">
        <v>4724</v>
      </c>
      <c r="S83" s="30">
        <f t="shared" si="3"/>
        <v>765288</v>
      </c>
      <c r="T83" s="21" t="s">
        <v>105</v>
      </c>
      <c r="U83" s="24"/>
      <c r="V83" s="30">
        <v>736320</v>
      </c>
      <c r="W83" s="24" t="s">
        <v>47</v>
      </c>
      <c r="X83" s="22"/>
      <c r="Y83" s="31"/>
      <c r="Z83" s="22"/>
      <c r="AA83" s="22">
        <v>4638465</v>
      </c>
      <c r="AB83" s="22"/>
      <c r="AC83" s="24">
        <v>5497241</v>
      </c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</row>
    <row r="84" spans="1:46" ht="45" customHeight="1">
      <c r="A84" s="12" t="s">
        <v>886</v>
      </c>
      <c r="B84" s="13" t="s">
        <v>887</v>
      </c>
      <c r="C84" s="14" t="s">
        <v>888</v>
      </c>
      <c r="D84" s="15" t="s">
        <v>889</v>
      </c>
      <c r="E84" s="15" t="s">
        <v>890</v>
      </c>
      <c r="F84" s="15" t="s">
        <v>181</v>
      </c>
      <c r="G84" s="15" t="s">
        <v>891</v>
      </c>
      <c r="H84" s="15" t="s">
        <v>892</v>
      </c>
      <c r="I84" s="15" t="s">
        <v>115</v>
      </c>
      <c r="J84" s="15" t="s">
        <v>891</v>
      </c>
      <c r="K84" s="15" t="s">
        <v>892</v>
      </c>
      <c r="L84" s="15" t="s">
        <v>115</v>
      </c>
      <c r="M84" s="46" t="s">
        <v>893</v>
      </c>
      <c r="N84" s="13">
        <v>2615171841</v>
      </c>
      <c r="O84" s="13"/>
      <c r="P84" s="15" t="s">
        <v>94</v>
      </c>
      <c r="Q84" s="17" t="s">
        <v>894</v>
      </c>
      <c r="R84" s="18">
        <v>25</v>
      </c>
      <c r="S84" s="19">
        <f t="shared" si="3"/>
        <v>4050</v>
      </c>
      <c r="T84" s="12" t="s">
        <v>46</v>
      </c>
      <c r="U84" s="15"/>
      <c r="V84" s="19">
        <v>44610</v>
      </c>
      <c r="W84" s="15"/>
      <c r="X84" s="13">
        <v>1125507</v>
      </c>
      <c r="Y84" s="20">
        <v>3106264</v>
      </c>
      <c r="Z84" s="13"/>
      <c r="AA84" s="13"/>
      <c r="AB84" s="13">
        <v>4879821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</row>
    <row r="85" spans="1:46" ht="45" customHeight="1">
      <c r="A85" s="21" t="s">
        <v>895</v>
      </c>
      <c r="B85" s="22" t="s">
        <v>896</v>
      </c>
      <c r="C85" s="23" t="s">
        <v>897</v>
      </c>
      <c r="D85" s="24" t="s">
        <v>898</v>
      </c>
      <c r="E85" s="24" t="s">
        <v>899</v>
      </c>
      <c r="F85" s="24" t="s">
        <v>402</v>
      </c>
      <c r="G85" s="24" t="s">
        <v>900</v>
      </c>
      <c r="H85" s="24" t="s">
        <v>216</v>
      </c>
      <c r="I85" s="24" t="s">
        <v>149</v>
      </c>
      <c r="J85" s="24" t="s">
        <v>900</v>
      </c>
      <c r="K85" s="24" t="s">
        <v>216</v>
      </c>
      <c r="L85" s="24" t="s">
        <v>149</v>
      </c>
      <c r="M85" s="59" t="s">
        <v>901</v>
      </c>
      <c r="N85" s="22" t="s">
        <v>902</v>
      </c>
      <c r="O85" s="22"/>
      <c r="P85" s="24" t="s">
        <v>117</v>
      </c>
      <c r="Q85" s="28" t="s">
        <v>903</v>
      </c>
      <c r="R85" s="29">
        <v>873</v>
      </c>
      <c r="S85" s="30">
        <f t="shared" si="3"/>
        <v>141426</v>
      </c>
      <c r="T85" s="21" t="s">
        <v>252</v>
      </c>
      <c r="U85" s="24"/>
      <c r="V85" s="30">
        <v>123900</v>
      </c>
      <c r="W85" s="24" t="s">
        <v>71</v>
      </c>
      <c r="X85" s="22">
        <v>1129543</v>
      </c>
      <c r="Y85" s="31"/>
      <c r="Z85" s="22">
        <v>3833436</v>
      </c>
      <c r="AA85" s="22">
        <v>4709063</v>
      </c>
      <c r="AB85" s="22"/>
      <c r="AC85" s="24">
        <v>5532903</v>
      </c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</row>
    <row r="86" spans="1:46" ht="45" customHeight="1">
      <c r="A86" s="79" t="s">
        <v>904</v>
      </c>
      <c r="B86" s="80" t="s">
        <v>905</v>
      </c>
      <c r="C86" s="81" t="s">
        <v>906</v>
      </c>
      <c r="D86" s="82" t="s">
        <v>907</v>
      </c>
      <c r="E86" s="82" t="s">
        <v>908</v>
      </c>
      <c r="F86" s="82" t="s">
        <v>909</v>
      </c>
      <c r="G86" s="82" t="s">
        <v>910</v>
      </c>
      <c r="H86" s="82" t="s">
        <v>52</v>
      </c>
      <c r="I86" s="82" t="s">
        <v>53</v>
      </c>
      <c r="J86" s="82" t="s">
        <v>910</v>
      </c>
      <c r="K86" s="82"/>
      <c r="L86" s="82" t="s">
        <v>206</v>
      </c>
      <c r="M86" s="91" t="s">
        <v>911</v>
      </c>
      <c r="N86" s="80" t="s">
        <v>912</v>
      </c>
      <c r="O86" s="80"/>
      <c r="P86" s="82" t="s">
        <v>913</v>
      </c>
      <c r="Q86" s="84" t="s">
        <v>914</v>
      </c>
      <c r="R86" s="85" t="s">
        <v>770</v>
      </c>
      <c r="S86" s="86" t="e">
        <f t="shared" si="3"/>
        <v>#VALUE!</v>
      </c>
      <c r="T86" s="87" t="s">
        <v>770</v>
      </c>
      <c r="U86" s="82"/>
      <c r="V86" s="86">
        <v>0</v>
      </c>
      <c r="W86" s="82" t="s">
        <v>71</v>
      </c>
      <c r="X86" s="80"/>
      <c r="Y86" s="88"/>
      <c r="Z86" s="80">
        <v>3907824</v>
      </c>
      <c r="AA86" s="80">
        <v>4667210</v>
      </c>
      <c r="AB86" s="80"/>
      <c r="AC86" s="82">
        <v>5589306</v>
      </c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</row>
    <row r="87" spans="1:46" ht="45" customHeight="1">
      <c r="A87" s="12" t="s">
        <v>915</v>
      </c>
      <c r="B87" s="13" t="s">
        <v>916</v>
      </c>
      <c r="C87" s="14" t="s">
        <v>917</v>
      </c>
      <c r="D87" s="15" t="s">
        <v>918</v>
      </c>
      <c r="E87" s="15" t="s">
        <v>919</v>
      </c>
      <c r="F87" s="15" t="s">
        <v>77</v>
      </c>
      <c r="G87" s="15" t="s">
        <v>920</v>
      </c>
      <c r="H87" s="15" t="s">
        <v>921</v>
      </c>
      <c r="I87" s="15" t="s">
        <v>38</v>
      </c>
      <c r="J87" s="15" t="s">
        <v>920</v>
      </c>
      <c r="K87" s="15" t="s">
        <v>921</v>
      </c>
      <c r="L87" s="15" t="s">
        <v>38</v>
      </c>
      <c r="M87" s="46" t="s">
        <v>922</v>
      </c>
      <c r="N87" s="13">
        <v>2616178179</v>
      </c>
      <c r="O87" s="13"/>
      <c r="P87" s="15" t="s">
        <v>94</v>
      </c>
      <c r="Q87" s="17" t="s">
        <v>923</v>
      </c>
      <c r="R87" s="18">
        <v>187</v>
      </c>
      <c r="S87" s="19">
        <f t="shared" si="3"/>
        <v>30294</v>
      </c>
      <c r="T87" s="12" t="s">
        <v>46</v>
      </c>
      <c r="U87" s="15"/>
      <c r="V87" s="19">
        <v>44610</v>
      </c>
      <c r="W87" s="15"/>
      <c r="X87" s="13"/>
      <c r="Y87" s="20"/>
      <c r="Z87" s="13">
        <v>3898981</v>
      </c>
      <c r="AA87" s="13"/>
      <c r="AB87" s="13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</row>
    <row r="88" spans="1:46" ht="45" customHeight="1">
      <c r="A88" s="12" t="s">
        <v>924</v>
      </c>
      <c r="B88" s="13" t="s">
        <v>925</v>
      </c>
      <c r="C88" s="14" t="s">
        <v>926</v>
      </c>
      <c r="D88" s="15" t="s">
        <v>927</v>
      </c>
      <c r="E88" s="15" t="s">
        <v>928</v>
      </c>
      <c r="F88" s="15" t="s">
        <v>181</v>
      </c>
      <c r="G88" s="15" t="s">
        <v>929</v>
      </c>
      <c r="H88" s="15" t="s">
        <v>930</v>
      </c>
      <c r="I88" s="15" t="s">
        <v>115</v>
      </c>
      <c r="J88" s="15" t="s">
        <v>929</v>
      </c>
      <c r="K88" s="15" t="s">
        <v>930</v>
      </c>
      <c r="L88" s="15" t="s">
        <v>115</v>
      </c>
      <c r="M88" s="16" t="s">
        <v>931</v>
      </c>
      <c r="N88" s="13" t="s">
        <v>932</v>
      </c>
      <c r="O88" s="13"/>
      <c r="P88" s="15" t="s">
        <v>94</v>
      </c>
      <c r="Q88" s="17" t="s">
        <v>933</v>
      </c>
      <c r="R88" s="18">
        <v>192</v>
      </c>
      <c r="S88" s="19">
        <f t="shared" si="3"/>
        <v>31104</v>
      </c>
      <c r="T88" s="12" t="s">
        <v>46</v>
      </c>
      <c r="U88" s="15"/>
      <c r="V88" s="19">
        <v>44610</v>
      </c>
      <c r="W88" s="15" t="s">
        <v>71</v>
      </c>
      <c r="X88" s="13"/>
      <c r="Y88" s="20">
        <v>3090546</v>
      </c>
      <c r="Z88" s="13">
        <v>3888222</v>
      </c>
      <c r="AA88" s="13">
        <v>4709347</v>
      </c>
      <c r="AB88" s="13"/>
      <c r="AC88" s="92">
        <v>5616736</v>
      </c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</row>
    <row r="89" spans="1:46" ht="45" customHeight="1">
      <c r="A89" s="12" t="s">
        <v>934</v>
      </c>
      <c r="B89" s="13" t="s">
        <v>935</v>
      </c>
      <c r="C89" s="14" t="s">
        <v>936</v>
      </c>
      <c r="D89" s="15" t="s">
        <v>937</v>
      </c>
      <c r="E89" s="15" t="s">
        <v>938</v>
      </c>
      <c r="F89" s="15" t="s">
        <v>181</v>
      </c>
      <c r="G89" s="15" t="s">
        <v>939</v>
      </c>
      <c r="H89" s="15" t="s">
        <v>940</v>
      </c>
      <c r="I89" s="15" t="s">
        <v>149</v>
      </c>
      <c r="J89" s="15" t="s">
        <v>939</v>
      </c>
      <c r="K89" s="15" t="s">
        <v>940</v>
      </c>
      <c r="L89" s="15" t="s">
        <v>149</v>
      </c>
      <c r="M89" s="46" t="s">
        <v>941</v>
      </c>
      <c r="N89" s="13" t="s">
        <v>942</v>
      </c>
      <c r="O89" s="13"/>
      <c r="P89" s="15" t="s">
        <v>44</v>
      </c>
      <c r="Q89" s="17" t="s">
        <v>943</v>
      </c>
      <c r="R89" s="18">
        <v>27</v>
      </c>
      <c r="S89" s="19">
        <f t="shared" si="3"/>
        <v>4374</v>
      </c>
      <c r="T89" s="12" t="s">
        <v>46</v>
      </c>
      <c r="U89" s="15"/>
      <c r="V89" s="19">
        <v>44610</v>
      </c>
      <c r="W89" s="15" t="s">
        <v>71</v>
      </c>
      <c r="X89" s="13">
        <v>1007348</v>
      </c>
      <c r="Y89" s="20">
        <v>3071570</v>
      </c>
      <c r="Z89" s="13">
        <v>3800548</v>
      </c>
      <c r="AA89" s="13">
        <v>4668869</v>
      </c>
      <c r="AB89" s="13"/>
      <c r="AC89" s="15">
        <v>5527660</v>
      </c>
      <c r="AD89" s="49">
        <v>6457953</v>
      </c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</row>
    <row r="90" spans="1:46" ht="45" customHeight="1">
      <c r="A90" s="21" t="s">
        <v>944</v>
      </c>
      <c r="B90" s="22" t="s">
        <v>945</v>
      </c>
      <c r="C90" s="23" t="s">
        <v>946</v>
      </c>
      <c r="D90" s="24" t="s">
        <v>947</v>
      </c>
      <c r="E90" s="24" t="s">
        <v>948</v>
      </c>
      <c r="F90" s="24" t="s">
        <v>402</v>
      </c>
      <c r="G90" s="24" t="s">
        <v>949</v>
      </c>
      <c r="H90" s="24" t="s">
        <v>930</v>
      </c>
      <c r="I90" s="24" t="s">
        <v>115</v>
      </c>
      <c r="J90" s="24" t="s">
        <v>949</v>
      </c>
      <c r="K90" s="24" t="s">
        <v>930</v>
      </c>
      <c r="L90" s="24" t="s">
        <v>115</v>
      </c>
      <c r="M90" s="43" t="s">
        <v>950</v>
      </c>
      <c r="N90" s="22">
        <v>4315906</v>
      </c>
      <c r="O90" s="22"/>
      <c r="P90" s="24" t="s">
        <v>117</v>
      </c>
      <c r="Q90" s="28" t="s">
        <v>951</v>
      </c>
      <c r="R90" s="29">
        <v>667</v>
      </c>
      <c r="S90" s="30">
        <f t="shared" si="3"/>
        <v>108054</v>
      </c>
      <c r="T90" s="21" t="s">
        <v>252</v>
      </c>
      <c r="U90" s="24"/>
      <c r="V90" s="30">
        <v>123900</v>
      </c>
      <c r="W90" s="45" t="s">
        <v>47</v>
      </c>
      <c r="X90" s="22">
        <v>1135025</v>
      </c>
      <c r="Y90" s="31"/>
      <c r="Z90" s="22">
        <v>3907889</v>
      </c>
      <c r="AA90" s="22">
        <v>4751039</v>
      </c>
      <c r="AB90" s="22"/>
      <c r="AC90" s="45">
        <v>5626278</v>
      </c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</row>
    <row r="91" spans="1:46" ht="45" customHeight="1">
      <c r="A91" s="12" t="s">
        <v>952</v>
      </c>
      <c r="B91" s="13" t="s">
        <v>953</v>
      </c>
      <c r="C91" s="14" t="s">
        <v>954</v>
      </c>
      <c r="D91" s="15" t="s">
        <v>955</v>
      </c>
      <c r="E91" s="15" t="s">
        <v>861</v>
      </c>
      <c r="F91" s="15" t="s">
        <v>181</v>
      </c>
      <c r="G91" s="15" t="s">
        <v>956</v>
      </c>
      <c r="H91" s="15" t="s">
        <v>682</v>
      </c>
      <c r="I91" s="15" t="s">
        <v>115</v>
      </c>
      <c r="J91" s="15" t="s">
        <v>956</v>
      </c>
      <c r="K91" s="15" t="s">
        <v>682</v>
      </c>
      <c r="L91" s="15" t="s">
        <v>115</v>
      </c>
      <c r="M91" s="46" t="s">
        <v>957</v>
      </c>
      <c r="N91" s="13" t="s">
        <v>958</v>
      </c>
      <c r="O91" s="13"/>
      <c r="P91" s="15" t="s">
        <v>959</v>
      </c>
      <c r="Q91" s="17" t="s">
        <v>960</v>
      </c>
      <c r="R91" s="18">
        <v>409</v>
      </c>
      <c r="S91" s="19">
        <f t="shared" si="3"/>
        <v>66258</v>
      </c>
      <c r="T91" s="12" t="s">
        <v>46</v>
      </c>
      <c r="U91" s="15"/>
      <c r="V91" s="19">
        <v>44610</v>
      </c>
      <c r="W91" s="15" t="s">
        <v>71</v>
      </c>
      <c r="X91" s="13">
        <v>1018128</v>
      </c>
      <c r="Y91" s="20">
        <v>3097559</v>
      </c>
      <c r="Z91" s="13">
        <v>3869583</v>
      </c>
      <c r="AA91" s="13">
        <v>4738625</v>
      </c>
      <c r="AB91" s="13"/>
      <c r="AC91" s="15">
        <v>5565119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</row>
    <row r="92" spans="1:46" ht="45" customHeight="1">
      <c r="A92" s="21" t="s">
        <v>961</v>
      </c>
      <c r="B92" s="22" t="s">
        <v>962</v>
      </c>
      <c r="C92" s="23" t="s">
        <v>963</v>
      </c>
      <c r="D92" s="24" t="s">
        <v>964</v>
      </c>
      <c r="E92" s="24" t="s">
        <v>965</v>
      </c>
      <c r="F92" s="24" t="s">
        <v>966</v>
      </c>
      <c r="G92" s="24" t="s">
        <v>967</v>
      </c>
      <c r="H92" s="24" t="s">
        <v>968</v>
      </c>
      <c r="I92" s="24" t="s">
        <v>115</v>
      </c>
      <c r="J92" s="24" t="s">
        <v>967</v>
      </c>
      <c r="K92" s="24" t="s">
        <v>968</v>
      </c>
      <c r="L92" s="24" t="s">
        <v>115</v>
      </c>
      <c r="M92" s="25" t="s">
        <v>969</v>
      </c>
      <c r="N92" s="22" t="s">
        <v>970</v>
      </c>
      <c r="O92" s="22"/>
      <c r="P92" s="24" t="s">
        <v>884</v>
      </c>
      <c r="Q92" s="28" t="s">
        <v>971</v>
      </c>
      <c r="R92" s="29">
        <v>1477</v>
      </c>
      <c r="S92" s="30">
        <f t="shared" si="3"/>
        <v>239274</v>
      </c>
      <c r="T92" s="21" t="s">
        <v>198</v>
      </c>
      <c r="U92" s="24"/>
      <c r="V92" s="30">
        <v>215940</v>
      </c>
      <c r="W92" s="24" t="s">
        <v>71</v>
      </c>
      <c r="X92" s="22">
        <v>795145</v>
      </c>
      <c r="Y92" s="31">
        <v>3115516</v>
      </c>
      <c r="Z92" s="22">
        <v>3836635</v>
      </c>
      <c r="AA92" s="22">
        <v>4683076</v>
      </c>
      <c r="AB92" s="22"/>
      <c r="AC92" s="24">
        <v>5514657</v>
      </c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</row>
    <row r="93" spans="1:46" ht="45" customHeight="1">
      <c r="A93" s="40" t="s">
        <v>972</v>
      </c>
      <c r="B93" s="33" t="s">
        <v>973</v>
      </c>
      <c r="C93" s="34" t="s">
        <v>974</v>
      </c>
      <c r="D93" s="35" t="s">
        <v>975</v>
      </c>
      <c r="E93" s="35" t="s">
        <v>533</v>
      </c>
      <c r="F93" s="35" t="s">
        <v>287</v>
      </c>
      <c r="G93" s="35" t="s">
        <v>976</v>
      </c>
      <c r="H93" s="35" t="s">
        <v>52</v>
      </c>
      <c r="I93" s="35" t="s">
        <v>53</v>
      </c>
      <c r="J93" s="35" t="s">
        <v>976</v>
      </c>
      <c r="K93" s="35"/>
      <c r="L93" s="35" t="s">
        <v>206</v>
      </c>
      <c r="M93" s="36" t="s">
        <v>977</v>
      </c>
      <c r="N93" s="33" t="s">
        <v>978</v>
      </c>
      <c r="O93" s="33"/>
      <c r="P93" s="35" t="s">
        <v>305</v>
      </c>
      <c r="Q93" s="37" t="s">
        <v>979</v>
      </c>
      <c r="R93" s="38">
        <v>9</v>
      </c>
      <c r="S93" s="39">
        <f t="shared" si="3"/>
        <v>1458</v>
      </c>
      <c r="T93" s="40" t="s">
        <v>46</v>
      </c>
      <c r="U93" s="35"/>
      <c r="V93" s="39">
        <v>44610</v>
      </c>
      <c r="W93" s="35"/>
      <c r="X93" s="33"/>
      <c r="Y93" s="41"/>
      <c r="Z93" s="33"/>
      <c r="AA93" s="33"/>
      <c r="AB93" s="33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</row>
    <row r="94" spans="1:46" ht="45" customHeight="1">
      <c r="A94" s="40" t="s">
        <v>980</v>
      </c>
      <c r="B94" s="33" t="s">
        <v>981</v>
      </c>
      <c r="C94" s="90" t="s">
        <v>982</v>
      </c>
      <c r="D94" s="35" t="s">
        <v>983</v>
      </c>
      <c r="E94" s="35" t="s">
        <v>984</v>
      </c>
      <c r="F94" s="35" t="s">
        <v>181</v>
      </c>
      <c r="G94" s="35" t="s">
        <v>985</v>
      </c>
      <c r="H94" s="35" t="s">
        <v>986</v>
      </c>
      <c r="I94" s="35" t="s">
        <v>115</v>
      </c>
      <c r="J94" s="35" t="s">
        <v>985</v>
      </c>
      <c r="K94" s="35" t="s">
        <v>986</v>
      </c>
      <c r="L94" s="35" t="s">
        <v>115</v>
      </c>
      <c r="M94" s="36" t="s">
        <v>987</v>
      </c>
      <c r="N94" s="33">
        <v>2614217061</v>
      </c>
      <c r="O94" s="33"/>
      <c r="P94" s="35" t="s">
        <v>44</v>
      </c>
      <c r="Q94" s="37" t="s">
        <v>988</v>
      </c>
      <c r="R94" s="38">
        <v>39</v>
      </c>
      <c r="S94" s="39">
        <f t="shared" si="3"/>
        <v>6318</v>
      </c>
      <c r="T94" s="40" t="s">
        <v>46</v>
      </c>
      <c r="U94" s="35"/>
      <c r="V94" s="39">
        <v>44610</v>
      </c>
      <c r="W94" s="35"/>
      <c r="X94" s="33"/>
      <c r="Y94" s="41"/>
      <c r="Z94" s="33"/>
      <c r="AA94" s="33"/>
      <c r="AB94" s="33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</row>
    <row r="95" spans="1:46" ht="45" customHeight="1">
      <c r="A95" s="21" t="s">
        <v>989</v>
      </c>
      <c r="B95" s="22" t="s">
        <v>990</v>
      </c>
      <c r="C95" s="23" t="s">
        <v>991</v>
      </c>
      <c r="D95" s="24" t="s">
        <v>992</v>
      </c>
      <c r="E95" s="24" t="s">
        <v>993</v>
      </c>
      <c r="F95" s="24" t="s">
        <v>181</v>
      </c>
      <c r="G95" s="24" t="s">
        <v>994</v>
      </c>
      <c r="H95" s="24" t="s">
        <v>125</v>
      </c>
      <c r="I95" s="24" t="s">
        <v>115</v>
      </c>
      <c r="J95" s="24" t="s">
        <v>994</v>
      </c>
      <c r="K95" s="24" t="s">
        <v>125</v>
      </c>
      <c r="L95" s="24" t="s">
        <v>115</v>
      </c>
      <c r="M95" s="25" t="s">
        <v>995</v>
      </c>
      <c r="N95" s="22" t="s">
        <v>996</v>
      </c>
      <c r="O95" s="22"/>
      <c r="P95" s="24" t="s">
        <v>94</v>
      </c>
      <c r="Q95" s="28" t="s">
        <v>997</v>
      </c>
      <c r="R95" s="29">
        <v>608</v>
      </c>
      <c r="S95" s="30">
        <f t="shared" si="3"/>
        <v>98496</v>
      </c>
      <c r="T95" s="21" t="s">
        <v>252</v>
      </c>
      <c r="U95" s="24"/>
      <c r="V95" s="30">
        <v>123900</v>
      </c>
      <c r="W95" s="24" t="s">
        <v>71</v>
      </c>
      <c r="X95" s="22"/>
      <c r="Y95" s="31"/>
      <c r="Z95" s="22"/>
      <c r="AA95" s="22"/>
      <c r="AB95" s="22">
        <v>4906334</v>
      </c>
      <c r="AC95" s="24">
        <v>5618018</v>
      </c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</row>
    <row r="96" spans="1:46" ht="45" customHeight="1">
      <c r="A96" s="21" t="s">
        <v>998</v>
      </c>
      <c r="B96" s="22" t="s">
        <v>999</v>
      </c>
      <c r="C96" s="23" t="s">
        <v>1000</v>
      </c>
      <c r="D96" s="24" t="s">
        <v>741</v>
      </c>
      <c r="E96" s="24" t="s">
        <v>1001</v>
      </c>
      <c r="F96" s="24" t="s">
        <v>477</v>
      </c>
      <c r="G96" s="24" t="s">
        <v>1002</v>
      </c>
      <c r="H96" s="24" t="s">
        <v>125</v>
      </c>
      <c r="I96" s="24" t="s">
        <v>115</v>
      </c>
      <c r="J96" s="24" t="s">
        <v>1003</v>
      </c>
      <c r="K96" s="24"/>
      <c r="L96" s="24" t="s">
        <v>149</v>
      </c>
      <c r="M96" s="25" t="s">
        <v>1004</v>
      </c>
      <c r="N96" s="22" t="s">
        <v>1005</v>
      </c>
      <c r="O96" s="22"/>
      <c r="P96" s="24" t="s">
        <v>408</v>
      </c>
      <c r="Q96" s="28" t="s">
        <v>1006</v>
      </c>
      <c r="R96" s="29">
        <v>1712</v>
      </c>
      <c r="S96" s="30">
        <f t="shared" si="3"/>
        <v>277344</v>
      </c>
      <c r="T96" s="21" t="s">
        <v>198</v>
      </c>
      <c r="U96" s="24"/>
      <c r="V96" s="30">
        <v>215940</v>
      </c>
      <c r="W96" s="24" t="s">
        <v>71</v>
      </c>
      <c r="X96" s="22">
        <v>1108959</v>
      </c>
      <c r="Y96" s="31">
        <v>3097543</v>
      </c>
      <c r="Z96" s="22"/>
      <c r="AA96" s="22">
        <v>4671544</v>
      </c>
      <c r="AB96" s="22"/>
      <c r="AC96" s="24">
        <v>5540483</v>
      </c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</row>
    <row r="97" spans="1:46" ht="45" customHeight="1">
      <c r="A97" s="21" t="s">
        <v>1007</v>
      </c>
      <c r="B97" s="22" t="s">
        <v>1008</v>
      </c>
      <c r="C97" s="23" t="s">
        <v>1009</v>
      </c>
      <c r="D97" s="24" t="s">
        <v>1010</v>
      </c>
      <c r="E97" s="24" t="s">
        <v>1011</v>
      </c>
      <c r="F97" s="24" t="s">
        <v>402</v>
      </c>
      <c r="G97" s="24" t="s">
        <v>1012</v>
      </c>
      <c r="H97" s="24" t="s">
        <v>1013</v>
      </c>
      <c r="I97" s="24" t="s">
        <v>149</v>
      </c>
      <c r="J97" s="24" t="s">
        <v>1012</v>
      </c>
      <c r="K97" s="24" t="s">
        <v>1013</v>
      </c>
      <c r="L97" s="24" t="s">
        <v>149</v>
      </c>
      <c r="M97" s="59" t="s">
        <v>1014</v>
      </c>
      <c r="N97" s="22" t="s">
        <v>1015</v>
      </c>
      <c r="O97" s="22"/>
      <c r="P97" s="24" t="s">
        <v>408</v>
      </c>
      <c r="Q97" s="28" t="s">
        <v>1016</v>
      </c>
      <c r="R97" s="29">
        <v>2352.4899999999998</v>
      </c>
      <c r="S97" s="30">
        <f t="shared" si="3"/>
        <v>381103.37999999995</v>
      </c>
      <c r="T97" s="21" t="s">
        <v>96</v>
      </c>
      <c r="U97" s="24"/>
      <c r="V97" s="30">
        <v>368160</v>
      </c>
      <c r="W97" s="45" t="s">
        <v>71</v>
      </c>
      <c r="X97" s="22"/>
      <c r="Y97" s="31"/>
      <c r="Z97" s="22">
        <v>3903841</v>
      </c>
      <c r="AA97" s="22"/>
      <c r="AB97" s="22"/>
      <c r="AC97" s="45">
        <v>5627207</v>
      </c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</row>
    <row r="98" spans="1:46" ht="45" customHeight="1">
      <c r="A98" s="21" t="s">
        <v>1017</v>
      </c>
      <c r="B98" s="22" t="s">
        <v>1018</v>
      </c>
      <c r="C98" s="23" t="s">
        <v>1019</v>
      </c>
      <c r="D98" s="24" t="s">
        <v>580</v>
      </c>
      <c r="E98" s="24" t="s">
        <v>581</v>
      </c>
      <c r="F98" s="24" t="s">
        <v>77</v>
      </c>
      <c r="G98" s="24" t="s">
        <v>582</v>
      </c>
      <c r="H98" s="24" t="s">
        <v>52</v>
      </c>
      <c r="I98" s="24" t="s">
        <v>53</v>
      </c>
      <c r="J98" s="24" t="s">
        <v>1020</v>
      </c>
      <c r="K98" s="24" t="s">
        <v>1021</v>
      </c>
      <c r="L98" s="24" t="s">
        <v>1022</v>
      </c>
      <c r="M98" s="59" t="s">
        <v>1023</v>
      </c>
      <c r="N98" s="93" t="s">
        <v>1024</v>
      </c>
      <c r="O98" s="62">
        <v>45980</v>
      </c>
      <c r="P98" s="24" t="s">
        <v>1025</v>
      </c>
      <c r="Q98" s="28" t="s">
        <v>1026</v>
      </c>
      <c r="R98" s="29">
        <v>2070</v>
      </c>
      <c r="S98" s="30">
        <f t="shared" si="3"/>
        <v>335340</v>
      </c>
      <c r="T98" s="21" t="s">
        <v>96</v>
      </c>
      <c r="U98" s="24"/>
      <c r="V98" s="44">
        <v>184080</v>
      </c>
      <c r="W98" s="24" t="s">
        <v>71</v>
      </c>
      <c r="X98" s="22">
        <v>1126254</v>
      </c>
      <c r="Y98" s="31">
        <v>3109394</v>
      </c>
      <c r="Z98" s="22">
        <v>3888150</v>
      </c>
      <c r="AA98" s="22">
        <v>4701901</v>
      </c>
      <c r="AB98" s="22"/>
      <c r="AC98" s="24">
        <v>5612662</v>
      </c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</row>
    <row r="99" spans="1:46" ht="45" customHeight="1">
      <c r="A99" s="21" t="s">
        <v>1027</v>
      </c>
      <c r="B99" s="22" t="s">
        <v>1028</v>
      </c>
      <c r="C99" s="61" t="s">
        <v>1029</v>
      </c>
      <c r="D99" s="24" t="s">
        <v>1030</v>
      </c>
      <c r="E99" s="24" t="s">
        <v>1031</v>
      </c>
      <c r="F99" s="24" t="s">
        <v>62</v>
      </c>
      <c r="G99" s="24" t="s">
        <v>1032</v>
      </c>
      <c r="H99" s="24" t="s">
        <v>238</v>
      </c>
      <c r="I99" s="24" t="s">
        <v>38</v>
      </c>
      <c r="J99" s="24" t="s">
        <v>1032</v>
      </c>
      <c r="K99" s="24" t="s">
        <v>238</v>
      </c>
      <c r="L99" s="24" t="s">
        <v>38</v>
      </c>
      <c r="M99" s="25" t="s">
        <v>1033</v>
      </c>
      <c r="N99" s="22" t="s">
        <v>1034</v>
      </c>
      <c r="O99" s="22"/>
      <c r="P99" s="24" t="s">
        <v>94</v>
      </c>
      <c r="Q99" s="28" t="s">
        <v>1035</v>
      </c>
      <c r="R99" s="29">
        <v>2708</v>
      </c>
      <c r="S99" s="30">
        <f t="shared" si="3"/>
        <v>438696</v>
      </c>
      <c r="T99" s="21" t="s">
        <v>96</v>
      </c>
      <c r="U99" s="24"/>
      <c r="V99" s="30">
        <v>368160</v>
      </c>
      <c r="W99" s="24" t="s">
        <v>71</v>
      </c>
      <c r="X99" s="22"/>
      <c r="Y99" s="31">
        <v>3111885</v>
      </c>
      <c r="Z99" s="22"/>
      <c r="AA99" s="22"/>
      <c r="AB99" s="22">
        <v>4849602</v>
      </c>
      <c r="AC99" s="24">
        <v>5633352</v>
      </c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</row>
    <row r="100" spans="1:46" ht="45" customHeight="1">
      <c r="A100" s="12" t="s">
        <v>1036</v>
      </c>
      <c r="B100" s="13" t="s">
        <v>1037</v>
      </c>
      <c r="C100" s="14" t="s">
        <v>1038</v>
      </c>
      <c r="D100" s="15" t="s">
        <v>487</v>
      </c>
      <c r="E100" s="15" t="s">
        <v>488</v>
      </c>
      <c r="F100" s="15" t="s">
        <v>181</v>
      </c>
      <c r="G100" s="15" t="s">
        <v>1039</v>
      </c>
      <c r="H100" s="15" t="s">
        <v>1040</v>
      </c>
      <c r="I100" s="15" t="s">
        <v>115</v>
      </c>
      <c r="J100" s="15" t="s">
        <v>1039</v>
      </c>
      <c r="K100" s="15" t="s">
        <v>1040</v>
      </c>
      <c r="L100" s="15" t="s">
        <v>115</v>
      </c>
      <c r="M100" s="67" t="s">
        <v>491</v>
      </c>
      <c r="N100" s="94" t="s">
        <v>1041</v>
      </c>
      <c r="O100" s="13"/>
      <c r="P100" s="15" t="s">
        <v>94</v>
      </c>
      <c r="Q100" s="17" t="s">
        <v>1042</v>
      </c>
      <c r="R100" s="18">
        <v>64</v>
      </c>
      <c r="S100" s="19">
        <f t="shared" si="3"/>
        <v>10368</v>
      </c>
      <c r="T100" s="12" t="s">
        <v>46</v>
      </c>
      <c r="U100" s="15"/>
      <c r="V100" s="19">
        <v>44610</v>
      </c>
      <c r="W100" s="49" t="s">
        <v>71</v>
      </c>
      <c r="X100" s="13">
        <v>1012223</v>
      </c>
      <c r="Y100" s="20">
        <v>3092390</v>
      </c>
      <c r="Z100" s="13">
        <v>3850948</v>
      </c>
      <c r="AA100" s="13">
        <v>4896595</v>
      </c>
      <c r="AB100" s="13"/>
      <c r="AC100" s="49">
        <v>5630314</v>
      </c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</row>
    <row r="101" spans="1:46" ht="45" customHeight="1">
      <c r="A101" s="21" t="s">
        <v>1043</v>
      </c>
      <c r="B101" s="22" t="s">
        <v>1044</v>
      </c>
      <c r="C101" s="23" t="s">
        <v>1045</v>
      </c>
      <c r="D101" s="24" t="s">
        <v>1046</v>
      </c>
      <c r="E101" s="24" t="s">
        <v>1047</v>
      </c>
      <c r="F101" s="24" t="s">
        <v>909</v>
      </c>
      <c r="G101" s="24" t="s">
        <v>1048</v>
      </c>
      <c r="H101" s="24"/>
      <c r="I101" s="24" t="s">
        <v>38</v>
      </c>
      <c r="J101" s="24" t="s">
        <v>1048</v>
      </c>
      <c r="K101" s="24"/>
      <c r="L101" s="24" t="s">
        <v>38</v>
      </c>
      <c r="M101" s="25" t="s">
        <v>1049</v>
      </c>
      <c r="N101" s="22">
        <v>2615398980</v>
      </c>
      <c r="O101" s="22"/>
      <c r="P101" s="24" t="s">
        <v>94</v>
      </c>
      <c r="Q101" s="28" t="s">
        <v>1050</v>
      </c>
      <c r="R101" s="29">
        <v>695</v>
      </c>
      <c r="S101" s="30">
        <f t="shared" si="3"/>
        <v>112590</v>
      </c>
      <c r="T101" s="21" t="s">
        <v>252</v>
      </c>
      <c r="U101" s="24"/>
      <c r="V101" s="30">
        <v>123900</v>
      </c>
      <c r="W101" s="24"/>
      <c r="X101" s="22"/>
      <c r="Y101" s="31"/>
      <c r="Z101" s="22"/>
      <c r="AA101" s="22"/>
      <c r="AB101" s="22">
        <v>4884458</v>
      </c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</row>
    <row r="102" spans="1:46" ht="45" customHeight="1">
      <c r="A102" s="21" t="s">
        <v>1051</v>
      </c>
      <c r="B102" s="22" t="s">
        <v>1052</v>
      </c>
      <c r="C102" s="23" t="s">
        <v>1053</v>
      </c>
      <c r="D102" s="24" t="s">
        <v>1054</v>
      </c>
      <c r="E102" s="24" t="s">
        <v>1055</v>
      </c>
      <c r="F102" s="24" t="s">
        <v>966</v>
      </c>
      <c r="G102" s="24" t="s">
        <v>1056</v>
      </c>
      <c r="H102" s="24"/>
      <c r="I102" s="24" t="s">
        <v>149</v>
      </c>
      <c r="J102" s="24" t="s">
        <v>1057</v>
      </c>
      <c r="K102" s="24"/>
      <c r="L102" s="24" t="s">
        <v>1058</v>
      </c>
      <c r="M102" s="25" t="s">
        <v>1059</v>
      </c>
      <c r="N102" s="22" t="s">
        <v>1060</v>
      </c>
      <c r="O102" s="26">
        <v>45551</v>
      </c>
      <c r="P102" s="24" t="s">
        <v>1061</v>
      </c>
      <c r="Q102" s="28" t="s">
        <v>1062</v>
      </c>
      <c r="R102" s="29">
        <v>1195</v>
      </c>
      <c r="S102" s="30">
        <f t="shared" si="3"/>
        <v>193590</v>
      </c>
      <c r="T102" s="21" t="s">
        <v>198</v>
      </c>
      <c r="U102" s="24"/>
      <c r="V102" s="30">
        <v>215940</v>
      </c>
      <c r="W102" s="24" t="s">
        <v>71</v>
      </c>
      <c r="X102" s="22">
        <v>1012536</v>
      </c>
      <c r="Y102" s="31">
        <v>3092895</v>
      </c>
      <c r="Z102" s="22">
        <v>3810374</v>
      </c>
      <c r="AA102" s="22">
        <v>4628597</v>
      </c>
      <c r="AB102" s="22"/>
      <c r="AC102" s="24">
        <v>5477799</v>
      </c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</row>
    <row r="103" spans="1:46" ht="45" customHeight="1">
      <c r="A103" s="21" t="s">
        <v>1063</v>
      </c>
      <c r="B103" s="22" t="s">
        <v>1064</v>
      </c>
      <c r="C103" s="23" t="s">
        <v>1065</v>
      </c>
      <c r="D103" s="24" t="s">
        <v>1054</v>
      </c>
      <c r="E103" s="24" t="s">
        <v>1055</v>
      </c>
      <c r="F103" s="24" t="s">
        <v>966</v>
      </c>
      <c r="G103" s="24" t="s">
        <v>1056</v>
      </c>
      <c r="H103" s="24"/>
      <c r="I103" s="24" t="s">
        <v>149</v>
      </c>
      <c r="J103" s="24" t="s">
        <v>1066</v>
      </c>
      <c r="K103" s="24" t="s">
        <v>1067</v>
      </c>
      <c r="L103" s="24" t="s">
        <v>1058</v>
      </c>
      <c r="M103" s="59" t="s">
        <v>1068</v>
      </c>
      <c r="N103" s="22" t="s">
        <v>1069</v>
      </c>
      <c r="O103" s="22"/>
      <c r="P103" s="24" t="s">
        <v>1070</v>
      </c>
      <c r="Q103" s="28" t="s">
        <v>1071</v>
      </c>
      <c r="R103" s="29">
        <v>2028</v>
      </c>
      <c r="S103" s="30">
        <f t="shared" si="3"/>
        <v>328536</v>
      </c>
      <c r="T103" s="21" t="s">
        <v>96</v>
      </c>
      <c r="U103" s="24"/>
      <c r="V103" s="30">
        <v>368160</v>
      </c>
      <c r="W103" s="24" t="s">
        <v>71</v>
      </c>
      <c r="X103" s="22">
        <v>1012646</v>
      </c>
      <c r="Y103" s="31">
        <v>3092907</v>
      </c>
      <c r="Z103" s="22">
        <v>3810426</v>
      </c>
      <c r="AA103" s="22">
        <v>4628795</v>
      </c>
      <c r="AB103" s="22"/>
      <c r="AC103" s="24">
        <v>5477993</v>
      </c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</row>
    <row r="104" spans="1:46" ht="45" customHeight="1">
      <c r="A104" s="12" t="s">
        <v>1072</v>
      </c>
      <c r="B104" s="13" t="s">
        <v>1073</v>
      </c>
      <c r="C104" s="14" t="s">
        <v>1074</v>
      </c>
      <c r="D104" s="15" t="s">
        <v>1075</v>
      </c>
      <c r="E104" s="15" t="s">
        <v>1076</v>
      </c>
      <c r="F104" s="15" t="s">
        <v>111</v>
      </c>
      <c r="G104" s="15" t="s">
        <v>1077</v>
      </c>
      <c r="H104" s="15" t="s">
        <v>1078</v>
      </c>
      <c r="I104" s="15" t="s">
        <v>149</v>
      </c>
      <c r="J104" s="15" t="s">
        <v>1077</v>
      </c>
      <c r="K104" s="15" t="s">
        <v>1079</v>
      </c>
      <c r="L104" s="15" t="s">
        <v>149</v>
      </c>
      <c r="M104" s="16" t="s">
        <v>1080</v>
      </c>
      <c r="N104" s="13" t="s">
        <v>1081</v>
      </c>
      <c r="O104" s="13"/>
      <c r="P104" s="15" t="s">
        <v>117</v>
      </c>
      <c r="Q104" s="17" t="s">
        <v>1082</v>
      </c>
      <c r="R104" s="18">
        <v>444</v>
      </c>
      <c r="S104" s="19">
        <f t="shared" si="3"/>
        <v>71928</v>
      </c>
      <c r="T104" s="12" t="s">
        <v>46</v>
      </c>
      <c r="U104" s="15"/>
      <c r="V104" s="19">
        <v>44610</v>
      </c>
      <c r="W104" s="15"/>
      <c r="X104" s="13"/>
      <c r="Y104" s="20"/>
      <c r="Z104" s="13"/>
      <c r="AA104" s="13"/>
      <c r="AB104" s="13">
        <v>4858795</v>
      </c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</row>
    <row r="105" spans="1:46" ht="45" customHeight="1">
      <c r="A105" s="21" t="s">
        <v>1083</v>
      </c>
      <c r="B105" s="22" t="s">
        <v>1084</v>
      </c>
      <c r="C105" s="23" t="s">
        <v>1085</v>
      </c>
      <c r="D105" s="24" t="s">
        <v>1086</v>
      </c>
      <c r="E105" s="24" t="s">
        <v>1087</v>
      </c>
      <c r="F105" s="24" t="s">
        <v>909</v>
      </c>
      <c r="G105" s="24" t="s">
        <v>1088</v>
      </c>
      <c r="H105" s="24" t="s">
        <v>457</v>
      </c>
      <c r="I105" s="24" t="s">
        <v>80</v>
      </c>
      <c r="J105" s="24" t="s">
        <v>1088</v>
      </c>
      <c r="K105" s="24" t="s">
        <v>457</v>
      </c>
      <c r="L105" s="24" t="s">
        <v>80</v>
      </c>
      <c r="M105" s="25" t="s">
        <v>1089</v>
      </c>
      <c r="N105" s="94" t="s">
        <v>1090</v>
      </c>
      <c r="O105" s="26">
        <v>45536</v>
      </c>
      <c r="P105" s="24" t="s">
        <v>1091</v>
      </c>
      <c r="Q105" s="28" t="s">
        <v>1092</v>
      </c>
      <c r="R105" s="29">
        <v>4212.58</v>
      </c>
      <c r="S105" s="30">
        <f t="shared" si="3"/>
        <v>682437.96</v>
      </c>
      <c r="T105" s="21" t="s">
        <v>105</v>
      </c>
      <c r="U105" s="24"/>
      <c r="V105" s="30">
        <v>736320</v>
      </c>
      <c r="W105" s="45" t="s">
        <v>71</v>
      </c>
      <c r="X105" s="22">
        <v>1138822</v>
      </c>
      <c r="Y105" s="31"/>
      <c r="Z105" s="22">
        <v>3854403</v>
      </c>
      <c r="AA105" s="22">
        <v>4734885</v>
      </c>
      <c r="AB105" s="22"/>
      <c r="AC105" s="45">
        <v>5626441</v>
      </c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</row>
    <row r="106" spans="1:46" ht="45" customHeight="1">
      <c r="A106" s="12" t="s">
        <v>1093</v>
      </c>
      <c r="B106" s="13" t="s">
        <v>1094</v>
      </c>
      <c r="C106" s="14" t="s">
        <v>1095</v>
      </c>
      <c r="D106" s="15" t="s">
        <v>1096</v>
      </c>
      <c r="E106" s="15" t="s">
        <v>1097</v>
      </c>
      <c r="F106" s="15" t="s">
        <v>402</v>
      </c>
      <c r="G106" s="15" t="s">
        <v>1098</v>
      </c>
      <c r="H106" s="15"/>
      <c r="I106" s="15" t="s">
        <v>149</v>
      </c>
      <c r="J106" s="15" t="s">
        <v>1098</v>
      </c>
      <c r="K106" s="15"/>
      <c r="L106" s="15" t="s">
        <v>149</v>
      </c>
      <c r="M106" s="46" t="s">
        <v>1099</v>
      </c>
      <c r="N106" s="13" t="s">
        <v>1100</v>
      </c>
      <c r="O106" s="13"/>
      <c r="P106" s="15" t="s">
        <v>94</v>
      </c>
      <c r="Q106" s="17" t="s">
        <v>1101</v>
      </c>
      <c r="R106" s="18">
        <v>566</v>
      </c>
      <c r="S106" s="19">
        <f t="shared" si="3"/>
        <v>91692</v>
      </c>
      <c r="T106" s="12" t="s">
        <v>46</v>
      </c>
      <c r="U106" s="15"/>
      <c r="V106" s="19">
        <v>44610</v>
      </c>
      <c r="W106" s="15" t="s">
        <v>71</v>
      </c>
      <c r="X106" s="13">
        <v>1122032</v>
      </c>
      <c r="Y106" s="20"/>
      <c r="Z106" s="13">
        <v>3867002</v>
      </c>
      <c r="AA106" s="13">
        <v>4709083</v>
      </c>
      <c r="AB106" s="13"/>
      <c r="AC106" s="15">
        <v>5535906</v>
      </c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</row>
    <row r="107" spans="1:46" ht="45" customHeight="1">
      <c r="A107" s="21" t="s">
        <v>1102</v>
      </c>
      <c r="B107" s="22" t="s">
        <v>1103</v>
      </c>
      <c r="C107" s="23" t="s">
        <v>1104</v>
      </c>
      <c r="D107" s="24" t="s">
        <v>1105</v>
      </c>
      <c r="E107" s="24" t="s">
        <v>1106</v>
      </c>
      <c r="F107" s="24" t="s">
        <v>776</v>
      </c>
      <c r="G107" s="24" t="s">
        <v>1107</v>
      </c>
      <c r="H107" s="24" t="s">
        <v>630</v>
      </c>
      <c r="I107" s="24" t="s">
        <v>80</v>
      </c>
      <c r="J107" s="24" t="s">
        <v>1107</v>
      </c>
      <c r="K107" s="24" t="s">
        <v>630</v>
      </c>
      <c r="L107" s="24" t="s">
        <v>80</v>
      </c>
      <c r="M107" s="25" t="s">
        <v>1108</v>
      </c>
      <c r="N107" s="22" t="s">
        <v>1109</v>
      </c>
      <c r="O107" s="22"/>
      <c r="P107" s="24" t="s">
        <v>117</v>
      </c>
      <c r="Q107" s="28" t="s">
        <v>1110</v>
      </c>
      <c r="R107" s="29">
        <v>1602</v>
      </c>
      <c r="S107" s="30">
        <f t="shared" si="3"/>
        <v>259524</v>
      </c>
      <c r="T107" s="21" t="s">
        <v>198</v>
      </c>
      <c r="U107" s="24"/>
      <c r="V107" s="30">
        <v>215940</v>
      </c>
      <c r="W107" s="24"/>
      <c r="X107" s="22"/>
      <c r="Y107" s="31"/>
      <c r="Z107" s="22">
        <v>3829170</v>
      </c>
      <c r="AA107" s="22"/>
      <c r="AB107" s="22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</row>
    <row r="108" spans="1:46" ht="45" customHeight="1">
      <c r="A108" s="21" t="s">
        <v>1111</v>
      </c>
      <c r="B108" s="22" t="s">
        <v>1112</v>
      </c>
      <c r="C108" s="23" t="s">
        <v>1113</v>
      </c>
      <c r="D108" s="24" t="s">
        <v>1114</v>
      </c>
      <c r="E108" s="24" t="s">
        <v>1115</v>
      </c>
      <c r="F108" s="24" t="s">
        <v>909</v>
      </c>
      <c r="G108" s="24" t="s">
        <v>1116</v>
      </c>
      <c r="H108" s="24" t="s">
        <v>544</v>
      </c>
      <c r="I108" s="24" t="s">
        <v>38</v>
      </c>
      <c r="J108" s="24" t="s">
        <v>1116</v>
      </c>
      <c r="K108" s="24" t="s">
        <v>544</v>
      </c>
      <c r="L108" s="24" t="s">
        <v>38</v>
      </c>
      <c r="M108" s="25" t="s">
        <v>1117</v>
      </c>
      <c r="N108" s="22" t="s">
        <v>1118</v>
      </c>
      <c r="O108" s="26">
        <v>45044</v>
      </c>
      <c r="P108" s="24" t="s">
        <v>117</v>
      </c>
      <c r="Q108" s="28" t="s">
        <v>1119</v>
      </c>
      <c r="R108" s="29">
        <v>1180</v>
      </c>
      <c r="S108" s="30">
        <f t="shared" si="3"/>
        <v>191160</v>
      </c>
      <c r="T108" s="21" t="s">
        <v>198</v>
      </c>
      <c r="U108" s="24"/>
      <c r="V108" s="30">
        <v>215940</v>
      </c>
      <c r="W108" s="24"/>
      <c r="X108" s="22">
        <v>1077158</v>
      </c>
      <c r="Y108" s="31">
        <v>3094505</v>
      </c>
      <c r="Z108" s="22">
        <v>3882834</v>
      </c>
      <c r="AA108" s="22">
        <v>4860055</v>
      </c>
      <c r="AB108" s="22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</row>
    <row r="109" spans="1:46" ht="45" customHeight="1">
      <c r="A109" s="50" t="s">
        <v>1120</v>
      </c>
      <c r="B109" s="51" t="s">
        <v>1121</v>
      </c>
      <c r="C109" s="95" t="s">
        <v>1122</v>
      </c>
      <c r="D109" s="53" t="s">
        <v>1123</v>
      </c>
      <c r="E109" s="53" t="s">
        <v>1124</v>
      </c>
      <c r="F109" s="53" t="s">
        <v>287</v>
      </c>
      <c r="G109" s="53" t="s">
        <v>1125</v>
      </c>
      <c r="H109" s="53"/>
      <c r="I109" s="53" t="s">
        <v>38</v>
      </c>
      <c r="J109" s="53" t="s">
        <v>1125</v>
      </c>
      <c r="K109" s="53"/>
      <c r="L109" s="53" t="s">
        <v>38</v>
      </c>
      <c r="M109" s="68" t="s">
        <v>1126</v>
      </c>
      <c r="N109" s="51" t="s">
        <v>1127</v>
      </c>
      <c r="O109" s="51"/>
      <c r="P109" s="53" t="s">
        <v>1128</v>
      </c>
      <c r="Q109" s="55" t="s">
        <v>1129</v>
      </c>
      <c r="R109" s="56">
        <v>12</v>
      </c>
      <c r="S109" s="57">
        <f t="shared" si="3"/>
        <v>1944</v>
      </c>
      <c r="T109" s="50" t="s">
        <v>46</v>
      </c>
      <c r="U109" s="53"/>
      <c r="V109" s="57">
        <v>44610</v>
      </c>
      <c r="W109" s="53"/>
      <c r="X109" s="51"/>
      <c r="Y109" s="58"/>
      <c r="Z109" s="51"/>
      <c r="AA109" s="51"/>
      <c r="AB109" s="51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</row>
    <row r="110" spans="1:46" ht="45" customHeight="1">
      <c r="A110" s="21" t="s">
        <v>1130</v>
      </c>
      <c r="B110" s="22" t="s">
        <v>1131</v>
      </c>
      <c r="C110" s="23" t="s">
        <v>1132</v>
      </c>
      <c r="D110" s="24" t="s">
        <v>1133</v>
      </c>
      <c r="E110" s="24" t="s">
        <v>1134</v>
      </c>
      <c r="F110" s="24" t="s">
        <v>776</v>
      </c>
      <c r="G110" s="24" t="s">
        <v>1135</v>
      </c>
      <c r="H110" s="24" t="s">
        <v>331</v>
      </c>
      <c r="I110" s="24" t="s">
        <v>53</v>
      </c>
      <c r="J110" s="24" t="s">
        <v>1136</v>
      </c>
      <c r="K110" s="24" t="s">
        <v>1137</v>
      </c>
      <c r="L110" s="24" t="s">
        <v>332</v>
      </c>
      <c r="M110" s="76" t="s">
        <v>1138</v>
      </c>
      <c r="N110" s="22" t="s">
        <v>1139</v>
      </c>
      <c r="O110" s="22"/>
      <c r="P110" s="24" t="s">
        <v>408</v>
      </c>
      <c r="Q110" s="28" t="s">
        <v>1140</v>
      </c>
      <c r="R110" s="29">
        <v>6557</v>
      </c>
      <c r="S110" s="30">
        <f t="shared" si="3"/>
        <v>1062234</v>
      </c>
      <c r="T110" s="21" t="s">
        <v>70</v>
      </c>
      <c r="U110" s="24"/>
      <c r="V110" s="30">
        <f>S110</f>
        <v>1062234</v>
      </c>
      <c r="W110" s="24" t="s">
        <v>47</v>
      </c>
      <c r="X110" s="22"/>
      <c r="Y110" s="31"/>
      <c r="Z110" s="22">
        <v>3863326</v>
      </c>
      <c r="AA110" s="22">
        <v>4657373</v>
      </c>
      <c r="AB110" s="22"/>
      <c r="AC110" s="24">
        <v>5615713</v>
      </c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</row>
    <row r="111" spans="1:46" ht="45" customHeight="1">
      <c r="A111" s="12" t="s">
        <v>1141</v>
      </c>
      <c r="B111" s="13" t="s">
        <v>1142</v>
      </c>
      <c r="C111" s="14" t="s">
        <v>1143</v>
      </c>
      <c r="D111" s="15" t="s">
        <v>1144</v>
      </c>
      <c r="E111" s="15" t="s">
        <v>1145</v>
      </c>
      <c r="F111" s="15" t="s">
        <v>402</v>
      </c>
      <c r="G111" s="15" t="s">
        <v>1146</v>
      </c>
      <c r="H111" s="15" t="s">
        <v>125</v>
      </c>
      <c r="I111" s="15" t="s">
        <v>115</v>
      </c>
      <c r="J111" s="15" t="s">
        <v>1146</v>
      </c>
      <c r="K111" s="15" t="s">
        <v>125</v>
      </c>
      <c r="L111" s="15" t="s">
        <v>115</v>
      </c>
      <c r="M111" s="46" t="s">
        <v>1147</v>
      </c>
      <c r="N111" s="13" t="s">
        <v>1148</v>
      </c>
      <c r="O111" s="13"/>
      <c r="P111" s="15" t="s">
        <v>94</v>
      </c>
      <c r="Q111" s="17" t="s">
        <v>1149</v>
      </c>
      <c r="R111" s="18">
        <v>130</v>
      </c>
      <c r="S111" s="19">
        <f t="shared" si="3"/>
        <v>21060</v>
      </c>
      <c r="T111" s="12" t="s">
        <v>46</v>
      </c>
      <c r="U111" s="15"/>
      <c r="V111" s="19">
        <v>44610</v>
      </c>
      <c r="W111" s="15"/>
      <c r="X111" s="13"/>
      <c r="Y111" s="20"/>
      <c r="Z111" s="13"/>
      <c r="AA111" s="13"/>
      <c r="AB111" s="13">
        <v>4906381</v>
      </c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</row>
    <row r="112" spans="1:46" ht="45" customHeight="1">
      <c r="A112" s="21" t="s">
        <v>1150</v>
      </c>
      <c r="B112" s="22" t="s">
        <v>1151</v>
      </c>
      <c r="C112" s="23" t="s">
        <v>1152</v>
      </c>
      <c r="D112" s="24" t="s">
        <v>1153</v>
      </c>
      <c r="E112" s="24" t="s">
        <v>1154</v>
      </c>
      <c r="F112" s="24" t="s">
        <v>181</v>
      </c>
      <c r="G112" s="24" t="s">
        <v>1155</v>
      </c>
      <c r="H112" s="24" t="s">
        <v>52</v>
      </c>
      <c r="I112" s="24" t="s">
        <v>53</v>
      </c>
      <c r="J112" s="24" t="s">
        <v>1155</v>
      </c>
      <c r="K112" s="24"/>
      <c r="L112" s="24" t="s">
        <v>206</v>
      </c>
      <c r="M112" s="59" t="s">
        <v>1156</v>
      </c>
      <c r="N112" s="22" t="s">
        <v>1157</v>
      </c>
      <c r="O112" s="22"/>
      <c r="P112" s="24" t="s">
        <v>94</v>
      </c>
      <c r="Q112" s="28" t="s">
        <v>1158</v>
      </c>
      <c r="R112" s="29">
        <v>601</v>
      </c>
      <c r="S112" s="30">
        <f t="shared" si="3"/>
        <v>97362</v>
      </c>
      <c r="T112" s="21" t="s">
        <v>252</v>
      </c>
      <c r="U112" s="24"/>
      <c r="V112" s="30">
        <v>123900</v>
      </c>
      <c r="W112" s="24" t="s">
        <v>71</v>
      </c>
      <c r="X112" s="22">
        <v>1010618</v>
      </c>
      <c r="Y112" s="31">
        <v>3097764</v>
      </c>
      <c r="Z112" s="22">
        <v>3815801</v>
      </c>
      <c r="AA112" s="22">
        <v>4639927</v>
      </c>
      <c r="AB112" s="22"/>
      <c r="AC112" s="24">
        <v>5568210</v>
      </c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</row>
    <row r="113" spans="1:46" ht="45" customHeight="1">
      <c r="A113" s="12" t="s">
        <v>1159</v>
      </c>
      <c r="B113" s="13" t="s">
        <v>1160</v>
      </c>
      <c r="C113" s="14" t="s">
        <v>1161</v>
      </c>
      <c r="D113" s="15" t="s">
        <v>1162</v>
      </c>
      <c r="E113" s="15" t="s">
        <v>1163</v>
      </c>
      <c r="F113" s="15" t="s">
        <v>402</v>
      </c>
      <c r="G113" s="15" t="s">
        <v>1164</v>
      </c>
      <c r="H113" s="15" t="s">
        <v>1165</v>
      </c>
      <c r="I113" s="15" t="s">
        <v>321</v>
      </c>
      <c r="J113" s="15" t="s">
        <v>1164</v>
      </c>
      <c r="K113" s="15" t="s">
        <v>1165</v>
      </c>
      <c r="L113" s="15" t="s">
        <v>321</v>
      </c>
      <c r="M113" s="16" t="s">
        <v>1166</v>
      </c>
      <c r="N113" s="13" t="s">
        <v>1167</v>
      </c>
      <c r="O113" s="13"/>
      <c r="P113" s="15" t="s">
        <v>44</v>
      </c>
      <c r="Q113" s="17" t="s">
        <v>1168</v>
      </c>
      <c r="R113" s="18">
        <v>97</v>
      </c>
      <c r="S113" s="19">
        <f t="shared" si="3"/>
        <v>15714</v>
      </c>
      <c r="T113" s="12" t="s">
        <v>46</v>
      </c>
      <c r="U113" s="15"/>
      <c r="V113" s="19">
        <v>44610</v>
      </c>
      <c r="W113" s="15" t="s">
        <v>71</v>
      </c>
      <c r="X113" s="13">
        <v>1136538</v>
      </c>
      <c r="Y113" s="20">
        <v>3121419</v>
      </c>
      <c r="Z113" s="13"/>
      <c r="AA113" s="13"/>
      <c r="AB113" s="13">
        <v>4887931</v>
      </c>
      <c r="AC113" s="15">
        <v>5532751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</row>
    <row r="114" spans="1:46" ht="45" customHeight="1">
      <c r="A114" s="12" t="s">
        <v>1169</v>
      </c>
      <c r="B114" s="13" t="s">
        <v>1170</v>
      </c>
      <c r="C114" s="14" t="s">
        <v>1171</v>
      </c>
      <c r="D114" s="15" t="s">
        <v>487</v>
      </c>
      <c r="E114" s="15" t="s">
        <v>1154</v>
      </c>
      <c r="F114" s="15" t="s">
        <v>181</v>
      </c>
      <c r="G114" s="15" t="s">
        <v>1172</v>
      </c>
      <c r="H114" s="15" t="s">
        <v>52</v>
      </c>
      <c r="I114" s="15" t="s">
        <v>53</v>
      </c>
      <c r="J114" s="15" t="s">
        <v>1172</v>
      </c>
      <c r="K114" s="15"/>
      <c r="L114" s="15" t="s">
        <v>206</v>
      </c>
      <c r="M114" s="67" t="s">
        <v>491</v>
      </c>
      <c r="N114" s="13" t="s">
        <v>1173</v>
      </c>
      <c r="O114" s="13"/>
      <c r="P114" s="15" t="s">
        <v>94</v>
      </c>
      <c r="Q114" s="17" t="s">
        <v>1174</v>
      </c>
      <c r="R114" s="18">
        <v>96</v>
      </c>
      <c r="S114" s="19">
        <f t="shared" si="3"/>
        <v>15552</v>
      </c>
      <c r="T114" s="12" t="s">
        <v>46</v>
      </c>
      <c r="U114" s="15"/>
      <c r="V114" s="19">
        <v>44610</v>
      </c>
      <c r="W114" s="49" t="s">
        <v>71</v>
      </c>
      <c r="X114" s="13">
        <v>1012854</v>
      </c>
      <c r="Y114" s="20">
        <v>3082402</v>
      </c>
      <c r="Z114" s="13">
        <v>3818887</v>
      </c>
      <c r="AA114" s="13">
        <v>4896591</v>
      </c>
      <c r="AB114" s="13"/>
      <c r="AC114" s="49">
        <v>5630400</v>
      </c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</row>
    <row r="115" spans="1:46" ht="45" customHeight="1">
      <c r="A115" s="12" t="s">
        <v>1175</v>
      </c>
      <c r="B115" s="13" t="s">
        <v>1176</v>
      </c>
      <c r="C115" s="14" t="s">
        <v>1177</v>
      </c>
      <c r="D115" s="15" t="s">
        <v>1178</v>
      </c>
      <c r="E115" s="15" t="s">
        <v>1179</v>
      </c>
      <c r="F115" s="15" t="s">
        <v>204</v>
      </c>
      <c r="G115" s="15" t="s">
        <v>1180</v>
      </c>
      <c r="H115" s="15" t="s">
        <v>1181</v>
      </c>
      <c r="I115" s="15" t="s">
        <v>80</v>
      </c>
      <c r="J115" s="15" t="s">
        <v>1180</v>
      </c>
      <c r="K115" s="15" t="s">
        <v>1181</v>
      </c>
      <c r="L115" s="15" t="s">
        <v>80</v>
      </c>
      <c r="M115" s="67" t="s">
        <v>1182</v>
      </c>
      <c r="N115" s="13">
        <v>2612059946</v>
      </c>
      <c r="O115" s="13"/>
      <c r="P115" s="15" t="s">
        <v>44</v>
      </c>
      <c r="Q115" s="17" t="s">
        <v>1183</v>
      </c>
      <c r="R115" s="18">
        <v>469</v>
      </c>
      <c r="S115" s="19">
        <f t="shared" si="3"/>
        <v>75978</v>
      </c>
      <c r="T115" s="12" t="s">
        <v>46</v>
      </c>
      <c r="U115" s="15"/>
      <c r="V115" s="19">
        <v>44610</v>
      </c>
      <c r="W115" s="15" t="s">
        <v>71</v>
      </c>
      <c r="X115" s="13"/>
      <c r="Y115" s="20">
        <v>3075043</v>
      </c>
      <c r="Z115" s="13">
        <v>3852398</v>
      </c>
      <c r="AA115" s="13">
        <v>4733540</v>
      </c>
      <c r="AB115" s="13"/>
      <c r="AC115" s="15">
        <v>5595824</v>
      </c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</row>
    <row r="116" spans="1:46" ht="45" customHeight="1">
      <c r="A116" s="21" t="s">
        <v>1184</v>
      </c>
      <c r="B116" s="22" t="s">
        <v>1185</v>
      </c>
      <c r="C116" s="23" t="s">
        <v>1186</v>
      </c>
      <c r="D116" s="24" t="s">
        <v>1187</v>
      </c>
      <c r="E116" s="24" t="s">
        <v>1188</v>
      </c>
      <c r="F116" s="24" t="s">
        <v>77</v>
      </c>
      <c r="G116" s="24" t="s">
        <v>1189</v>
      </c>
      <c r="H116" s="24" t="s">
        <v>1190</v>
      </c>
      <c r="I116" s="24" t="s">
        <v>38</v>
      </c>
      <c r="J116" s="24" t="s">
        <v>1191</v>
      </c>
      <c r="K116" s="24" t="s">
        <v>1192</v>
      </c>
      <c r="L116" s="24" t="s">
        <v>332</v>
      </c>
      <c r="M116" s="70" t="s">
        <v>1193</v>
      </c>
      <c r="N116" s="77" t="s">
        <v>1194</v>
      </c>
      <c r="O116" s="22"/>
      <c r="P116" s="24" t="s">
        <v>94</v>
      </c>
      <c r="Q116" s="28" t="s">
        <v>1195</v>
      </c>
      <c r="R116" s="29">
        <v>2069</v>
      </c>
      <c r="S116" s="30">
        <f t="shared" si="3"/>
        <v>335178</v>
      </c>
      <c r="T116" s="21" t="s">
        <v>96</v>
      </c>
      <c r="U116" s="24"/>
      <c r="V116" s="30">
        <v>368160</v>
      </c>
      <c r="W116" s="45" t="s">
        <v>71</v>
      </c>
      <c r="X116" s="22">
        <v>1135004</v>
      </c>
      <c r="Y116" s="31">
        <v>3121297</v>
      </c>
      <c r="Z116" s="22">
        <v>3908350</v>
      </c>
      <c r="AA116" s="22">
        <v>4753709</v>
      </c>
      <c r="AB116" s="22"/>
      <c r="AC116" s="45">
        <v>5637348</v>
      </c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</row>
    <row r="117" spans="1:46" ht="45" customHeight="1">
      <c r="A117" s="12" t="s">
        <v>1196</v>
      </c>
      <c r="B117" s="13" t="s">
        <v>1197</v>
      </c>
      <c r="C117" s="14" t="s">
        <v>1198</v>
      </c>
      <c r="D117" s="15" t="s">
        <v>1199</v>
      </c>
      <c r="E117" s="15" t="s">
        <v>1200</v>
      </c>
      <c r="F117" s="15" t="s">
        <v>181</v>
      </c>
      <c r="G117" s="15" t="s">
        <v>1201</v>
      </c>
      <c r="H117" s="15" t="s">
        <v>1202</v>
      </c>
      <c r="I117" s="15" t="s">
        <v>115</v>
      </c>
      <c r="J117" s="15" t="s">
        <v>1201</v>
      </c>
      <c r="K117" s="15" t="s">
        <v>1202</v>
      </c>
      <c r="L117" s="15" t="s">
        <v>115</v>
      </c>
      <c r="M117" s="46" t="s">
        <v>1203</v>
      </c>
      <c r="N117" s="13" t="s">
        <v>1204</v>
      </c>
      <c r="O117" s="13"/>
      <c r="P117" s="15" t="s">
        <v>94</v>
      </c>
      <c r="Q117" s="17" t="s">
        <v>1205</v>
      </c>
      <c r="R117" s="18">
        <v>224</v>
      </c>
      <c r="S117" s="19">
        <f t="shared" si="3"/>
        <v>36288</v>
      </c>
      <c r="T117" s="12" t="s">
        <v>46</v>
      </c>
      <c r="U117" s="15"/>
      <c r="V117" s="19">
        <v>44610</v>
      </c>
      <c r="W117" s="15" t="s">
        <v>71</v>
      </c>
      <c r="X117" s="13"/>
      <c r="Y117" s="20">
        <v>3120621</v>
      </c>
      <c r="Z117" s="13">
        <v>3908321</v>
      </c>
      <c r="AA117" s="13">
        <v>4757755</v>
      </c>
      <c r="AB117" s="13"/>
      <c r="AC117" s="15">
        <v>5620661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</row>
    <row r="118" spans="1:46" ht="45" customHeight="1">
      <c r="A118" s="12" t="s">
        <v>1206</v>
      </c>
      <c r="B118" s="13" t="s">
        <v>1207</v>
      </c>
      <c r="C118" s="14" t="s">
        <v>1208</v>
      </c>
      <c r="D118" s="15" t="s">
        <v>1209</v>
      </c>
      <c r="E118" s="15" t="s">
        <v>1210</v>
      </c>
      <c r="F118" s="15" t="s">
        <v>111</v>
      </c>
      <c r="G118" s="15" t="s">
        <v>1211</v>
      </c>
      <c r="H118" s="15" t="s">
        <v>1212</v>
      </c>
      <c r="I118" s="15" t="s">
        <v>80</v>
      </c>
      <c r="J118" s="15" t="s">
        <v>1213</v>
      </c>
      <c r="K118" s="15" t="s">
        <v>1212</v>
      </c>
      <c r="L118" s="15" t="s">
        <v>80</v>
      </c>
      <c r="M118" s="16" t="s">
        <v>1214</v>
      </c>
      <c r="N118" s="13">
        <v>2614178419</v>
      </c>
      <c r="O118" s="13"/>
      <c r="P118" s="15" t="s">
        <v>117</v>
      </c>
      <c r="Q118" s="17" t="s">
        <v>1215</v>
      </c>
      <c r="R118" s="18">
        <v>486</v>
      </c>
      <c r="S118" s="19">
        <f t="shared" si="3"/>
        <v>78732</v>
      </c>
      <c r="T118" s="12" t="s">
        <v>46</v>
      </c>
      <c r="U118" s="15"/>
      <c r="V118" s="19">
        <v>44610</v>
      </c>
      <c r="W118" s="15" t="s">
        <v>71</v>
      </c>
      <c r="X118" s="13">
        <v>1112023</v>
      </c>
      <c r="Y118" s="20"/>
      <c r="Z118" s="13">
        <v>3892736</v>
      </c>
      <c r="AA118" s="13">
        <v>4743349</v>
      </c>
      <c r="AB118" s="13"/>
      <c r="AC118" s="15">
        <v>5609392</v>
      </c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</row>
    <row r="119" spans="1:46" ht="45" customHeight="1">
      <c r="A119" s="12" t="s">
        <v>1216</v>
      </c>
      <c r="B119" s="13" t="s">
        <v>1217</v>
      </c>
      <c r="C119" s="14" t="s">
        <v>1218</v>
      </c>
      <c r="D119" s="15" t="s">
        <v>1219</v>
      </c>
      <c r="E119" s="15" t="s">
        <v>1220</v>
      </c>
      <c r="F119" s="15" t="s">
        <v>111</v>
      </c>
      <c r="G119" s="15" t="s">
        <v>1221</v>
      </c>
      <c r="H119" s="15" t="s">
        <v>1212</v>
      </c>
      <c r="I119" s="15" t="s">
        <v>80</v>
      </c>
      <c r="J119" s="15" t="s">
        <v>1221</v>
      </c>
      <c r="K119" s="15" t="s">
        <v>1212</v>
      </c>
      <c r="L119" s="15" t="s">
        <v>80</v>
      </c>
      <c r="M119" s="16" t="s">
        <v>1222</v>
      </c>
      <c r="N119" s="13" t="s">
        <v>1223</v>
      </c>
      <c r="O119" s="13"/>
      <c r="P119" s="15" t="s">
        <v>1224</v>
      </c>
      <c r="Q119" s="17" t="s">
        <v>1225</v>
      </c>
      <c r="R119" s="18">
        <v>135</v>
      </c>
      <c r="S119" s="19">
        <f t="shared" si="3"/>
        <v>21870</v>
      </c>
      <c r="T119" s="12" t="s">
        <v>46</v>
      </c>
      <c r="U119" s="15"/>
      <c r="V119" s="19">
        <v>44610</v>
      </c>
      <c r="W119" s="15" t="s">
        <v>71</v>
      </c>
      <c r="X119" s="13">
        <v>1121210</v>
      </c>
      <c r="Y119" s="20"/>
      <c r="Z119" s="13"/>
      <c r="AA119" s="13"/>
      <c r="AB119" s="13">
        <v>4867058</v>
      </c>
      <c r="AC119" s="15">
        <v>5548532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</row>
    <row r="120" spans="1:46" ht="45" customHeight="1">
      <c r="A120" s="50" t="s">
        <v>1226</v>
      </c>
      <c r="B120" s="51" t="s">
        <v>1227</v>
      </c>
      <c r="C120" s="52" t="s">
        <v>1228</v>
      </c>
      <c r="D120" s="53" t="s">
        <v>1229</v>
      </c>
      <c r="E120" s="53" t="s">
        <v>1230</v>
      </c>
      <c r="F120" s="53" t="s">
        <v>77</v>
      </c>
      <c r="G120" s="53" t="s">
        <v>1231</v>
      </c>
      <c r="H120" s="53" t="s">
        <v>1212</v>
      </c>
      <c r="I120" s="53" t="s">
        <v>80</v>
      </c>
      <c r="J120" s="53" t="s">
        <v>1232</v>
      </c>
      <c r="K120" s="53" t="s">
        <v>660</v>
      </c>
      <c r="L120" s="53" t="s">
        <v>38</v>
      </c>
      <c r="M120" s="96" t="s">
        <v>1233</v>
      </c>
      <c r="N120" s="51" t="s">
        <v>1234</v>
      </c>
      <c r="O120" s="97">
        <v>46412</v>
      </c>
      <c r="P120" s="53" t="s">
        <v>1235</v>
      </c>
      <c r="Q120" s="55" t="s">
        <v>1236</v>
      </c>
      <c r="R120" s="56">
        <v>1200</v>
      </c>
      <c r="S120" s="57">
        <f t="shared" si="3"/>
        <v>194400</v>
      </c>
      <c r="T120" s="50" t="s">
        <v>198</v>
      </c>
      <c r="U120" s="53"/>
      <c r="V120" s="98">
        <v>107970</v>
      </c>
      <c r="W120" s="53" t="s">
        <v>71</v>
      </c>
      <c r="X120" s="51">
        <v>1135965</v>
      </c>
      <c r="Y120" s="58">
        <v>3115700</v>
      </c>
      <c r="Z120" s="51">
        <v>3885185</v>
      </c>
      <c r="AA120" s="51"/>
      <c r="AB120" s="51"/>
      <c r="AC120" s="53">
        <v>5604977</v>
      </c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</row>
    <row r="121" spans="1:46" ht="38.25" customHeight="1">
      <c r="A121" s="12" t="s">
        <v>1237</v>
      </c>
      <c r="B121" s="13" t="s">
        <v>1238</v>
      </c>
      <c r="C121" s="14" t="s">
        <v>1239</v>
      </c>
      <c r="D121" s="15" t="s">
        <v>1240</v>
      </c>
      <c r="E121" s="15" t="s">
        <v>1241</v>
      </c>
      <c r="F121" s="15" t="s">
        <v>204</v>
      </c>
      <c r="G121" s="15" t="s">
        <v>1242</v>
      </c>
      <c r="H121" s="15" t="s">
        <v>216</v>
      </c>
      <c r="I121" s="15" t="s">
        <v>149</v>
      </c>
      <c r="J121" s="15" t="s">
        <v>1242</v>
      </c>
      <c r="K121" s="15" t="s">
        <v>216</v>
      </c>
      <c r="L121" s="15" t="s">
        <v>149</v>
      </c>
      <c r="M121" s="46" t="s">
        <v>1243</v>
      </c>
      <c r="N121" s="13" t="s">
        <v>1244</v>
      </c>
      <c r="O121" s="13"/>
      <c r="P121" s="15" t="s">
        <v>1245</v>
      </c>
      <c r="Q121" s="17" t="s">
        <v>1246</v>
      </c>
      <c r="R121" s="18">
        <v>56</v>
      </c>
      <c r="S121" s="19">
        <f t="shared" si="3"/>
        <v>9072</v>
      </c>
      <c r="T121" s="12" t="s">
        <v>46</v>
      </c>
      <c r="U121" s="15"/>
      <c r="V121" s="19">
        <v>44610</v>
      </c>
      <c r="W121" s="15" t="s">
        <v>71</v>
      </c>
      <c r="X121" s="13">
        <v>11378526</v>
      </c>
      <c r="Y121" s="20"/>
      <c r="Z121" s="13">
        <v>3889174</v>
      </c>
      <c r="AA121" s="13">
        <v>4757948</v>
      </c>
      <c r="AB121" s="13"/>
      <c r="AC121" s="15">
        <v>5527746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</row>
    <row r="122" spans="1:46" ht="45" customHeight="1">
      <c r="A122" s="12" t="s">
        <v>1247</v>
      </c>
      <c r="B122" s="13" t="s">
        <v>1248</v>
      </c>
      <c r="C122" s="14" t="s">
        <v>1249</v>
      </c>
      <c r="D122" s="15" t="s">
        <v>1250</v>
      </c>
      <c r="E122" s="15" t="s">
        <v>1251</v>
      </c>
      <c r="F122" s="15" t="s">
        <v>402</v>
      </c>
      <c r="G122" s="15" t="s">
        <v>1252</v>
      </c>
      <c r="H122" s="15" t="s">
        <v>630</v>
      </c>
      <c r="I122" s="15" t="s">
        <v>80</v>
      </c>
      <c r="J122" s="15" t="s">
        <v>1252</v>
      </c>
      <c r="K122" s="15" t="s">
        <v>630</v>
      </c>
      <c r="L122" s="15" t="s">
        <v>80</v>
      </c>
      <c r="M122" s="46" t="s">
        <v>1253</v>
      </c>
      <c r="N122" s="13" t="s">
        <v>1254</v>
      </c>
      <c r="O122" s="13"/>
      <c r="P122" s="15" t="s">
        <v>94</v>
      </c>
      <c r="Q122" s="17" t="s">
        <v>1255</v>
      </c>
      <c r="R122" s="18">
        <v>492</v>
      </c>
      <c r="S122" s="19">
        <f t="shared" si="3"/>
        <v>79704</v>
      </c>
      <c r="T122" s="12" t="s">
        <v>46</v>
      </c>
      <c r="U122" s="15"/>
      <c r="V122" s="19">
        <v>44610</v>
      </c>
      <c r="W122" s="15" t="s">
        <v>71</v>
      </c>
      <c r="X122" s="13">
        <v>1015444</v>
      </c>
      <c r="Y122" s="20">
        <v>3075536</v>
      </c>
      <c r="Z122" s="13">
        <v>3828774</v>
      </c>
      <c r="AA122" s="13">
        <v>4735304</v>
      </c>
      <c r="AB122" s="13"/>
      <c r="AC122" s="15">
        <v>5591801</v>
      </c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</row>
    <row r="123" spans="1:46" ht="45" customHeight="1">
      <c r="A123" s="12" t="s">
        <v>1256</v>
      </c>
      <c r="B123" s="13" t="s">
        <v>1257</v>
      </c>
      <c r="C123" s="14" t="s">
        <v>1258</v>
      </c>
      <c r="D123" s="15" t="s">
        <v>1259</v>
      </c>
      <c r="E123" s="15" t="s">
        <v>1260</v>
      </c>
      <c r="F123" s="15" t="s">
        <v>181</v>
      </c>
      <c r="G123" s="15" t="s">
        <v>1261</v>
      </c>
      <c r="H123" s="15" t="s">
        <v>1262</v>
      </c>
      <c r="I123" s="15" t="s">
        <v>115</v>
      </c>
      <c r="J123" s="15" t="s">
        <v>1261</v>
      </c>
      <c r="K123" s="15" t="s">
        <v>1262</v>
      </c>
      <c r="L123" s="15" t="s">
        <v>115</v>
      </c>
      <c r="M123" s="16" t="s">
        <v>1263</v>
      </c>
      <c r="N123" s="13" t="s">
        <v>1264</v>
      </c>
      <c r="O123" s="13"/>
      <c r="P123" s="15" t="s">
        <v>94</v>
      </c>
      <c r="Q123" s="17" t="s">
        <v>1265</v>
      </c>
      <c r="R123" s="18">
        <v>221</v>
      </c>
      <c r="S123" s="19">
        <f t="shared" si="3"/>
        <v>35802</v>
      </c>
      <c r="T123" s="12" t="s">
        <v>46</v>
      </c>
      <c r="U123" s="15"/>
      <c r="V123" s="19">
        <v>44610</v>
      </c>
      <c r="W123" s="15" t="s">
        <v>71</v>
      </c>
      <c r="X123" s="13">
        <v>1135800</v>
      </c>
      <c r="Y123" s="20">
        <v>3115200</v>
      </c>
      <c r="Z123" s="13">
        <v>3885084</v>
      </c>
      <c r="AA123" s="13">
        <v>4757905</v>
      </c>
      <c r="AB123" s="13"/>
      <c r="AC123" s="15">
        <v>5620073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</row>
    <row r="124" spans="1:46" ht="45" customHeight="1">
      <c r="A124" s="50" t="s">
        <v>1266</v>
      </c>
      <c r="B124" s="51" t="s">
        <v>1267</v>
      </c>
      <c r="C124" s="52" t="s">
        <v>1268</v>
      </c>
      <c r="D124" s="53" t="s">
        <v>1187</v>
      </c>
      <c r="E124" s="53" t="s">
        <v>1269</v>
      </c>
      <c r="F124" s="53" t="s">
        <v>77</v>
      </c>
      <c r="G124" s="53" t="s">
        <v>1189</v>
      </c>
      <c r="H124" s="53" t="s">
        <v>1190</v>
      </c>
      <c r="I124" s="53" t="s">
        <v>38</v>
      </c>
      <c r="J124" s="53" t="s">
        <v>1270</v>
      </c>
      <c r="K124" s="53" t="s">
        <v>1271</v>
      </c>
      <c r="L124" s="53" t="s">
        <v>1058</v>
      </c>
      <c r="M124" s="54" t="s">
        <v>1272</v>
      </c>
      <c r="N124" s="51" t="s">
        <v>1273</v>
      </c>
      <c r="O124" s="51"/>
      <c r="P124" s="53" t="s">
        <v>94</v>
      </c>
      <c r="Q124" s="55" t="s">
        <v>1274</v>
      </c>
      <c r="R124" s="56">
        <v>241</v>
      </c>
      <c r="S124" s="57">
        <f t="shared" si="3"/>
        <v>39042</v>
      </c>
      <c r="T124" s="50" t="s">
        <v>46</v>
      </c>
      <c r="U124" s="53"/>
      <c r="V124" s="57">
        <v>44610</v>
      </c>
      <c r="W124" s="53"/>
      <c r="X124" s="51">
        <v>1132670</v>
      </c>
      <c r="Y124" s="58">
        <v>3120666</v>
      </c>
      <c r="Z124" s="51"/>
      <c r="AA124" s="51"/>
      <c r="AB124" s="51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</row>
    <row r="125" spans="1:46" ht="45" customHeight="1">
      <c r="A125" s="21" t="s">
        <v>1275</v>
      </c>
      <c r="B125" s="22" t="s">
        <v>1276</v>
      </c>
      <c r="C125" s="23" t="s">
        <v>1277</v>
      </c>
      <c r="D125" s="24" t="s">
        <v>1187</v>
      </c>
      <c r="E125" s="24" t="s">
        <v>1269</v>
      </c>
      <c r="F125" s="24" t="s">
        <v>77</v>
      </c>
      <c r="G125" s="24" t="s">
        <v>1189</v>
      </c>
      <c r="H125" s="24" t="s">
        <v>1190</v>
      </c>
      <c r="I125" s="24" t="s">
        <v>38</v>
      </c>
      <c r="J125" s="24" t="s">
        <v>1278</v>
      </c>
      <c r="K125" s="24" t="s">
        <v>1262</v>
      </c>
      <c r="L125" s="24" t="s">
        <v>1279</v>
      </c>
      <c r="M125" s="70" t="s">
        <v>1193</v>
      </c>
      <c r="N125" s="77" t="s">
        <v>1280</v>
      </c>
      <c r="O125" s="22"/>
      <c r="P125" s="24" t="s">
        <v>1281</v>
      </c>
      <c r="Q125" s="28" t="s">
        <v>1282</v>
      </c>
      <c r="R125" s="29">
        <v>7891</v>
      </c>
      <c r="S125" s="30">
        <f t="shared" si="3"/>
        <v>1278342</v>
      </c>
      <c r="T125" s="21" t="s">
        <v>70</v>
      </c>
      <c r="U125" s="24"/>
      <c r="V125" s="30">
        <f>S125</f>
        <v>1278342</v>
      </c>
      <c r="W125" s="45" t="s">
        <v>71</v>
      </c>
      <c r="X125" s="22">
        <v>1135612</v>
      </c>
      <c r="Y125" s="31">
        <v>3121368</v>
      </c>
      <c r="Z125" s="22"/>
      <c r="AA125" s="22">
        <v>4753708</v>
      </c>
      <c r="AB125" s="22"/>
      <c r="AC125" s="45">
        <v>5637308</v>
      </c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</row>
    <row r="126" spans="1:46" ht="45" customHeight="1">
      <c r="A126" s="50" t="s">
        <v>1283</v>
      </c>
      <c r="B126" s="51" t="s">
        <v>1284</v>
      </c>
      <c r="C126" s="52" t="s">
        <v>1285</v>
      </c>
      <c r="D126" s="53" t="s">
        <v>1187</v>
      </c>
      <c r="E126" s="53" t="s">
        <v>1286</v>
      </c>
      <c r="F126" s="53" t="s">
        <v>77</v>
      </c>
      <c r="G126" s="53" t="s">
        <v>1189</v>
      </c>
      <c r="H126" s="53" t="s">
        <v>1190</v>
      </c>
      <c r="I126" s="53" t="s">
        <v>38</v>
      </c>
      <c r="J126" s="53" t="s">
        <v>1287</v>
      </c>
      <c r="K126" s="53" t="s">
        <v>1271</v>
      </c>
      <c r="L126" s="53" t="s">
        <v>1058</v>
      </c>
      <c r="M126" s="68" t="s">
        <v>1288</v>
      </c>
      <c r="N126" s="51" t="s">
        <v>1289</v>
      </c>
      <c r="O126" s="51"/>
      <c r="P126" s="53" t="s">
        <v>1224</v>
      </c>
      <c r="Q126" s="55" t="s">
        <v>1290</v>
      </c>
      <c r="R126" s="56">
        <v>2154.31</v>
      </c>
      <c r="S126" s="57">
        <f t="shared" si="3"/>
        <v>348998.22</v>
      </c>
      <c r="T126" s="50" t="s">
        <v>96</v>
      </c>
      <c r="U126" s="53"/>
      <c r="V126" s="57">
        <v>368160</v>
      </c>
      <c r="W126" s="53"/>
      <c r="X126" s="51">
        <v>1135814</v>
      </c>
      <c r="Y126" s="58">
        <v>3121245</v>
      </c>
      <c r="Z126" s="51"/>
      <c r="AA126" s="51"/>
      <c r="AB126" s="51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</row>
    <row r="127" spans="1:46" ht="45" customHeight="1">
      <c r="A127" s="21" t="s">
        <v>1291</v>
      </c>
      <c r="B127" s="22" t="s">
        <v>1292</v>
      </c>
      <c r="C127" s="23" t="s">
        <v>1293</v>
      </c>
      <c r="D127" s="24" t="s">
        <v>1294</v>
      </c>
      <c r="E127" s="30" t="s">
        <v>1295</v>
      </c>
      <c r="F127" s="99" t="s">
        <v>402</v>
      </c>
      <c r="G127" s="24" t="s">
        <v>1296</v>
      </c>
      <c r="H127" s="30" t="s">
        <v>1297</v>
      </c>
      <c r="I127" s="24" t="s">
        <v>38</v>
      </c>
      <c r="J127" s="24" t="s">
        <v>1296</v>
      </c>
      <c r="K127" s="24" t="s">
        <v>1297</v>
      </c>
      <c r="L127" s="24" t="s">
        <v>38</v>
      </c>
      <c r="M127" s="25" t="s">
        <v>1298</v>
      </c>
      <c r="N127" s="22" t="s">
        <v>1299</v>
      </c>
      <c r="O127" s="22"/>
      <c r="P127" s="24" t="s">
        <v>1300</v>
      </c>
      <c r="Q127" s="28" t="s">
        <v>1301</v>
      </c>
      <c r="R127" s="29">
        <v>16468.7</v>
      </c>
      <c r="S127" s="30">
        <f t="shared" si="3"/>
        <v>2667929.4</v>
      </c>
      <c r="T127" s="21" t="s">
        <v>70</v>
      </c>
      <c r="U127" s="24"/>
      <c r="V127" s="30">
        <f>S127</f>
        <v>2667929.4</v>
      </c>
      <c r="W127" s="24" t="s">
        <v>71</v>
      </c>
      <c r="X127" s="22">
        <v>1104407</v>
      </c>
      <c r="Y127" s="31">
        <v>3105963</v>
      </c>
      <c r="Z127" s="22">
        <v>3899681</v>
      </c>
      <c r="AA127" s="22">
        <v>4706447</v>
      </c>
      <c r="AB127" s="22"/>
      <c r="AC127" s="24">
        <v>5585033</v>
      </c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</row>
    <row r="128" spans="1:46" ht="45" customHeight="1">
      <c r="A128" s="21" t="s">
        <v>1302</v>
      </c>
      <c r="B128" s="22" t="s">
        <v>1303</v>
      </c>
      <c r="C128" s="23" t="s">
        <v>1304</v>
      </c>
      <c r="D128" s="24" t="s">
        <v>169</v>
      </c>
      <c r="E128" s="24" t="s">
        <v>1305</v>
      </c>
      <c r="F128" s="24" t="s">
        <v>77</v>
      </c>
      <c r="G128" s="24" t="s">
        <v>1306</v>
      </c>
      <c r="H128" s="24" t="s">
        <v>52</v>
      </c>
      <c r="I128" s="24" t="s">
        <v>53</v>
      </c>
      <c r="J128" s="24" t="s">
        <v>1307</v>
      </c>
      <c r="K128" s="24"/>
      <c r="L128" s="24" t="s">
        <v>80</v>
      </c>
      <c r="M128" s="59" t="s">
        <v>1308</v>
      </c>
      <c r="N128" s="22" t="s">
        <v>1309</v>
      </c>
      <c r="O128" s="26">
        <v>45720</v>
      </c>
      <c r="P128" s="45" t="s">
        <v>1310</v>
      </c>
      <c r="Q128" s="28" t="s">
        <v>1311</v>
      </c>
      <c r="R128" s="29">
        <v>39456</v>
      </c>
      <c r="S128" s="30">
        <f t="shared" ref="S128:S129" si="4">162*R128</f>
        <v>6391872</v>
      </c>
      <c r="T128" s="21" t="s">
        <v>70</v>
      </c>
      <c r="U128" s="24" t="s">
        <v>1312</v>
      </c>
      <c r="V128" s="44">
        <v>6391872</v>
      </c>
      <c r="W128" s="24" t="s">
        <v>71</v>
      </c>
      <c r="X128" s="22">
        <v>1037813</v>
      </c>
      <c r="Y128" s="31" t="s">
        <v>1313</v>
      </c>
      <c r="Z128" s="22">
        <v>3887224</v>
      </c>
      <c r="AA128" s="22">
        <v>4733042</v>
      </c>
      <c r="AB128" s="22"/>
      <c r="AC128" s="24">
        <v>5596095</v>
      </c>
      <c r="AD128" s="45" t="s">
        <v>1314</v>
      </c>
      <c r="AE128" s="45" t="s">
        <v>1315</v>
      </c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</row>
    <row r="129" spans="1:46" ht="45" customHeight="1">
      <c r="A129" s="100" t="s">
        <v>1302</v>
      </c>
      <c r="B129" s="101" t="s">
        <v>1303</v>
      </c>
      <c r="C129" s="102" t="s">
        <v>1304</v>
      </c>
      <c r="D129" s="103" t="s">
        <v>169</v>
      </c>
      <c r="E129" s="103" t="s">
        <v>1305</v>
      </c>
      <c r="F129" s="103" t="s">
        <v>77</v>
      </c>
      <c r="G129" s="103" t="s">
        <v>1306</v>
      </c>
      <c r="H129" s="103" t="s">
        <v>52</v>
      </c>
      <c r="I129" s="103" t="s">
        <v>53</v>
      </c>
      <c r="J129" s="103" t="s">
        <v>1307</v>
      </c>
      <c r="K129" s="103"/>
      <c r="L129" s="103" t="s">
        <v>80</v>
      </c>
      <c r="M129" s="104" t="s">
        <v>1308</v>
      </c>
      <c r="N129" s="101">
        <v>3500000</v>
      </c>
      <c r="O129" s="101"/>
      <c r="P129" s="105" t="s">
        <v>1310</v>
      </c>
      <c r="Q129" s="106" t="s">
        <v>1311</v>
      </c>
      <c r="R129" s="107">
        <v>109124</v>
      </c>
      <c r="S129" s="108">
        <f t="shared" si="4"/>
        <v>17678088</v>
      </c>
      <c r="T129" s="100" t="s">
        <v>70</v>
      </c>
      <c r="U129" s="103" t="s">
        <v>1312</v>
      </c>
      <c r="V129" s="109">
        <v>17678088</v>
      </c>
      <c r="W129" s="103" t="s">
        <v>71</v>
      </c>
      <c r="X129" s="101"/>
      <c r="Y129" s="110" t="s">
        <v>1313</v>
      </c>
      <c r="Z129" s="101">
        <v>3887307</v>
      </c>
      <c r="AA129" s="101">
        <v>47347778</v>
      </c>
      <c r="AB129" s="101"/>
      <c r="AC129" s="103">
        <v>5615977</v>
      </c>
      <c r="AD129" s="105" t="s">
        <v>1316</v>
      </c>
      <c r="AE129" s="105" t="s">
        <v>1317</v>
      </c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  <c r="AS129" s="103"/>
      <c r="AT129" s="103"/>
    </row>
    <row r="130" spans="1:46" ht="45" customHeight="1">
      <c r="A130" s="21" t="s">
        <v>1318</v>
      </c>
      <c r="B130" s="22" t="s">
        <v>1319</v>
      </c>
      <c r="C130" s="23" t="s">
        <v>1320</v>
      </c>
      <c r="D130" s="24" t="s">
        <v>1321</v>
      </c>
      <c r="E130" s="24" t="s">
        <v>1322</v>
      </c>
      <c r="F130" s="24" t="s">
        <v>776</v>
      </c>
      <c r="G130" s="24" t="s">
        <v>1323</v>
      </c>
      <c r="H130" s="24" t="s">
        <v>1324</v>
      </c>
      <c r="I130" s="24" t="s">
        <v>149</v>
      </c>
      <c r="J130" s="24" t="s">
        <v>1323</v>
      </c>
      <c r="K130" s="24" t="s">
        <v>1324</v>
      </c>
      <c r="L130" s="24" t="s">
        <v>149</v>
      </c>
      <c r="M130" s="59" t="s">
        <v>1325</v>
      </c>
      <c r="N130" s="22" t="s">
        <v>1326</v>
      </c>
      <c r="O130" s="22"/>
      <c r="P130" s="24" t="s">
        <v>1327</v>
      </c>
      <c r="Q130" s="28" t="s">
        <v>1328</v>
      </c>
      <c r="R130" s="29">
        <v>3202</v>
      </c>
      <c r="S130" s="30">
        <f t="shared" ref="S130:S1355" si="5">162*R130</f>
        <v>518724</v>
      </c>
      <c r="T130" s="21" t="s">
        <v>129</v>
      </c>
      <c r="U130" s="24"/>
      <c r="V130" s="30">
        <v>545160</v>
      </c>
      <c r="W130" s="45" t="s">
        <v>71</v>
      </c>
      <c r="X130" s="22">
        <v>1086441</v>
      </c>
      <c r="Y130" s="31"/>
      <c r="Z130" s="22">
        <v>3892874</v>
      </c>
      <c r="AA130" s="22">
        <v>4706974</v>
      </c>
      <c r="AB130" s="22"/>
      <c r="AC130" s="45">
        <v>5633129</v>
      </c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</row>
    <row r="131" spans="1:46" ht="45" customHeight="1">
      <c r="A131" s="21" t="s">
        <v>1329</v>
      </c>
      <c r="B131" s="22" t="s">
        <v>1330</v>
      </c>
      <c r="C131" s="23" t="s">
        <v>1331</v>
      </c>
      <c r="D131" s="24" t="s">
        <v>1332</v>
      </c>
      <c r="E131" s="24" t="s">
        <v>1333</v>
      </c>
      <c r="F131" s="24" t="s">
        <v>776</v>
      </c>
      <c r="G131" s="24" t="s">
        <v>1334</v>
      </c>
      <c r="H131" s="24" t="s">
        <v>447</v>
      </c>
      <c r="I131" s="24" t="s">
        <v>38</v>
      </c>
      <c r="J131" s="24" t="s">
        <v>1334</v>
      </c>
      <c r="K131" s="24" t="s">
        <v>447</v>
      </c>
      <c r="L131" s="24" t="s">
        <v>38</v>
      </c>
      <c r="M131" s="59" t="s">
        <v>1335</v>
      </c>
      <c r="N131" s="22" t="s">
        <v>1336</v>
      </c>
      <c r="O131" s="62">
        <v>45989</v>
      </c>
      <c r="P131" s="24" t="s">
        <v>1337</v>
      </c>
      <c r="Q131" s="28" t="s">
        <v>1338</v>
      </c>
      <c r="R131" s="29">
        <v>1892</v>
      </c>
      <c r="S131" s="30">
        <f t="shared" si="5"/>
        <v>306504</v>
      </c>
      <c r="T131" s="21" t="s">
        <v>198</v>
      </c>
      <c r="U131" s="24"/>
      <c r="V131" s="44">
        <v>107970</v>
      </c>
      <c r="W131" s="24" t="s">
        <v>71</v>
      </c>
      <c r="X131" s="22">
        <v>1127825</v>
      </c>
      <c r="Y131" s="31">
        <v>3111634</v>
      </c>
      <c r="Z131" s="22">
        <v>3880431</v>
      </c>
      <c r="AA131" s="22">
        <v>4662937</v>
      </c>
      <c r="AB131" s="22"/>
      <c r="AC131" s="24">
        <v>5524608</v>
      </c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</row>
    <row r="132" spans="1:46" ht="45" customHeight="1">
      <c r="A132" s="21" t="s">
        <v>1339</v>
      </c>
      <c r="B132" s="22" t="s">
        <v>1340</v>
      </c>
      <c r="C132" s="23" t="s">
        <v>1341</v>
      </c>
      <c r="D132" s="24" t="s">
        <v>1342</v>
      </c>
      <c r="E132" s="24" t="s">
        <v>1343</v>
      </c>
      <c r="F132" s="24" t="s">
        <v>402</v>
      </c>
      <c r="G132" s="24" t="s">
        <v>1344</v>
      </c>
      <c r="H132" s="24" t="s">
        <v>1345</v>
      </c>
      <c r="I132" s="24" t="s">
        <v>65</v>
      </c>
      <c r="J132" s="24" t="s">
        <v>1344</v>
      </c>
      <c r="K132" s="24" t="s">
        <v>1345</v>
      </c>
      <c r="L132" s="24" t="s">
        <v>65</v>
      </c>
      <c r="M132" s="25" t="s">
        <v>1346</v>
      </c>
      <c r="N132" s="94" t="s">
        <v>1347</v>
      </c>
      <c r="O132" s="22"/>
      <c r="P132" s="24" t="s">
        <v>408</v>
      </c>
      <c r="Q132" s="28" t="s">
        <v>1348</v>
      </c>
      <c r="R132" s="29">
        <v>1805</v>
      </c>
      <c r="S132" s="30">
        <f t="shared" si="5"/>
        <v>292410</v>
      </c>
      <c r="T132" s="21" t="s">
        <v>198</v>
      </c>
      <c r="U132" s="24"/>
      <c r="V132" s="30">
        <v>215940</v>
      </c>
      <c r="W132" s="24" t="s">
        <v>71</v>
      </c>
      <c r="X132" s="22">
        <v>1022328</v>
      </c>
      <c r="Y132" s="31">
        <v>3094861</v>
      </c>
      <c r="Z132" s="22">
        <v>3836269</v>
      </c>
      <c r="AA132" s="22">
        <v>4712403</v>
      </c>
      <c r="AB132" s="22"/>
      <c r="AC132" s="24">
        <v>5480793</v>
      </c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</row>
    <row r="133" spans="1:46" ht="45" customHeight="1">
      <c r="A133" s="12" t="s">
        <v>1349</v>
      </c>
      <c r="B133" s="13" t="s">
        <v>1350</v>
      </c>
      <c r="C133" s="14" t="s">
        <v>1351</v>
      </c>
      <c r="D133" s="15" t="s">
        <v>1352</v>
      </c>
      <c r="E133" s="15" t="s">
        <v>1353</v>
      </c>
      <c r="F133" s="15" t="s">
        <v>909</v>
      </c>
      <c r="G133" s="15" t="s">
        <v>1354</v>
      </c>
      <c r="H133" s="15" t="s">
        <v>1355</v>
      </c>
      <c r="I133" s="15" t="s">
        <v>149</v>
      </c>
      <c r="J133" s="15" t="s">
        <v>1354</v>
      </c>
      <c r="K133" s="15" t="s">
        <v>1355</v>
      </c>
      <c r="L133" s="15" t="s">
        <v>149</v>
      </c>
      <c r="M133" s="16" t="s">
        <v>1356</v>
      </c>
      <c r="N133" s="13" t="s">
        <v>1357</v>
      </c>
      <c r="O133" s="13"/>
      <c r="P133" s="15" t="s">
        <v>44</v>
      </c>
      <c r="Q133" s="17" t="s">
        <v>1358</v>
      </c>
      <c r="R133" s="18">
        <v>162</v>
      </c>
      <c r="S133" s="19">
        <f t="shared" si="5"/>
        <v>26244</v>
      </c>
      <c r="T133" s="12" t="s">
        <v>46</v>
      </c>
      <c r="U133" s="15"/>
      <c r="V133" s="19">
        <v>44610</v>
      </c>
      <c r="W133" s="15" t="s">
        <v>71</v>
      </c>
      <c r="X133" s="13"/>
      <c r="Y133" s="20"/>
      <c r="Z133" s="13">
        <v>3886277</v>
      </c>
      <c r="AA133" s="13">
        <v>4695950</v>
      </c>
      <c r="AB133" s="13"/>
      <c r="AC133" s="15">
        <v>5591524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</row>
    <row r="134" spans="1:46" ht="45" customHeight="1">
      <c r="A134" s="12" t="s">
        <v>1359</v>
      </c>
      <c r="B134" s="13" t="s">
        <v>1360</v>
      </c>
      <c r="C134" s="14" t="s">
        <v>1361</v>
      </c>
      <c r="D134" s="15" t="s">
        <v>1362</v>
      </c>
      <c r="E134" s="15" t="s">
        <v>1363</v>
      </c>
      <c r="F134" s="15" t="s">
        <v>111</v>
      </c>
      <c r="G134" s="15" t="s">
        <v>1364</v>
      </c>
      <c r="H134" s="15" t="s">
        <v>1365</v>
      </c>
      <c r="I134" s="15" t="s">
        <v>149</v>
      </c>
      <c r="J134" s="15" t="s">
        <v>1366</v>
      </c>
      <c r="K134" s="15" t="s">
        <v>1367</v>
      </c>
      <c r="L134" s="15" t="s">
        <v>321</v>
      </c>
      <c r="M134" s="67" t="s">
        <v>1368</v>
      </c>
      <c r="N134" s="13" t="s">
        <v>1369</v>
      </c>
      <c r="O134" s="13"/>
      <c r="P134" s="15" t="s">
        <v>44</v>
      </c>
      <c r="Q134" s="17" t="s">
        <v>1370</v>
      </c>
      <c r="R134" s="18">
        <v>286</v>
      </c>
      <c r="S134" s="19">
        <f t="shared" si="5"/>
        <v>46332</v>
      </c>
      <c r="T134" s="12" t="s">
        <v>46</v>
      </c>
      <c r="U134" s="15"/>
      <c r="V134" s="19">
        <v>44610</v>
      </c>
      <c r="W134" s="15"/>
      <c r="X134" s="13"/>
      <c r="Y134" s="20"/>
      <c r="Z134" s="13"/>
      <c r="AA134" s="13"/>
      <c r="AB134" s="13"/>
      <c r="AC134" s="49" t="s">
        <v>130</v>
      </c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</row>
    <row r="135" spans="1:46" ht="45" customHeight="1">
      <c r="A135" s="12" t="s">
        <v>1371</v>
      </c>
      <c r="B135" s="13" t="s">
        <v>1372</v>
      </c>
      <c r="C135" s="66" t="s">
        <v>1373</v>
      </c>
      <c r="D135" s="15" t="s">
        <v>1374</v>
      </c>
      <c r="E135" s="15" t="s">
        <v>1375</v>
      </c>
      <c r="F135" s="15" t="s">
        <v>111</v>
      </c>
      <c r="G135" s="15" t="s">
        <v>1376</v>
      </c>
      <c r="H135" s="15" t="s">
        <v>1377</v>
      </c>
      <c r="I135" s="15" t="s">
        <v>115</v>
      </c>
      <c r="J135" s="15" t="s">
        <v>1378</v>
      </c>
      <c r="K135" s="15" t="s">
        <v>1379</v>
      </c>
      <c r="L135" s="15" t="s">
        <v>321</v>
      </c>
      <c r="M135" s="46" t="s">
        <v>1380</v>
      </c>
      <c r="N135" s="13" t="s">
        <v>1369</v>
      </c>
      <c r="O135" s="13"/>
      <c r="P135" s="15" t="s">
        <v>1381</v>
      </c>
      <c r="Q135" s="17" t="s">
        <v>1382</v>
      </c>
      <c r="R135" s="18">
        <v>448</v>
      </c>
      <c r="S135" s="19">
        <f t="shared" si="5"/>
        <v>72576</v>
      </c>
      <c r="T135" s="12" t="s">
        <v>46</v>
      </c>
      <c r="U135" s="15"/>
      <c r="V135" s="19">
        <v>44610</v>
      </c>
      <c r="W135" s="15"/>
      <c r="X135" s="13"/>
      <c r="Y135" s="20"/>
      <c r="Z135" s="13"/>
      <c r="AA135" s="13"/>
      <c r="AB135" s="13"/>
      <c r="AC135" s="49" t="s">
        <v>130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</row>
    <row r="136" spans="1:46" ht="45" customHeight="1">
      <c r="A136" s="12" t="s">
        <v>1383</v>
      </c>
      <c r="B136" s="13" t="s">
        <v>1384</v>
      </c>
      <c r="C136" s="14" t="s">
        <v>1385</v>
      </c>
      <c r="D136" s="15" t="s">
        <v>1386</v>
      </c>
      <c r="E136" s="15" t="s">
        <v>1154</v>
      </c>
      <c r="F136" s="15" t="s">
        <v>181</v>
      </c>
      <c r="G136" s="15" t="s">
        <v>1387</v>
      </c>
      <c r="H136" s="15" t="s">
        <v>1388</v>
      </c>
      <c r="I136" s="15" t="s">
        <v>65</v>
      </c>
      <c r="J136" s="15" t="s">
        <v>1387</v>
      </c>
      <c r="K136" s="15" t="s">
        <v>1388</v>
      </c>
      <c r="L136" s="15" t="s">
        <v>65</v>
      </c>
      <c r="M136" s="16" t="s">
        <v>1389</v>
      </c>
      <c r="N136" s="13" t="s">
        <v>1390</v>
      </c>
      <c r="O136" s="13"/>
      <c r="P136" s="15" t="s">
        <v>94</v>
      </c>
      <c r="Q136" s="17" t="s">
        <v>1391</v>
      </c>
      <c r="R136" s="18">
        <v>143</v>
      </c>
      <c r="S136" s="19">
        <f t="shared" si="5"/>
        <v>23166</v>
      </c>
      <c r="T136" s="12" t="s">
        <v>46</v>
      </c>
      <c r="U136" s="15"/>
      <c r="V136" s="19">
        <v>44610</v>
      </c>
      <c r="W136" s="15" t="s">
        <v>71</v>
      </c>
      <c r="X136" s="13">
        <v>1004695</v>
      </c>
      <c r="Y136" s="20">
        <v>3073172</v>
      </c>
      <c r="Z136" s="13">
        <v>3832908</v>
      </c>
      <c r="AA136" s="13">
        <v>4671570</v>
      </c>
      <c r="AB136" s="13"/>
      <c r="AC136" s="15">
        <v>5531177</v>
      </c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</row>
    <row r="137" spans="1:46" ht="45" customHeight="1">
      <c r="A137" s="21" t="s">
        <v>1392</v>
      </c>
      <c r="B137" s="22" t="s">
        <v>1393</v>
      </c>
      <c r="C137" s="23" t="s">
        <v>1394</v>
      </c>
      <c r="D137" s="24" t="s">
        <v>1395</v>
      </c>
      <c r="E137" s="24" t="s">
        <v>1396</v>
      </c>
      <c r="F137" s="24" t="s">
        <v>402</v>
      </c>
      <c r="G137" s="24" t="s">
        <v>1397</v>
      </c>
      <c r="H137" s="24" t="s">
        <v>544</v>
      </c>
      <c r="I137" s="24" t="s">
        <v>38</v>
      </c>
      <c r="J137" s="24" t="s">
        <v>1397</v>
      </c>
      <c r="K137" s="24" t="s">
        <v>544</v>
      </c>
      <c r="L137" s="24" t="s">
        <v>38</v>
      </c>
      <c r="M137" s="25" t="s">
        <v>1398</v>
      </c>
      <c r="N137" s="22" t="s">
        <v>1399</v>
      </c>
      <c r="O137" s="22"/>
      <c r="P137" s="24" t="s">
        <v>94</v>
      </c>
      <c r="Q137" s="28" t="s">
        <v>1400</v>
      </c>
      <c r="R137" s="29">
        <v>954</v>
      </c>
      <c r="S137" s="30">
        <f t="shared" si="5"/>
        <v>154548</v>
      </c>
      <c r="T137" s="21" t="s">
        <v>252</v>
      </c>
      <c r="U137" s="24"/>
      <c r="V137" s="30">
        <v>123900</v>
      </c>
      <c r="W137" s="24" t="s">
        <v>71</v>
      </c>
      <c r="X137" s="22"/>
      <c r="Y137" s="31">
        <v>3111673</v>
      </c>
      <c r="Z137" s="22">
        <v>3826381</v>
      </c>
      <c r="AA137" s="22">
        <v>4729278</v>
      </c>
      <c r="AB137" s="22"/>
      <c r="AC137" s="24">
        <v>5513745</v>
      </c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</row>
    <row r="138" spans="1:46" ht="45" customHeight="1">
      <c r="A138" s="12" t="s">
        <v>1401</v>
      </c>
      <c r="B138" s="13" t="s">
        <v>1402</v>
      </c>
      <c r="C138" s="14" t="s">
        <v>1403</v>
      </c>
      <c r="D138" s="15" t="s">
        <v>1404</v>
      </c>
      <c r="E138" s="15" t="s">
        <v>1405</v>
      </c>
      <c r="F138" s="15" t="s">
        <v>111</v>
      </c>
      <c r="G138" s="15" t="s">
        <v>1406</v>
      </c>
      <c r="H138" s="15" t="s">
        <v>1212</v>
      </c>
      <c r="I138" s="15" t="s">
        <v>80</v>
      </c>
      <c r="J138" s="15" t="s">
        <v>1406</v>
      </c>
      <c r="K138" s="15" t="s">
        <v>1407</v>
      </c>
      <c r="L138" s="15" t="s">
        <v>80</v>
      </c>
      <c r="M138" s="16" t="s">
        <v>1408</v>
      </c>
      <c r="N138" s="13" t="s">
        <v>1409</v>
      </c>
      <c r="O138" s="13"/>
      <c r="P138" s="15" t="s">
        <v>44</v>
      </c>
      <c r="Q138" s="17" t="s">
        <v>1410</v>
      </c>
      <c r="R138" s="18">
        <v>110</v>
      </c>
      <c r="S138" s="19">
        <f t="shared" si="5"/>
        <v>17820</v>
      </c>
      <c r="T138" s="12" t="s">
        <v>46</v>
      </c>
      <c r="U138" s="15"/>
      <c r="V138" s="19">
        <v>44610</v>
      </c>
      <c r="W138" s="15" t="s">
        <v>71</v>
      </c>
      <c r="X138" s="13">
        <v>1111054</v>
      </c>
      <c r="Y138" s="20"/>
      <c r="Z138" s="13">
        <v>3866329</v>
      </c>
      <c r="AA138" s="13">
        <v>4720780</v>
      </c>
      <c r="AB138" s="13"/>
      <c r="AC138" s="15">
        <v>5606242</v>
      </c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</row>
    <row r="139" spans="1:46" ht="45" customHeight="1">
      <c r="A139" s="21" t="s">
        <v>1411</v>
      </c>
      <c r="B139" s="22" t="s">
        <v>1412</v>
      </c>
      <c r="C139" s="23" t="s">
        <v>1413</v>
      </c>
      <c r="D139" s="24" t="s">
        <v>1414</v>
      </c>
      <c r="E139" s="24" t="s">
        <v>1415</v>
      </c>
      <c r="F139" s="24" t="s">
        <v>111</v>
      </c>
      <c r="G139" s="24" t="s">
        <v>1416</v>
      </c>
      <c r="H139" s="24" t="s">
        <v>1078</v>
      </c>
      <c r="I139" s="24" t="s">
        <v>149</v>
      </c>
      <c r="J139" s="24" t="s">
        <v>1416</v>
      </c>
      <c r="K139" s="24" t="s">
        <v>1078</v>
      </c>
      <c r="L139" s="24" t="s">
        <v>149</v>
      </c>
      <c r="M139" s="59" t="s">
        <v>1417</v>
      </c>
      <c r="N139" s="22" t="s">
        <v>1418</v>
      </c>
      <c r="O139" s="22"/>
      <c r="P139" s="24" t="s">
        <v>94</v>
      </c>
      <c r="Q139" s="28" t="s">
        <v>1419</v>
      </c>
      <c r="R139" s="29">
        <v>902</v>
      </c>
      <c r="S139" s="30">
        <f t="shared" si="5"/>
        <v>146124</v>
      </c>
      <c r="T139" s="21" t="s">
        <v>252</v>
      </c>
      <c r="U139" s="24"/>
      <c r="V139" s="30">
        <v>123900</v>
      </c>
      <c r="W139" s="24"/>
      <c r="X139" s="22">
        <v>1008883</v>
      </c>
      <c r="Y139" s="31">
        <v>3100625</v>
      </c>
      <c r="Z139" s="22">
        <v>3840974</v>
      </c>
      <c r="AA139" s="22">
        <v>4710666</v>
      </c>
      <c r="AB139" s="22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</row>
    <row r="140" spans="1:46" ht="45" customHeight="1">
      <c r="A140" s="12" t="s">
        <v>1420</v>
      </c>
      <c r="B140" s="13" t="s">
        <v>1421</v>
      </c>
      <c r="C140" s="14" t="s">
        <v>1422</v>
      </c>
      <c r="D140" s="15" t="s">
        <v>1423</v>
      </c>
      <c r="E140" s="15" t="s">
        <v>1424</v>
      </c>
      <c r="F140" s="15" t="s">
        <v>966</v>
      </c>
      <c r="G140" s="15" t="s">
        <v>1425</v>
      </c>
      <c r="H140" s="15" t="s">
        <v>52</v>
      </c>
      <c r="I140" s="15" t="s">
        <v>53</v>
      </c>
      <c r="J140" s="15" t="s">
        <v>1426</v>
      </c>
      <c r="K140" s="49" t="s">
        <v>1427</v>
      </c>
      <c r="L140" s="15" t="s">
        <v>1058</v>
      </c>
      <c r="M140" s="67" t="s">
        <v>1428</v>
      </c>
      <c r="N140" s="47">
        <v>2615580679</v>
      </c>
      <c r="O140" s="13"/>
      <c r="P140" s="15" t="s">
        <v>1429</v>
      </c>
      <c r="Q140" s="17" t="s">
        <v>1430</v>
      </c>
      <c r="R140" s="18">
        <v>287.983</v>
      </c>
      <c r="S140" s="19">
        <f t="shared" si="5"/>
        <v>46653.245999999999</v>
      </c>
      <c r="T140" s="12" t="s">
        <v>46</v>
      </c>
      <c r="U140" s="15"/>
      <c r="V140" s="19">
        <v>44610</v>
      </c>
      <c r="W140" s="15"/>
      <c r="X140" s="13"/>
      <c r="Y140" s="20">
        <v>3116363</v>
      </c>
      <c r="Z140" s="13">
        <v>3840354</v>
      </c>
      <c r="AA140" s="13"/>
      <c r="AB140" s="13"/>
      <c r="AC140" s="15"/>
      <c r="AD140" s="49">
        <v>6466010</v>
      </c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</row>
    <row r="141" spans="1:46" ht="45" customHeight="1">
      <c r="A141" s="40" t="s">
        <v>1431</v>
      </c>
      <c r="B141" s="33" t="s">
        <v>1432</v>
      </c>
      <c r="C141" s="90" t="s">
        <v>1433</v>
      </c>
      <c r="D141" s="35" t="s">
        <v>1434</v>
      </c>
      <c r="E141" s="35" t="s">
        <v>1435</v>
      </c>
      <c r="F141" s="35" t="s">
        <v>147</v>
      </c>
      <c r="G141" s="35" t="s">
        <v>1436</v>
      </c>
      <c r="H141" s="35" t="s">
        <v>52</v>
      </c>
      <c r="I141" s="35" t="s">
        <v>53</v>
      </c>
      <c r="J141" s="35" t="s">
        <v>1437</v>
      </c>
      <c r="K141" s="35"/>
      <c r="L141" s="35" t="s">
        <v>206</v>
      </c>
      <c r="M141" s="36" t="s">
        <v>1438</v>
      </c>
      <c r="N141" s="33">
        <v>4290651</v>
      </c>
      <c r="O141" s="33"/>
      <c r="P141" s="35" t="s">
        <v>151</v>
      </c>
      <c r="Q141" s="37" t="s">
        <v>1439</v>
      </c>
      <c r="R141" s="38">
        <v>22</v>
      </c>
      <c r="S141" s="39">
        <f t="shared" si="5"/>
        <v>3564</v>
      </c>
      <c r="T141" s="40" t="s">
        <v>46</v>
      </c>
      <c r="U141" s="35"/>
      <c r="V141" s="39">
        <v>44610</v>
      </c>
      <c r="W141" s="35"/>
      <c r="X141" s="33"/>
      <c r="Y141" s="41"/>
      <c r="Z141" s="33"/>
      <c r="AA141" s="33"/>
      <c r="AB141" s="33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</row>
    <row r="142" spans="1:46" ht="45" customHeight="1">
      <c r="A142" s="21" t="s">
        <v>1440</v>
      </c>
      <c r="B142" s="22" t="s">
        <v>1441</v>
      </c>
      <c r="C142" s="23" t="s">
        <v>1442</v>
      </c>
      <c r="D142" s="24" t="s">
        <v>1443</v>
      </c>
      <c r="E142" s="24" t="s">
        <v>1444</v>
      </c>
      <c r="F142" s="24" t="s">
        <v>776</v>
      </c>
      <c r="G142" s="24" t="s">
        <v>1445</v>
      </c>
      <c r="H142" s="24" t="s">
        <v>1446</v>
      </c>
      <c r="I142" s="24" t="s">
        <v>80</v>
      </c>
      <c r="J142" s="24" t="s">
        <v>1445</v>
      </c>
      <c r="K142" s="24" t="s">
        <v>1446</v>
      </c>
      <c r="L142" s="24" t="s">
        <v>80</v>
      </c>
      <c r="M142" s="76" t="s">
        <v>1447</v>
      </c>
      <c r="N142" s="77" t="s">
        <v>1448</v>
      </c>
      <c r="O142" s="22"/>
      <c r="P142" s="24" t="s">
        <v>117</v>
      </c>
      <c r="Q142" s="28" t="s">
        <v>1449</v>
      </c>
      <c r="R142" s="29">
        <v>14349</v>
      </c>
      <c r="S142" s="30">
        <f t="shared" si="5"/>
        <v>2324538</v>
      </c>
      <c r="T142" s="21" t="s">
        <v>70</v>
      </c>
      <c r="U142" s="24"/>
      <c r="V142" s="30">
        <f>S142</f>
        <v>2324538</v>
      </c>
      <c r="W142" s="45" t="s">
        <v>71</v>
      </c>
      <c r="X142" s="22"/>
      <c r="Y142" s="31">
        <v>3115526</v>
      </c>
      <c r="Z142" s="22">
        <v>3905171</v>
      </c>
      <c r="AA142" s="22"/>
      <c r="AB142" s="22"/>
      <c r="AC142" s="24"/>
      <c r="AD142" s="45">
        <v>6479409</v>
      </c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</row>
    <row r="143" spans="1:46" ht="45" customHeight="1">
      <c r="A143" s="12" t="s">
        <v>1450</v>
      </c>
      <c r="B143" s="13" t="s">
        <v>1451</v>
      </c>
      <c r="C143" s="14" t="s">
        <v>1452</v>
      </c>
      <c r="D143" s="15" t="s">
        <v>1453</v>
      </c>
      <c r="E143" s="15" t="s">
        <v>247</v>
      </c>
      <c r="F143" s="15" t="s">
        <v>181</v>
      </c>
      <c r="G143" s="15" t="s">
        <v>1454</v>
      </c>
      <c r="H143" s="15" t="s">
        <v>1455</v>
      </c>
      <c r="I143" s="15" t="s">
        <v>115</v>
      </c>
      <c r="J143" s="15" t="s">
        <v>1454</v>
      </c>
      <c r="K143" s="15" t="s">
        <v>1455</v>
      </c>
      <c r="L143" s="15" t="s">
        <v>115</v>
      </c>
      <c r="M143" s="46" t="s">
        <v>1456</v>
      </c>
      <c r="N143" s="13" t="s">
        <v>1457</v>
      </c>
      <c r="O143" s="13"/>
      <c r="P143" s="15" t="s">
        <v>94</v>
      </c>
      <c r="Q143" s="17" t="s">
        <v>1458</v>
      </c>
      <c r="R143" s="18">
        <v>99</v>
      </c>
      <c r="S143" s="19">
        <f t="shared" si="5"/>
        <v>16038</v>
      </c>
      <c r="T143" s="12" t="s">
        <v>46</v>
      </c>
      <c r="U143" s="15"/>
      <c r="V143" s="19">
        <v>44610</v>
      </c>
      <c r="W143" s="49" t="s">
        <v>71</v>
      </c>
      <c r="X143" s="13">
        <v>1136766</v>
      </c>
      <c r="Y143" s="20">
        <v>3113160</v>
      </c>
      <c r="Z143" s="13">
        <v>3908204</v>
      </c>
      <c r="AA143" s="13">
        <v>4757875</v>
      </c>
      <c r="AB143" s="13"/>
      <c r="AC143" s="49">
        <v>5623075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</row>
    <row r="144" spans="1:46" ht="45" customHeight="1">
      <c r="A144" s="21" t="s">
        <v>1459</v>
      </c>
      <c r="B144" s="22" t="s">
        <v>1460</v>
      </c>
      <c r="C144" s="23" t="s">
        <v>1461</v>
      </c>
      <c r="D144" s="24" t="s">
        <v>1462</v>
      </c>
      <c r="E144" s="24" t="s">
        <v>1463</v>
      </c>
      <c r="F144" s="24" t="s">
        <v>77</v>
      </c>
      <c r="G144" s="24" t="s">
        <v>1464</v>
      </c>
      <c r="H144" s="24" t="s">
        <v>1212</v>
      </c>
      <c r="I144" s="24" t="s">
        <v>80</v>
      </c>
      <c r="J144" s="24" t="s">
        <v>1464</v>
      </c>
      <c r="K144" s="24" t="s">
        <v>1212</v>
      </c>
      <c r="L144" s="24" t="s">
        <v>80</v>
      </c>
      <c r="M144" s="59" t="s">
        <v>1465</v>
      </c>
      <c r="N144" s="22">
        <v>2614978643</v>
      </c>
      <c r="O144" s="26">
        <v>46412</v>
      </c>
      <c r="P144" s="24" t="s">
        <v>1466</v>
      </c>
      <c r="Q144" s="28" t="s">
        <v>1467</v>
      </c>
      <c r="R144" s="29">
        <v>859</v>
      </c>
      <c r="S144" s="30">
        <f t="shared" si="5"/>
        <v>139158</v>
      </c>
      <c r="T144" s="21" t="s">
        <v>252</v>
      </c>
      <c r="U144" s="24"/>
      <c r="V144" s="30">
        <v>123900</v>
      </c>
      <c r="W144" s="24" t="s">
        <v>71</v>
      </c>
      <c r="X144" s="22">
        <v>1104946</v>
      </c>
      <c r="Y144" s="31">
        <v>3120992</v>
      </c>
      <c r="Z144" s="22">
        <v>3889837</v>
      </c>
      <c r="AA144" s="22">
        <v>4749659</v>
      </c>
      <c r="AB144" s="22"/>
      <c r="AC144" s="24">
        <v>5606119</v>
      </c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</row>
    <row r="145" spans="1:46" ht="45" customHeight="1">
      <c r="A145" s="12" t="s">
        <v>1468</v>
      </c>
      <c r="B145" s="13" t="s">
        <v>1469</v>
      </c>
      <c r="C145" s="14" t="s">
        <v>1470</v>
      </c>
      <c r="D145" s="15" t="s">
        <v>1471</v>
      </c>
      <c r="E145" s="15" t="s">
        <v>1472</v>
      </c>
      <c r="F145" s="15" t="s">
        <v>111</v>
      </c>
      <c r="G145" s="15" t="s">
        <v>1473</v>
      </c>
      <c r="H145" s="15"/>
      <c r="I145" s="15" t="s">
        <v>149</v>
      </c>
      <c r="J145" s="15" t="s">
        <v>1473</v>
      </c>
      <c r="K145" s="15"/>
      <c r="L145" s="15" t="s">
        <v>149</v>
      </c>
      <c r="M145" s="46" t="s">
        <v>506</v>
      </c>
      <c r="N145" s="13" t="s">
        <v>1474</v>
      </c>
      <c r="O145" s="13"/>
      <c r="P145" s="15" t="s">
        <v>94</v>
      </c>
      <c r="Q145" s="17" t="s">
        <v>1475</v>
      </c>
      <c r="R145" s="18">
        <v>62</v>
      </c>
      <c r="S145" s="19">
        <f t="shared" si="5"/>
        <v>10044</v>
      </c>
      <c r="T145" s="12" t="s">
        <v>46</v>
      </c>
      <c r="U145" s="15"/>
      <c r="V145" s="19">
        <v>44610</v>
      </c>
      <c r="W145" s="15" t="s">
        <v>71</v>
      </c>
      <c r="X145" s="13">
        <v>1029650</v>
      </c>
      <c r="Y145" s="20">
        <v>3078830</v>
      </c>
      <c r="Z145" s="13">
        <v>3899845</v>
      </c>
      <c r="AA145" s="13">
        <v>4714466</v>
      </c>
      <c r="AB145" s="13"/>
      <c r="AC145" s="15">
        <v>5618033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</row>
    <row r="146" spans="1:46" ht="45" customHeight="1">
      <c r="A146" s="21" t="s">
        <v>1476</v>
      </c>
      <c r="B146" s="22" t="s">
        <v>1477</v>
      </c>
      <c r="C146" s="23" t="s">
        <v>1478</v>
      </c>
      <c r="D146" s="24" t="s">
        <v>1479</v>
      </c>
      <c r="E146" s="24" t="s">
        <v>1480</v>
      </c>
      <c r="F146" s="24" t="s">
        <v>402</v>
      </c>
      <c r="G146" s="24" t="s">
        <v>1481</v>
      </c>
      <c r="H146" s="24" t="s">
        <v>1482</v>
      </c>
      <c r="I146" s="24" t="s">
        <v>149</v>
      </c>
      <c r="J146" s="24" t="s">
        <v>1481</v>
      </c>
      <c r="K146" s="24" t="s">
        <v>1482</v>
      </c>
      <c r="L146" s="24" t="s">
        <v>149</v>
      </c>
      <c r="M146" s="25" t="s">
        <v>1483</v>
      </c>
      <c r="N146" s="22" t="s">
        <v>1484</v>
      </c>
      <c r="O146" s="22"/>
      <c r="P146" s="24" t="s">
        <v>324</v>
      </c>
      <c r="Q146" s="28" t="s">
        <v>1485</v>
      </c>
      <c r="R146" s="29">
        <v>1102.5899999999999</v>
      </c>
      <c r="S146" s="30">
        <f t="shared" si="5"/>
        <v>178619.58</v>
      </c>
      <c r="T146" s="21" t="s">
        <v>198</v>
      </c>
      <c r="U146" s="24"/>
      <c r="V146" s="30">
        <v>215940</v>
      </c>
      <c r="W146" s="24" t="s">
        <v>71</v>
      </c>
      <c r="X146" s="22">
        <v>1134737</v>
      </c>
      <c r="Y146" s="31">
        <v>3120657</v>
      </c>
      <c r="Z146" s="22">
        <v>3908070</v>
      </c>
      <c r="AA146" s="22">
        <v>4757405</v>
      </c>
      <c r="AB146" s="22"/>
      <c r="AC146" s="24">
        <v>5612237</v>
      </c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</row>
    <row r="147" spans="1:46" ht="45" customHeight="1">
      <c r="A147" s="21" t="s">
        <v>1486</v>
      </c>
      <c r="B147" s="22" t="s">
        <v>1487</v>
      </c>
      <c r="C147" s="23" t="s">
        <v>1488</v>
      </c>
      <c r="D147" s="24" t="s">
        <v>1479</v>
      </c>
      <c r="E147" s="24" t="s">
        <v>1480</v>
      </c>
      <c r="F147" s="24" t="s">
        <v>402</v>
      </c>
      <c r="G147" s="24" t="s">
        <v>1481</v>
      </c>
      <c r="H147" s="24" t="s">
        <v>1482</v>
      </c>
      <c r="I147" s="24" t="s">
        <v>149</v>
      </c>
      <c r="J147" s="24" t="s">
        <v>1489</v>
      </c>
      <c r="K147" s="24" t="s">
        <v>447</v>
      </c>
      <c r="L147" s="24" t="s">
        <v>38</v>
      </c>
      <c r="M147" s="25" t="s">
        <v>1483</v>
      </c>
      <c r="N147" s="22" t="s">
        <v>1484</v>
      </c>
      <c r="O147" s="22"/>
      <c r="P147" s="24" t="s">
        <v>408</v>
      </c>
      <c r="Q147" s="28" t="s">
        <v>1490</v>
      </c>
      <c r="R147" s="29">
        <v>1313</v>
      </c>
      <c r="S147" s="30">
        <f t="shared" si="5"/>
        <v>212706</v>
      </c>
      <c r="T147" s="21" t="s">
        <v>198</v>
      </c>
      <c r="U147" s="24"/>
      <c r="V147" s="30">
        <v>215940</v>
      </c>
      <c r="W147" s="24" t="s">
        <v>71</v>
      </c>
      <c r="X147" s="22">
        <v>1135098</v>
      </c>
      <c r="Y147" s="31">
        <v>3114857</v>
      </c>
      <c r="Z147" s="22">
        <v>3908032</v>
      </c>
      <c r="AA147" s="22">
        <v>4757050</v>
      </c>
      <c r="AB147" s="22"/>
      <c r="AC147" s="24">
        <v>5612271</v>
      </c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</row>
    <row r="148" spans="1:46" ht="45" customHeight="1">
      <c r="A148" s="12" t="s">
        <v>1491</v>
      </c>
      <c r="B148" s="13" t="s">
        <v>1492</v>
      </c>
      <c r="C148" s="14" t="s">
        <v>1493</v>
      </c>
      <c r="D148" s="15" t="s">
        <v>1494</v>
      </c>
      <c r="E148" s="15" t="s">
        <v>1495</v>
      </c>
      <c r="F148" s="15" t="s">
        <v>181</v>
      </c>
      <c r="G148" s="15" t="s">
        <v>1496</v>
      </c>
      <c r="H148" s="15" t="s">
        <v>52</v>
      </c>
      <c r="I148" s="15" t="s">
        <v>53</v>
      </c>
      <c r="J148" s="15" t="s">
        <v>1497</v>
      </c>
      <c r="K148" s="15"/>
      <c r="L148" s="15" t="s">
        <v>206</v>
      </c>
      <c r="M148" s="46" t="s">
        <v>1498</v>
      </c>
      <c r="N148" s="13" t="s">
        <v>1499</v>
      </c>
      <c r="O148" s="13"/>
      <c r="P148" s="15" t="s">
        <v>94</v>
      </c>
      <c r="Q148" s="17" t="s">
        <v>1500</v>
      </c>
      <c r="R148" s="18">
        <v>106</v>
      </c>
      <c r="S148" s="19">
        <f t="shared" si="5"/>
        <v>17172</v>
      </c>
      <c r="T148" s="12" t="s">
        <v>46</v>
      </c>
      <c r="U148" s="15"/>
      <c r="V148" s="19">
        <v>44610</v>
      </c>
      <c r="W148" s="15"/>
      <c r="X148" s="13">
        <v>1032240</v>
      </c>
      <c r="Y148" s="20"/>
      <c r="Z148" s="13"/>
      <c r="AA148" s="13"/>
      <c r="AB148" s="13">
        <v>4855090</v>
      </c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</row>
    <row r="149" spans="1:46" ht="45" customHeight="1">
      <c r="A149" s="12" t="s">
        <v>1501</v>
      </c>
      <c r="B149" s="13" t="s">
        <v>1502</v>
      </c>
      <c r="C149" s="14" t="s">
        <v>1503</v>
      </c>
      <c r="D149" s="15" t="s">
        <v>1504</v>
      </c>
      <c r="E149" s="15" t="s">
        <v>247</v>
      </c>
      <c r="F149" s="15" t="s">
        <v>181</v>
      </c>
      <c r="G149" s="15" t="s">
        <v>1505</v>
      </c>
      <c r="H149" s="15"/>
      <c r="I149" s="15" t="s">
        <v>149</v>
      </c>
      <c r="J149" s="15" t="s">
        <v>1505</v>
      </c>
      <c r="K149" s="15"/>
      <c r="L149" s="15" t="s">
        <v>149</v>
      </c>
      <c r="M149" s="46" t="s">
        <v>1506</v>
      </c>
      <c r="N149" s="13">
        <v>2614316053</v>
      </c>
      <c r="O149" s="13"/>
      <c r="P149" s="15" t="s">
        <v>94</v>
      </c>
      <c r="Q149" s="17" t="s">
        <v>1507</v>
      </c>
      <c r="R149" s="18">
        <v>257</v>
      </c>
      <c r="S149" s="19">
        <f t="shared" si="5"/>
        <v>41634</v>
      </c>
      <c r="T149" s="12" t="s">
        <v>46</v>
      </c>
      <c r="U149" s="15"/>
      <c r="V149" s="19">
        <v>44610</v>
      </c>
      <c r="W149" s="15" t="s">
        <v>71</v>
      </c>
      <c r="X149" s="13">
        <v>10089884</v>
      </c>
      <c r="Y149" s="20">
        <v>3099272</v>
      </c>
      <c r="Z149" s="13"/>
      <c r="AA149" s="13">
        <v>4621860</v>
      </c>
      <c r="AB149" s="13"/>
      <c r="AC149" s="15">
        <v>5511619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</row>
    <row r="150" spans="1:46" ht="45" customHeight="1">
      <c r="A150" s="12" t="s">
        <v>1508</v>
      </c>
      <c r="B150" s="13" t="s">
        <v>1509</v>
      </c>
      <c r="C150" s="14" t="s">
        <v>1510</v>
      </c>
      <c r="D150" s="15" t="s">
        <v>1511</v>
      </c>
      <c r="E150" s="19" t="s">
        <v>1512</v>
      </c>
      <c r="F150" s="15" t="s">
        <v>111</v>
      </c>
      <c r="G150" s="15" t="s">
        <v>1513</v>
      </c>
      <c r="H150" s="15"/>
      <c r="I150" s="15" t="s">
        <v>149</v>
      </c>
      <c r="J150" s="15" t="s">
        <v>1514</v>
      </c>
      <c r="K150" s="15"/>
      <c r="L150" s="15" t="s">
        <v>206</v>
      </c>
      <c r="M150" s="46" t="s">
        <v>1515</v>
      </c>
      <c r="N150" s="13" t="s">
        <v>1516</v>
      </c>
      <c r="O150" s="13"/>
      <c r="P150" s="15" t="s">
        <v>94</v>
      </c>
      <c r="Q150" s="17" t="s">
        <v>1517</v>
      </c>
      <c r="R150" s="18">
        <v>108</v>
      </c>
      <c r="S150" s="19">
        <f t="shared" si="5"/>
        <v>17496</v>
      </c>
      <c r="T150" s="12" t="s">
        <v>46</v>
      </c>
      <c r="U150" s="15"/>
      <c r="V150" s="19">
        <v>44610</v>
      </c>
      <c r="W150" s="15" t="s">
        <v>71</v>
      </c>
      <c r="X150" s="13"/>
      <c r="Y150" s="20">
        <v>3105538</v>
      </c>
      <c r="Z150" s="13">
        <v>3897164</v>
      </c>
      <c r="AA150" s="13">
        <v>4708369</v>
      </c>
      <c r="AB150" s="13"/>
      <c r="AC150" s="15">
        <v>5567048</v>
      </c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</row>
    <row r="151" spans="1:46" ht="45" customHeight="1">
      <c r="A151" s="21" t="s">
        <v>1518</v>
      </c>
      <c r="B151" s="22" t="s">
        <v>1519</v>
      </c>
      <c r="C151" s="23" t="s">
        <v>1520</v>
      </c>
      <c r="D151" s="24" t="s">
        <v>1511</v>
      </c>
      <c r="E151" s="24" t="s">
        <v>1521</v>
      </c>
      <c r="F151" s="24" t="s">
        <v>111</v>
      </c>
      <c r="G151" s="24" t="s">
        <v>1513</v>
      </c>
      <c r="H151" s="24"/>
      <c r="I151" s="24" t="s">
        <v>149</v>
      </c>
      <c r="J151" s="24" t="s">
        <v>1513</v>
      </c>
      <c r="K151" s="24"/>
      <c r="L151" s="24" t="s">
        <v>149</v>
      </c>
      <c r="M151" s="25" t="s">
        <v>1522</v>
      </c>
      <c r="N151" s="22" t="s">
        <v>1523</v>
      </c>
      <c r="O151" s="22"/>
      <c r="P151" s="24" t="s">
        <v>600</v>
      </c>
      <c r="Q151" s="28" t="s">
        <v>1524</v>
      </c>
      <c r="R151" s="29">
        <v>707</v>
      </c>
      <c r="S151" s="30">
        <f t="shared" si="5"/>
        <v>114534</v>
      </c>
      <c r="T151" s="21" t="s">
        <v>252</v>
      </c>
      <c r="U151" s="24"/>
      <c r="V151" s="30">
        <v>123900</v>
      </c>
      <c r="W151" s="24" t="s">
        <v>71</v>
      </c>
      <c r="X151" s="22"/>
      <c r="Y151" s="31">
        <v>3102086</v>
      </c>
      <c r="Z151" s="22">
        <v>3897063</v>
      </c>
      <c r="AA151" s="22">
        <v>4701945</v>
      </c>
      <c r="AB151" s="22"/>
      <c r="AC151" s="24">
        <v>5558269</v>
      </c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</row>
    <row r="152" spans="1:46" ht="45" customHeight="1">
      <c r="A152" s="50" t="s">
        <v>1525</v>
      </c>
      <c r="B152" s="51" t="s">
        <v>1526</v>
      </c>
      <c r="C152" s="52" t="s">
        <v>1527</v>
      </c>
      <c r="D152" s="53" t="s">
        <v>1528</v>
      </c>
      <c r="E152" s="53" t="s">
        <v>1529</v>
      </c>
      <c r="F152" s="53" t="s">
        <v>402</v>
      </c>
      <c r="G152" s="53" t="s">
        <v>1530</v>
      </c>
      <c r="H152" s="53" t="s">
        <v>630</v>
      </c>
      <c r="I152" s="53" t="s">
        <v>80</v>
      </c>
      <c r="J152" s="53" t="s">
        <v>1530</v>
      </c>
      <c r="K152" s="53" t="s">
        <v>630</v>
      </c>
      <c r="L152" s="53" t="s">
        <v>80</v>
      </c>
      <c r="M152" s="68"/>
      <c r="N152" s="51">
        <v>4839222</v>
      </c>
      <c r="O152" s="51"/>
      <c r="P152" s="53" t="s">
        <v>94</v>
      </c>
      <c r="Q152" s="55" t="s">
        <v>1531</v>
      </c>
      <c r="R152" s="56">
        <v>172</v>
      </c>
      <c r="S152" s="57">
        <f t="shared" si="5"/>
        <v>27864</v>
      </c>
      <c r="T152" s="50" t="s">
        <v>46</v>
      </c>
      <c r="U152" s="53"/>
      <c r="V152" s="57">
        <v>44610</v>
      </c>
      <c r="W152" s="53"/>
      <c r="X152" s="51"/>
      <c r="Y152" s="58"/>
      <c r="Z152" s="51"/>
      <c r="AA152" s="51"/>
      <c r="AB152" s="51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</row>
    <row r="153" spans="1:46" ht="45" customHeight="1">
      <c r="A153" s="21" t="s">
        <v>1532</v>
      </c>
      <c r="B153" s="22" t="s">
        <v>1533</v>
      </c>
      <c r="C153" s="23" t="s">
        <v>1534</v>
      </c>
      <c r="D153" s="24" t="s">
        <v>1535</v>
      </c>
      <c r="E153" s="24" t="s">
        <v>1480</v>
      </c>
      <c r="F153" s="24" t="s">
        <v>402</v>
      </c>
      <c r="G153" s="24" t="s">
        <v>1536</v>
      </c>
      <c r="H153" s="24"/>
      <c r="I153" s="24" t="s">
        <v>80</v>
      </c>
      <c r="J153" s="24" t="s">
        <v>1537</v>
      </c>
      <c r="K153" s="24" t="s">
        <v>1324</v>
      </c>
      <c r="L153" s="24" t="s">
        <v>115</v>
      </c>
      <c r="M153" s="25" t="s">
        <v>1346</v>
      </c>
      <c r="N153" s="22" t="s">
        <v>1538</v>
      </c>
      <c r="O153" s="22"/>
      <c r="P153" s="24" t="s">
        <v>408</v>
      </c>
      <c r="Q153" s="28" t="s">
        <v>1539</v>
      </c>
      <c r="R153" s="29">
        <v>1936</v>
      </c>
      <c r="S153" s="30">
        <f t="shared" si="5"/>
        <v>313632</v>
      </c>
      <c r="T153" s="21" t="s">
        <v>198</v>
      </c>
      <c r="U153" s="24"/>
      <c r="V153" s="30">
        <v>215940</v>
      </c>
      <c r="W153" s="24" t="s">
        <v>71</v>
      </c>
      <c r="X153" s="22">
        <v>1022550</v>
      </c>
      <c r="Y153" s="31">
        <v>3094913</v>
      </c>
      <c r="Z153" s="22">
        <v>3836786</v>
      </c>
      <c r="AA153" s="22">
        <v>4711921</v>
      </c>
      <c r="AB153" s="22"/>
      <c r="AC153" s="24">
        <v>5480615</v>
      </c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</row>
    <row r="154" spans="1:46" ht="45" customHeight="1">
      <c r="A154" s="21" t="s">
        <v>1540</v>
      </c>
      <c r="B154" s="22" t="s">
        <v>1541</v>
      </c>
      <c r="C154" s="23" t="s">
        <v>1542</v>
      </c>
      <c r="D154" s="24" t="s">
        <v>1543</v>
      </c>
      <c r="E154" s="24" t="s">
        <v>1544</v>
      </c>
      <c r="F154" s="24" t="s">
        <v>402</v>
      </c>
      <c r="G154" s="24" t="s">
        <v>1545</v>
      </c>
      <c r="H154" s="24"/>
      <c r="I154" s="24" t="s">
        <v>38</v>
      </c>
      <c r="J154" s="24" t="s">
        <v>1546</v>
      </c>
      <c r="K154" s="24"/>
      <c r="L154" s="24" t="s">
        <v>38</v>
      </c>
      <c r="M154" s="43" t="s">
        <v>1547</v>
      </c>
      <c r="N154" s="77" t="s">
        <v>1548</v>
      </c>
      <c r="O154" s="22"/>
      <c r="P154" s="24" t="s">
        <v>117</v>
      </c>
      <c r="Q154" s="28" t="s">
        <v>1549</v>
      </c>
      <c r="R154" s="29">
        <v>7652</v>
      </c>
      <c r="S154" s="30">
        <f t="shared" si="5"/>
        <v>1239624</v>
      </c>
      <c r="T154" s="21" t="s">
        <v>70</v>
      </c>
      <c r="U154" s="24"/>
      <c r="V154" s="30">
        <f>S154</f>
        <v>1239624</v>
      </c>
      <c r="W154" s="24" t="s">
        <v>71</v>
      </c>
      <c r="X154" s="22"/>
      <c r="Y154" s="31">
        <v>3094299</v>
      </c>
      <c r="Z154" s="22"/>
      <c r="AA154" s="22">
        <v>4647176</v>
      </c>
      <c r="AB154" s="22"/>
      <c r="AC154" s="111">
        <v>5573504</v>
      </c>
      <c r="AD154" s="45">
        <v>6465934</v>
      </c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</row>
    <row r="155" spans="1:46" ht="45" customHeight="1">
      <c r="A155" s="12" t="s">
        <v>1550</v>
      </c>
      <c r="B155" s="13" t="s">
        <v>1551</v>
      </c>
      <c r="C155" s="14" t="s">
        <v>1552</v>
      </c>
      <c r="D155" s="15" t="s">
        <v>1553</v>
      </c>
      <c r="E155" s="15" t="s">
        <v>1554</v>
      </c>
      <c r="F155" s="15" t="s">
        <v>402</v>
      </c>
      <c r="G155" s="15" t="s">
        <v>1555</v>
      </c>
      <c r="H155" s="15" t="s">
        <v>1212</v>
      </c>
      <c r="I155" s="15" t="s">
        <v>80</v>
      </c>
      <c r="J155" s="15" t="s">
        <v>1555</v>
      </c>
      <c r="K155" s="15" t="s">
        <v>1212</v>
      </c>
      <c r="L155" s="15" t="s">
        <v>80</v>
      </c>
      <c r="M155" s="46" t="s">
        <v>1556</v>
      </c>
      <c r="N155" s="13" t="s">
        <v>1557</v>
      </c>
      <c r="O155" s="13"/>
      <c r="P155" s="15" t="s">
        <v>44</v>
      </c>
      <c r="Q155" s="17" t="s">
        <v>1558</v>
      </c>
      <c r="R155" s="18">
        <v>190</v>
      </c>
      <c r="S155" s="19">
        <f t="shared" si="5"/>
        <v>30780</v>
      </c>
      <c r="T155" s="12" t="s">
        <v>46</v>
      </c>
      <c r="U155" s="15"/>
      <c r="V155" s="19">
        <v>44610</v>
      </c>
      <c r="W155" s="15" t="s">
        <v>71</v>
      </c>
      <c r="X155" s="13">
        <v>1042523</v>
      </c>
      <c r="Y155" s="20" t="s">
        <v>1559</v>
      </c>
      <c r="Z155" s="13">
        <v>3894133</v>
      </c>
      <c r="AA155" s="13">
        <v>4684915</v>
      </c>
      <c r="AB155" s="13"/>
      <c r="AC155" s="15">
        <v>5612471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</row>
    <row r="156" spans="1:46" ht="45" customHeight="1">
      <c r="A156" s="21" t="s">
        <v>1560</v>
      </c>
      <c r="B156" s="22" t="s">
        <v>1561</v>
      </c>
      <c r="C156" s="23" t="s">
        <v>1562</v>
      </c>
      <c r="D156" s="24" t="s">
        <v>1535</v>
      </c>
      <c r="E156" s="24" t="s">
        <v>1480</v>
      </c>
      <c r="F156" s="24" t="s">
        <v>402</v>
      </c>
      <c r="G156" s="24" t="s">
        <v>1536</v>
      </c>
      <c r="H156" s="24"/>
      <c r="I156" s="24" t="s">
        <v>80</v>
      </c>
      <c r="J156" s="24" t="s">
        <v>1536</v>
      </c>
      <c r="K156" s="24"/>
      <c r="L156" s="24" t="s">
        <v>80</v>
      </c>
      <c r="M156" s="25" t="s">
        <v>1346</v>
      </c>
      <c r="N156" s="22" t="s">
        <v>1563</v>
      </c>
      <c r="O156" s="22"/>
      <c r="P156" s="24" t="s">
        <v>408</v>
      </c>
      <c r="Q156" s="28" t="s">
        <v>1564</v>
      </c>
      <c r="R156" s="29">
        <v>1044</v>
      </c>
      <c r="S156" s="30">
        <f t="shared" si="5"/>
        <v>169128</v>
      </c>
      <c r="T156" s="21" t="s">
        <v>198</v>
      </c>
      <c r="U156" s="24"/>
      <c r="V156" s="30">
        <v>215940</v>
      </c>
      <c r="W156" s="24" t="s">
        <v>71</v>
      </c>
      <c r="X156" s="22">
        <v>1022624</v>
      </c>
      <c r="Y156" s="31">
        <v>3095015</v>
      </c>
      <c r="Z156" s="22">
        <v>3836789</v>
      </c>
      <c r="AA156" s="22">
        <v>4708629</v>
      </c>
      <c r="AB156" s="22"/>
      <c r="AC156" s="24">
        <v>5479347</v>
      </c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</row>
    <row r="157" spans="1:46" ht="45" customHeight="1">
      <c r="A157" s="21" t="s">
        <v>1565</v>
      </c>
      <c r="B157" s="22" t="s">
        <v>1566</v>
      </c>
      <c r="C157" s="23" t="s">
        <v>1567</v>
      </c>
      <c r="D157" s="24" t="s">
        <v>1568</v>
      </c>
      <c r="E157" s="24" t="s">
        <v>1569</v>
      </c>
      <c r="F157" s="24" t="s">
        <v>776</v>
      </c>
      <c r="G157" s="24" t="s">
        <v>1570</v>
      </c>
      <c r="H157" s="24" t="s">
        <v>1571</v>
      </c>
      <c r="I157" s="24" t="s">
        <v>38</v>
      </c>
      <c r="J157" s="24" t="s">
        <v>1570</v>
      </c>
      <c r="K157" s="24" t="s">
        <v>1571</v>
      </c>
      <c r="L157" s="24" t="s">
        <v>38</v>
      </c>
      <c r="M157" s="25" t="s">
        <v>1572</v>
      </c>
      <c r="N157" s="22" t="s">
        <v>1573</v>
      </c>
      <c r="O157" s="26"/>
      <c r="P157" s="24" t="s">
        <v>1574</v>
      </c>
      <c r="Q157" s="28" t="s">
        <v>1575</v>
      </c>
      <c r="R157" s="29">
        <v>9753.36</v>
      </c>
      <c r="S157" s="30">
        <f t="shared" si="5"/>
        <v>1580044.32</v>
      </c>
      <c r="T157" s="21" t="s">
        <v>70</v>
      </c>
      <c r="U157" s="24"/>
      <c r="V157" s="30">
        <f>S157</f>
        <v>1580044.32</v>
      </c>
      <c r="W157" s="24" t="s">
        <v>71</v>
      </c>
      <c r="X157" s="22">
        <v>1140243</v>
      </c>
      <c r="Y157" s="31">
        <v>3097618</v>
      </c>
      <c r="Z157" s="22">
        <v>3866657</v>
      </c>
      <c r="AA157" s="22">
        <v>4728011</v>
      </c>
      <c r="AB157" s="22"/>
      <c r="AC157" s="24">
        <v>5596537</v>
      </c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</row>
    <row r="158" spans="1:46" ht="45" customHeight="1">
      <c r="A158" s="21" t="s">
        <v>1576</v>
      </c>
      <c r="B158" s="22" t="s">
        <v>1577</v>
      </c>
      <c r="C158" s="23" t="s">
        <v>1578</v>
      </c>
      <c r="D158" s="24" t="s">
        <v>475</v>
      </c>
      <c r="E158" s="24" t="s">
        <v>476</v>
      </c>
      <c r="F158" s="24" t="s">
        <v>477</v>
      </c>
      <c r="G158" s="24" t="s">
        <v>1579</v>
      </c>
      <c r="H158" s="24"/>
      <c r="I158" s="24" t="s">
        <v>65</v>
      </c>
      <c r="J158" s="24" t="s">
        <v>1579</v>
      </c>
      <c r="K158" s="24"/>
      <c r="L158" s="24" t="s">
        <v>65</v>
      </c>
      <c r="M158" s="25" t="s">
        <v>1580</v>
      </c>
      <c r="N158" s="77" t="s">
        <v>1581</v>
      </c>
      <c r="O158" s="22"/>
      <c r="P158" s="24" t="s">
        <v>482</v>
      </c>
      <c r="Q158" s="28" t="s">
        <v>1582</v>
      </c>
      <c r="R158" s="29">
        <v>3621</v>
      </c>
      <c r="S158" s="30">
        <f t="shared" si="5"/>
        <v>586602</v>
      </c>
      <c r="T158" s="21" t="s">
        <v>129</v>
      </c>
      <c r="U158" s="24"/>
      <c r="V158" s="30">
        <v>545160</v>
      </c>
      <c r="W158" s="24" t="s">
        <v>71</v>
      </c>
      <c r="X158" s="22">
        <v>1021117</v>
      </c>
      <c r="Y158" s="31">
        <v>3079914</v>
      </c>
      <c r="Z158" s="22">
        <v>3799485</v>
      </c>
      <c r="AA158" s="22">
        <v>4647460</v>
      </c>
      <c r="AB158" s="22"/>
      <c r="AC158" s="24">
        <v>5511509</v>
      </c>
      <c r="AD158" s="45">
        <v>6476465</v>
      </c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</row>
    <row r="159" spans="1:46" ht="45" customHeight="1">
      <c r="A159" s="21" t="s">
        <v>1583</v>
      </c>
      <c r="B159" s="22" t="s">
        <v>1584</v>
      </c>
      <c r="C159" s="23" t="s">
        <v>1585</v>
      </c>
      <c r="D159" s="24" t="s">
        <v>1586</v>
      </c>
      <c r="E159" s="24" t="s">
        <v>1587</v>
      </c>
      <c r="F159" s="24" t="s">
        <v>542</v>
      </c>
      <c r="G159" s="24" t="s">
        <v>1588</v>
      </c>
      <c r="H159" s="24"/>
      <c r="I159" s="24" t="s">
        <v>149</v>
      </c>
      <c r="J159" s="24" t="s">
        <v>1588</v>
      </c>
      <c r="K159" s="24"/>
      <c r="L159" s="24" t="s">
        <v>149</v>
      </c>
      <c r="M159" s="76" t="s">
        <v>1589</v>
      </c>
      <c r="N159" s="22" t="s">
        <v>1590</v>
      </c>
      <c r="O159" s="26">
        <v>45759</v>
      </c>
      <c r="P159" s="24" t="s">
        <v>1591</v>
      </c>
      <c r="Q159" s="28" t="s">
        <v>1592</v>
      </c>
      <c r="R159" s="29">
        <v>14525.1</v>
      </c>
      <c r="S159" s="30">
        <f t="shared" si="5"/>
        <v>2353066.2000000002</v>
      </c>
      <c r="T159" s="21" t="s">
        <v>70</v>
      </c>
      <c r="U159" s="30"/>
      <c r="V159" s="30">
        <f>S159/2</f>
        <v>1176533.1000000001</v>
      </c>
      <c r="W159" s="24" t="s">
        <v>71</v>
      </c>
      <c r="X159" s="22">
        <v>1104785</v>
      </c>
      <c r="Y159" s="31">
        <v>3109768</v>
      </c>
      <c r="Z159" s="22">
        <v>3892790</v>
      </c>
      <c r="AA159" s="22">
        <v>4742712</v>
      </c>
      <c r="AB159" s="22"/>
      <c r="AC159" s="24">
        <v>5620898</v>
      </c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</row>
    <row r="160" spans="1:46" ht="45" customHeight="1">
      <c r="A160" s="12" t="s">
        <v>1593</v>
      </c>
      <c r="B160" s="13" t="s">
        <v>1594</v>
      </c>
      <c r="C160" s="14" t="s">
        <v>1595</v>
      </c>
      <c r="D160" s="112" t="s">
        <v>1596</v>
      </c>
      <c r="E160" s="112" t="s">
        <v>1363</v>
      </c>
      <c r="F160" s="15" t="s">
        <v>111</v>
      </c>
      <c r="G160" s="112" t="s">
        <v>1597</v>
      </c>
      <c r="H160" s="112"/>
      <c r="I160" s="112" t="s">
        <v>149</v>
      </c>
      <c r="J160" s="112" t="s">
        <v>1597</v>
      </c>
      <c r="K160" s="112"/>
      <c r="L160" s="112" t="s">
        <v>149</v>
      </c>
      <c r="M160" s="46" t="s">
        <v>1598</v>
      </c>
      <c r="N160" s="113" t="s">
        <v>1599</v>
      </c>
      <c r="O160" s="113"/>
      <c r="P160" s="112" t="s">
        <v>44</v>
      </c>
      <c r="Q160" s="17" t="s">
        <v>1600</v>
      </c>
      <c r="R160" s="18">
        <v>19</v>
      </c>
      <c r="S160" s="19">
        <f t="shared" si="5"/>
        <v>3078</v>
      </c>
      <c r="T160" s="12" t="s">
        <v>46</v>
      </c>
      <c r="U160" s="15"/>
      <c r="V160" s="19">
        <v>44610</v>
      </c>
      <c r="W160" s="15"/>
      <c r="X160" s="13">
        <v>1106294</v>
      </c>
      <c r="Y160" s="20"/>
      <c r="Z160" s="13"/>
      <c r="AA160" s="13"/>
      <c r="AB160" s="13">
        <v>4904953</v>
      </c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</row>
    <row r="161" spans="1:46" ht="38.25" customHeight="1">
      <c r="A161" s="12" t="s">
        <v>1601</v>
      </c>
      <c r="B161" s="13" t="s">
        <v>1602</v>
      </c>
      <c r="C161" s="14" t="s">
        <v>1603</v>
      </c>
      <c r="D161" s="15" t="s">
        <v>1604</v>
      </c>
      <c r="E161" s="15" t="s">
        <v>1605</v>
      </c>
      <c r="F161" s="15" t="s">
        <v>111</v>
      </c>
      <c r="G161" s="15" t="s">
        <v>1606</v>
      </c>
      <c r="H161" s="15" t="s">
        <v>1212</v>
      </c>
      <c r="I161" s="15" t="s">
        <v>80</v>
      </c>
      <c r="J161" s="15" t="s">
        <v>1606</v>
      </c>
      <c r="K161" s="15" t="s">
        <v>1212</v>
      </c>
      <c r="L161" s="15" t="s">
        <v>80</v>
      </c>
      <c r="M161" s="46" t="s">
        <v>1607</v>
      </c>
      <c r="N161" s="13" t="s">
        <v>1608</v>
      </c>
      <c r="O161" s="13"/>
      <c r="P161" s="15" t="s">
        <v>44</v>
      </c>
      <c r="Q161" s="17" t="s">
        <v>1609</v>
      </c>
      <c r="R161" s="18">
        <v>29</v>
      </c>
      <c r="S161" s="19">
        <f t="shared" si="5"/>
        <v>4698</v>
      </c>
      <c r="T161" s="12" t="s">
        <v>46</v>
      </c>
      <c r="U161" s="15"/>
      <c r="V161" s="19">
        <v>44610</v>
      </c>
      <c r="W161" s="15" t="s">
        <v>47</v>
      </c>
      <c r="X161" s="13"/>
      <c r="Y161" s="20"/>
      <c r="Z161" s="13">
        <v>3903198</v>
      </c>
      <c r="AA161" s="13">
        <v>4747889</v>
      </c>
      <c r="AB161" s="13"/>
      <c r="AC161" s="15">
        <v>5531773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</row>
    <row r="162" spans="1:46" ht="45" customHeight="1">
      <c r="A162" s="12" t="s">
        <v>1610</v>
      </c>
      <c r="B162" s="13" t="s">
        <v>1611</v>
      </c>
      <c r="C162" s="66" t="s">
        <v>1612</v>
      </c>
      <c r="D162" s="15" t="s">
        <v>1613</v>
      </c>
      <c r="E162" s="15" t="s">
        <v>1614</v>
      </c>
      <c r="F162" s="15" t="s">
        <v>147</v>
      </c>
      <c r="G162" s="15" t="s">
        <v>1615</v>
      </c>
      <c r="H162" s="15"/>
      <c r="I162" s="15" t="s">
        <v>149</v>
      </c>
      <c r="J162" s="15" t="s">
        <v>1615</v>
      </c>
      <c r="K162" s="15"/>
      <c r="L162" s="15" t="s">
        <v>149</v>
      </c>
      <c r="M162" s="16" t="s">
        <v>1616</v>
      </c>
      <c r="N162" s="13" t="s">
        <v>1617</v>
      </c>
      <c r="O162" s="13"/>
      <c r="P162" s="15" t="s">
        <v>151</v>
      </c>
      <c r="Q162" s="17" t="s">
        <v>1618</v>
      </c>
      <c r="R162" s="18">
        <v>12</v>
      </c>
      <c r="S162" s="19">
        <f t="shared" si="5"/>
        <v>1944</v>
      </c>
      <c r="T162" s="12" t="s">
        <v>46</v>
      </c>
      <c r="U162" s="15"/>
      <c r="V162" s="19">
        <v>44610</v>
      </c>
      <c r="W162" s="15"/>
      <c r="X162" s="13"/>
      <c r="Y162" s="20"/>
      <c r="Z162" s="13"/>
      <c r="AA162" s="13"/>
      <c r="AB162" s="13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</row>
    <row r="163" spans="1:46" ht="45" customHeight="1">
      <c r="A163" s="21" t="s">
        <v>1619</v>
      </c>
      <c r="B163" s="22" t="s">
        <v>1620</v>
      </c>
      <c r="C163" s="23" t="s">
        <v>1621</v>
      </c>
      <c r="D163" s="24" t="s">
        <v>1321</v>
      </c>
      <c r="E163" s="24" t="s">
        <v>1322</v>
      </c>
      <c r="F163" s="24" t="s">
        <v>776</v>
      </c>
      <c r="G163" s="24" t="s">
        <v>1622</v>
      </c>
      <c r="H163" s="24" t="s">
        <v>125</v>
      </c>
      <c r="I163" s="24" t="s">
        <v>115</v>
      </c>
      <c r="J163" s="24" t="s">
        <v>1622</v>
      </c>
      <c r="K163" s="24" t="s">
        <v>125</v>
      </c>
      <c r="L163" s="24" t="s">
        <v>115</v>
      </c>
      <c r="M163" s="43" t="s">
        <v>1623</v>
      </c>
      <c r="N163" s="22" t="s">
        <v>1624</v>
      </c>
      <c r="O163" s="26">
        <v>46215</v>
      </c>
      <c r="P163" s="24" t="s">
        <v>1466</v>
      </c>
      <c r="Q163" s="28" t="s">
        <v>1625</v>
      </c>
      <c r="R163" s="29">
        <v>7517</v>
      </c>
      <c r="S163" s="30">
        <f t="shared" si="5"/>
        <v>1217754</v>
      </c>
      <c r="T163" s="21" t="s">
        <v>70</v>
      </c>
      <c r="U163" s="24"/>
      <c r="V163" s="30">
        <f>+S163/2</f>
        <v>608877</v>
      </c>
      <c r="W163" s="45" t="s">
        <v>71</v>
      </c>
      <c r="X163" s="22">
        <v>1107669</v>
      </c>
      <c r="Y163" s="31">
        <v>3116104</v>
      </c>
      <c r="Z163" s="22">
        <v>3892881</v>
      </c>
      <c r="AA163" s="22">
        <v>4707040</v>
      </c>
      <c r="AB163" s="22"/>
      <c r="AC163" s="45">
        <v>5628122</v>
      </c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</row>
    <row r="164" spans="1:46" ht="45" customHeight="1">
      <c r="A164" s="21" t="s">
        <v>1626</v>
      </c>
      <c r="B164" s="22" t="s">
        <v>1627</v>
      </c>
      <c r="C164" s="23" t="s">
        <v>1628</v>
      </c>
      <c r="D164" s="24" t="s">
        <v>1629</v>
      </c>
      <c r="E164" s="24" t="s">
        <v>1630</v>
      </c>
      <c r="F164" s="24" t="s">
        <v>181</v>
      </c>
      <c r="G164" s="24" t="s">
        <v>1631</v>
      </c>
      <c r="H164" s="24" t="s">
        <v>114</v>
      </c>
      <c r="I164" s="24" t="s">
        <v>115</v>
      </c>
      <c r="J164" s="24" t="s">
        <v>1631</v>
      </c>
      <c r="K164" s="24" t="s">
        <v>114</v>
      </c>
      <c r="L164" s="24" t="s">
        <v>115</v>
      </c>
      <c r="M164" s="25" t="s">
        <v>1632</v>
      </c>
      <c r="N164" s="94" t="s">
        <v>1633</v>
      </c>
      <c r="O164" s="22"/>
      <c r="P164" s="24" t="s">
        <v>94</v>
      </c>
      <c r="Q164" s="28" t="s">
        <v>1634</v>
      </c>
      <c r="R164" s="29">
        <v>916</v>
      </c>
      <c r="S164" s="30">
        <f t="shared" si="5"/>
        <v>148392</v>
      </c>
      <c r="T164" s="21" t="s">
        <v>252</v>
      </c>
      <c r="U164" s="24"/>
      <c r="V164" s="30">
        <v>123900</v>
      </c>
      <c r="W164" s="24" t="s">
        <v>71</v>
      </c>
      <c r="X164" s="22">
        <v>1038256</v>
      </c>
      <c r="Y164" s="31">
        <v>3058734</v>
      </c>
      <c r="Z164" s="22">
        <v>3843866</v>
      </c>
      <c r="AA164" s="22">
        <v>4738594</v>
      </c>
      <c r="AB164" s="22"/>
      <c r="AC164" s="24">
        <v>5547521</v>
      </c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</row>
    <row r="165" spans="1:46" ht="45" customHeight="1">
      <c r="A165" s="21" t="s">
        <v>1635</v>
      </c>
      <c r="B165" s="22" t="s">
        <v>1636</v>
      </c>
      <c r="C165" s="23" t="s">
        <v>1637</v>
      </c>
      <c r="D165" s="24" t="s">
        <v>1638</v>
      </c>
      <c r="E165" s="24" t="s">
        <v>1639</v>
      </c>
      <c r="F165" s="24" t="s">
        <v>111</v>
      </c>
      <c r="G165" s="24" t="s">
        <v>1640</v>
      </c>
      <c r="H165" s="24" t="s">
        <v>1446</v>
      </c>
      <c r="I165" s="24" t="s">
        <v>80</v>
      </c>
      <c r="J165" s="24" t="s">
        <v>1640</v>
      </c>
      <c r="K165" s="24" t="s">
        <v>1446</v>
      </c>
      <c r="L165" s="24" t="s">
        <v>80</v>
      </c>
      <c r="M165" s="25" t="s">
        <v>1641</v>
      </c>
      <c r="N165" s="22" t="s">
        <v>1642</v>
      </c>
      <c r="O165" s="22"/>
      <c r="P165" s="24" t="s">
        <v>94</v>
      </c>
      <c r="Q165" s="28" t="s">
        <v>1643</v>
      </c>
      <c r="R165" s="29">
        <v>806</v>
      </c>
      <c r="S165" s="30">
        <f t="shared" si="5"/>
        <v>130572</v>
      </c>
      <c r="T165" s="21" t="s">
        <v>252</v>
      </c>
      <c r="U165" s="24"/>
      <c r="V165" s="30">
        <v>123900</v>
      </c>
      <c r="W165" s="45" t="s">
        <v>71</v>
      </c>
      <c r="X165" s="22"/>
      <c r="Y165" s="22" t="s">
        <v>1644</v>
      </c>
      <c r="Z165" s="22">
        <v>3887510</v>
      </c>
      <c r="AA165" s="22">
        <v>4743421</v>
      </c>
      <c r="AB165" s="22"/>
      <c r="AC165" s="45">
        <v>5623776</v>
      </c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</row>
    <row r="166" spans="1:46" ht="45" customHeight="1">
      <c r="A166" s="21" t="s">
        <v>1645</v>
      </c>
      <c r="B166" s="22" t="s">
        <v>1646</v>
      </c>
      <c r="C166" s="23" t="s">
        <v>1647</v>
      </c>
      <c r="D166" s="24" t="s">
        <v>1321</v>
      </c>
      <c r="E166" s="24" t="s">
        <v>1648</v>
      </c>
      <c r="F166" s="24" t="s">
        <v>776</v>
      </c>
      <c r="G166" s="24" t="s">
        <v>1649</v>
      </c>
      <c r="H166" s="24" t="s">
        <v>1650</v>
      </c>
      <c r="I166" s="24" t="s">
        <v>80</v>
      </c>
      <c r="J166" s="24" t="s">
        <v>1649</v>
      </c>
      <c r="K166" s="24" t="s">
        <v>1650</v>
      </c>
      <c r="L166" s="24" t="s">
        <v>80</v>
      </c>
      <c r="M166" s="25" t="s">
        <v>1651</v>
      </c>
      <c r="N166" s="22" t="s">
        <v>1652</v>
      </c>
      <c r="O166" s="26">
        <v>46215</v>
      </c>
      <c r="P166" s="24" t="s">
        <v>1653</v>
      </c>
      <c r="Q166" s="28" t="s">
        <v>1654</v>
      </c>
      <c r="R166" s="29">
        <v>44079</v>
      </c>
      <c r="S166" s="30">
        <f t="shared" si="5"/>
        <v>7140798</v>
      </c>
      <c r="T166" s="21" t="s">
        <v>70</v>
      </c>
      <c r="U166" s="24"/>
      <c r="V166" s="44">
        <v>3570399</v>
      </c>
      <c r="W166" s="24" t="s">
        <v>71</v>
      </c>
      <c r="X166" s="22">
        <v>1027477</v>
      </c>
      <c r="Y166" s="31"/>
      <c r="Z166" s="22">
        <v>3856235</v>
      </c>
      <c r="AA166" s="22">
        <v>4719402</v>
      </c>
      <c r="AB166" s="22"/>
      <c r="AC166" s="24">
        <v>5601317</v>
      </c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</row>
    <row r="167" spans="1:46" ht="45" customHeight="1">
      <c r="A167" s="21" t="s">
        <v>1655</v>
      </c>
      <c r="B167" s="22" t="s">
        <v>1656</v>
      </c>
      <c r="C167" s="23" t="s">
        <v>1657</v>
      </c>
      <c r="D167" s="24" t="s">
        <v>1229</v>
      </c>
      <c r="E167" s="24" t="s">
        <v>1658</v>
      </c>
      <c r="F167" s="24" t="s">
        <v>77</v>
      </c>
      <c r="G167" s="24" t="s">
        <v>1231</v>
      </c>
      <c r="H167" s="24" t="s">
        <v>1212</v>
      </c>
      <c r="I167" s="24" t="s">
        <v>80</v>
      </c>
      <c r="J167" s="24" t="s">
        <v>1659</v>
      </c>
      <c r="K167" s="24" t="s">
        <v>331</v>
      </c>
      <c r="L167" s="24" t="s">
        <v>1058</v>
      </c>
      <c r="M167" s="59" t="s">
        <v>1660</v>
      </c>
      <c r="N167" s="22" t="s">
        <v>1661</v>
      </c>
      <c r="O167" s="26">
        <v>46412</v>
      </c>
      <c r="P167" s="24" t="s">
        <v>1235</v>
      </c>
      <c r="Q167" s="28" t="s">
        <v>1662</v>
      </c>
      <c r="R167" s="29">
        <v>781</v>
      </c>
      <c r="S167" s="30">
        <f t="shared" si="5"/>
        <v>126522</v>
      </c>
      <c r="T167" s="21" t="s">
        <v>252</v>
      </c>
      <c r="U167" s="24"/>
      <c r="V167" s="30">
        <v>123900</v>
      </c>
      <c r="W167" s="24" t="s">
        <v>71</v>
      </c>
      <c r="X167" s="22">
        <v>1119130</v>
      </c>
      <c r="Y167" s="31"/>
      <c r="Z167" s="22">
        <v>3880403</v>
      </c>
      <c r="AA167" s="22">
        <v>4749654</v>
      </c>
      <c r="AB167" s="22"/>
      <c r="AC167" s="24">
        <v>5606215</v>
      </c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</row>
    <row r="168" spans="1:46" ht="45" customHeight="1">
      <c r="A168" s="12" t="s">
        <v>1663</v>
      </c>
      <c r="B168" s="13" t="s">
        <v>1664</v>
      </c>
      <c r="C168" s="14" t="s">
        <v>1665</v>
      </c>
      <c r="D168" s="15" t="s">
        <v>1666</v>
      </c>
      <c r="E168" s="15" t="s">
        <v>1667</v>
      </c>
      <c r="F168" s="15" t="s">
        <v>111</v>
      </c>
      <c r="G168" s="15" t="s">
        <v>1668</v>
      </c>
      <c r="H168" s="15"/>
      <c r="I168" s="15" t="s">
        <v>149</v>
      </c>
      <c r="J168" s="15" t="s">
        <v>1668</v>
      </c>
      <c r="K168" s="15"/>
      <c r="L168" s="15" t="s">
        <v>149</v>
      </c>
      <c r="M168" s="16" t="s">
        <v>1669</v>
      </c>
      <c r="N168" s="13" t="s">
        <v>1670</v>
      </c>
      <c r="O168" s="13"/>
      <c r="P168" s="15" t="s">
        <v>117</v>
      </c>
      <c r="Q168" s="17" t="s">
        <v>1671</v>
      </c>
      <c r="R168" s="18">
        <v>78</v>
      </c>
      <c r="S168" s="19">
        <f t="shared" si="5"/>
        <v>12636</v>
      </c>
      <c r="T168" s="12" t="s">
        <v>46</v>
      </c>
      <c r="U168" s="15"/>
      <c r="V168" s="19">
        <v>44610</v>
      </c>
      <c r="W168" s="15" t="s">
        <v>71</v>
      </c>
      <c r="X168" s="13">
        <v>1006334</v>
      </c>
      <c r="Y168" s="20">
        <v>3093017</v>
      </c>
      <c r="Z168" s="13">
        <v>3856500</v>
      </c>
      <c r="AA168" s="13">
        <v>4671555</v>
      </c>
      <c r="AB168" s="13"/>
      <c r="AC168" s="15">
        <v>5522743</v>
      </c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</row>
    <row r="169" spans="1:46" ht="45" customHeight="1">
      <c r="A169" s="89" t="s">
        <v>1672</v>
      </c>
      <c r="B169" s="13" t="s">
        <v>1673</v>
      </c>
      <c r="C169" s="14" t="s">
        <v>1674</v>
      </c>
      <c r="D169" s="15" t="s">
        <v>1675</v>
      </c>
      <c r="E169" s="15" t="s">
        <v>1676</v>
      </c>
      <c r="F169" s="15" t="s">
        <v>402</v>
      </c>
      <c r="G169" s="15" t="s">
        <v>1677</v>
      </c>
      <c r="H169" s="15"/>
      <c r="I169" s="15" t="s">
        <v>149</v>
      </c>
      <c r="J169" s="15" t="s">
        <v>1677</v>
      </c>
      <c r="K169" s="15"/>
      <c r="L169" s="15" t="s">
        <v>149</v>
      </c>
      <c r="M169" s="114" t="s">
        <v>1678</v>
      </c>
      <c r="N169" s="13">
        <v>4319010</v>
      </c>
      <c r="O169" s="13"/>
      <c r="P169" s="15" t="s">
        <v>94</v>
      </c>
      <c r="Q169" s="17" t="s">
        <v>1679</v>
      </c>
      <c r="R169" s="18">
        <v>575</v>
      </c>
      <c r="S169" s="19">
        <f t="shared" si="5"/>
        <v>93150</v>
      </c>
      <c r="T169" s="12" t="s">
        <v>46</v>
      </c>
      <c r="U169" s="15"/>
      <c r="V169" s="19">
        <v>44610</v>
      </c>
      <c r="W169" s="49" t="s">
        <v>71</v>
      </c>
      <c r="X169" s="13">
        <v>1126672</v>
      </c>
      <c r="Y169" s="20"/>
      <c r="Z169" s="13">
        <v>3902070</v>
      </c>
      <c r="AA169" s="13">
        <v>4750625</v>
      </c>
      <c r="AB169" s="13"/>
      <c r="AC169" s="49">
        <v>5633656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</row>
    <row r="170" spans="1:46" ht="45" customHeight="1">
      <c r="A170" s="50" t="s">
        <v>1680</v>
      </c>
      <c r="B170" s="51" t="s">
        <v>1681</v>
      </c>
      <c r="C170" s="52" t="s">
        <v>1682</v>
      </c>
      <c r="D170" s="53" t="s">
        <v>1535</v>
      </c>
      <c r="E170" s="53" t="s">
        <v>1683</v>
      </c>
      <c r="F170" s="53" t="s">
        <v>402</v>
      </c>
      <c r="G170" s="53" t="s">
        <v>1536</v>
      </c>
      <c r="H170" s="53"/>
      <c r="I170" s="53" t="s">
        <v>80</v>
      </c>
      <c r="J170" s="53" t="s">
        <v>1684</v>
      </c>
      <c r="K170" s="53" t="s">
        <v>447</v>
      </c>
      <c r="L170" s="53" t="s">
        <v>38</v>
      </c>
      <c r="M170" s="68" t="s">
        <v>1346</v>
      </c>
      <c r="N170" s="51" t="s">
        <v>1685</v>
      </c>
      <c r="O170" s="51"/>
      <c r="P170" s="53" t="s">
        <v>408</v>
      </c>
      <c r="Q170" s="55" t="s">
        <v>1686</v>
      </c>
      <c r="R170" s="56">
        <v>761</v>
      </c>
      <c r="S170" s="57">
        <f t="shared" si="5"/>
        <v>123282</v>
      </c>
      <c r="T170" s="50" t="s">
        <v>252</v>
      </c>
      <c r="U170" s="53"/>
      <c r="V170" s="57">
        <v>123900</v>
      </c>
      <c r="W170" s="53"/>
      <c r="X170" s="51">
        <v>1022446</v>
      </c>
      <c r="Y170" s="58">
        <v>3094862</v>
      </c>
      <c r="Z170" s="51">
        <v>3836758</v>
      </c>
      <c r="AA170" s="51"/>
      <c r="AB170" s="51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</row>
    <row r="171" spans="1:46" ht="45" customHeight="1">
      <c r="A171" s="50" t="s">
        <v>1687</v>
      </c>
      <c r="B171" s="51" t="s">
        <v>1688</v>
      </c>
      <c r="C171" s="95" t="s">
        <v>1689</v>
      </c>
      <c r="D171" s="53" t="s">
        <v>1690</v>
      </c>
      <c r="E171" s="53" t="s">
        <v>1691</v>
      </c>
      <c r="F171" s="53" t="s">
        <v>909</v>
      </c>
      <c r="G171" s="53" t="s">
        <v>1692</v>
      </c>
      <c r="H171" s="53" t="s">
        <v>52</v>
      </c>
      <c r="I171" s="53" t="s">
        <v>53</v>
      </c>
      <c r="J171" s="53" t="s">
        <v>1693</v>
      </c>
      <c r="K171" s="53"/>
      <c r="L171" s="53" t="s">
        <v>65</v>
      </c>
      <c r="M171" s="54" t="s">
        <v>1694</v>
      </c>
      <c r="N171" s="51"/>
      <c r="O171" s="51"/>
      <c r="P171" s="53" t="s">
        <v>1381</v>
      </c>
      <c r="Q171" s="55" t="s">
        <v>1695</v>
      </c>
      <c r="R171" s="56">
        <v>79</v>
      </c>
      <c r="S171" s="57">
        <f t="shared" si="5"/>
        <v>12798</v>
      </c>
      <c r="T171" s="50" t="s">
        <v>46</v>
      </c>
      <c r="U171" s="53"/>
      <c r="V171" s="57">
        <v>44610</v>
      </c>
      <c r="W171" s="53"/>
      <c r="X171" s="51"/>
      <c r="Y171" s="58"/>
      <c r="Z171" s="51"/>
      <c r="AA171" s="51"/>
      <c r="AB171" s="51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</row>
    <row r="172" spans="1:46" ht="45" customHeight="1">
      <c r="A172" s="12" t="s">
        <v>1696</v>
      </c>
      <c r="B172" s="13" t="s">
        <v>1697</v>
      </c>
      <c r="C172" s="14" t="s">
        <v>1698</v>
      </c>
      <c r="D172" s="15" t="s">
        <v>1699</v>
      </c>
      <c r="E172" s="15" t="s">
        <v>1700</v>
      </c>
      <c r="F172" s="15" t="s">
        <v>402</v>
      </c>
      <c r="G172" s="15" t="s">
        <v>1701</v>
      </c>
      <c r="H172" s="15" t="s">
        <v>1702</v>
      </c>
      <c r="I172" s="15" t="s">
        <v>149</v>
      </c>
      <c r="J172" s="15" t="s">
        <v>1701</v>
      </c>
      <c r="K172" s="15" t="s">
        <v>1702</v>
      </c>
      <c r="L172" s="15" t="s">
        <v>149</v>
      </c>
      <c r="M172" s="16" t="s">
        <v>1703</v>
      </c>
      <c r="N172" s="13">
        <v>2615451676</v>
      </c>
      <c r="O172" s="13"/>
      <c r="P172" s="15" t="s">
        <v>94</v>
      </c>
      <c r="Q172" s="17" t="s">
        <v>1704</v>
      </c>
      <c r="R172" s="18">
        <v>154</v>
      </c>
      <c r="S172" s="19">
        <f t="shared" si="5"/>
        <v>24948</v>
      </c>
      <c r="T172" s="12" t="s">
        <v>46</v>
      </c>
      <c r="U172" s="15"/>
      <c r="V172" s="19">
        <v>44610</v>
      </c>
      <c r="W172" s="15" t="s">
        <v>71</v>
      </c>
      <c r="X172" s="13">
        <v>1137962</v>
      </c>
      <c r="Y172" s="20">
        <v>3122198</v>
      </c>
      <c r="Z172" s="13"/>
      <c r="AA172" s="13"/>
      <c r="AB172" s="13"/>
      <c r="AC172" s="15">
        <v>5609846</v>
      </c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</row>
    <row r="173" spans="1:46" ht="45" customHeight="1">
      <c r="A173" s="21" t="s">
        <v>1705</v>
      </c>
      <c r="B173" s="22" t="s">
        <v>1706</v>
      </c>
      <c r="C173" s="23" t="s">
        <v>1707</v>
      </c>
      <c r="D173" s="24" t="s">
        <v>1708</v>
      </c>
      <c r="E173" s="24" t="s">
        <v>1709</v>
      </c>
      <c r="F173" s="24" t="s">
        <v>62</v>
      </c>
      <c r="G173" s="24" t="s">
        <v>1710</v>
      </c>
      <c r="H173" s="24" t="s">
        <v>1711</v>
      </c>
      <c r="I173" s="24" t="s">
        <v>80</v>
      </c>
      <c r="J173" s="24" t="s">
        <v>1710</v>
      </c>
      <c r="K173" s="24" t="s">
        <v>1711</v>
      </c>
      <c r="L173" s="24" t="s">
        <v>80</v>
      </c>
      <c r="M173" s="59" t="s">
        <v>1712</v>
      </c>
      <c r="N173" s="22" t="s">
        <v>1713</v>
      </c>
      <c r="O173" s="22"/>
      <c r="P173" s="24" t="s">
        <v>408</v>
      </c>
      <c r="Q173" s="28" t="s">
        <v>1714</v>
      </c>
      <c r="R173" s="29">
        <v>6612</v>
      </c>
      <c r="S173" s="30">
        <f t="shared" si="5"/>
        <v>1071144</v>
      </c>
      <c r="T173" s="21" t="s">
        <v>70</v>
      </c>
      <c r="U173" s="24"/>
      <c r="V173" s="30">
        <f>S173</f>
        <v>1071144</v>
      </c>
      <c r="W173" s="24" t="s">
        <v>71</v>
      </c>
      <c r="X173" s="22">
        <v>1044759</v>
      </c>
      <c r="Y173" s="31">
        <v>3084881</v>
      </c>
      <c r="Z173" s="22">
        <v>3887808</v>
      </c>
      <c r="AA173" s="22">
        <v>4698038</v>
      </c>
      <c r="AB173" s="22"/>
      <c r="AC173" s="24">
        <v>5521052</v>
      </c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</row>
    <row r="174" spans="1:46" ht="45" customHeight="1">
      <c r="A174" s="12" t="s">
        <v>1715</v>
      </c>
      <c r="B174" s="13" t="s">
        <v>1716</v>
      </c>
      <c r="C174" s="14" t="s">
        <v>1717</v>
      </c>
      <c r="D174" s="15" t="s">
        <v>1718</v>
      </c>
      <c r="E174" s="15" t="s">
        <v>1719</v>
      </c>
      <c r="F174" s="15" t="s">
        <v>35</v>
      </c>
      <c r="G174" s="15" t="s">
        <v>380</v>
      </c>
      <c r="H174" s="15" t="s">
        <v>331</v>
      </c>
      <c r="I174" s="15" t="s">
        <v>53</v>
      </c>
      <c r="J174" s="15" t="s">
        <v>1720</v>
      </c>
      <c r="K174" s="15" t="s">
        <v>1721</v>
      </c>
      <c r="L174" s="15" t="s">
        <v>41</v>
      </c>
      <c r="M174" s="114" t="s">
        <v>1722</v>
      </c>
      <c r="N174" s="13">
        <v>2614241231</v>
      </c>
      <c r="O174" s="13"/>
      <c r="P174" s="15" t="s">
        <v>408</v>
      </c>
      <c r="Q174" s="17" t="s">
        <v>1723</v>
      </c>
      <c r="R174" s="18">
        <v>197</v>
      </c>
      <c r="S174" s="19">
        <f t="shared" si="5"/>
        <v>31914</v>
      </c>
      <c r="T174" s="12" t="s">
        <v>46</v>
      </c>
      <c r="U174" s="15"/>
      <c r="V174" s="19">
        <v>44610</v>
      </c>
      <c r="W174" s="49" t="s">
        <v>71</v>
      </c>
      <c r="X174" s="13">
        <v>1108311</v>
      </c>
      <c r="Y174" s="20">
        <v>3115114</v>
      </c>
      <c r="Z174" s="13">
        <v>3903811</v>
      </c>
      <c r="AA174" s="13">
        <v>4757801</v>
      </c>
      <c r="AB174" s="13"/>
      <c r="AC174" s="49">
        <v>5630087</v>
      </c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</row>
    <row r="175" spans="1:46" ht="45" customHeight="1">
      <c r="A175" s="21" t="s">
        <v>1724</v>
      </c>
      <c r="B175" s="22" t="s">
        <v>1725</v>
      </c>
      <c r="C175" s="23" t="s">
        <v>1726</v>
      </c>
      <c r="D175" s="24" t="s">
        <v>551</v>
      </c>
      <c r="E175" s="24" t="s">
        <v>1727</v>
      </c>
      <c r="F175" s="24" t="s">
        <v>111</v>
      </c>
      <c r="G175" s="24" t="s">
        <v>553</v>
      </c>
      <c r="H175" s="24"/>
      <c r="I175" s="24" t="s">
        <v>149</v>
      </c>
      <c r="J175" s="24" t="s">
        <v>1728</v>
      </c>
      <c r="K175" s="24"/>
      <c r="L175" s="24" t="s">
        <v>41</v>
      </c>
      <c r="M175" s="25" t="s">
        <v>554</v>
      </c>
      <c r="N175" s="22" t="s">
        <v>555</v>
      </c>
      <c r="O175" s="22"/>
      <c r="P175" s="24" t="s">
        <v>196</v>
      </c>
      <c r="Q175" s="28" t="s">
        <v>1729</v>
      </c>
      <c r="R175" s="29">
        <v>885</v>
      </c>
      <c r="S175" s="30">
        <f t="shared" si="5"/>
        <v>143370</v>
      </c>
      <c r="T175" s="21" t="s">
        <v>252</v>
      </c>
      <c r="U175" s="24"/>
      <c r="V175" s="30">
        <v>123900</v>
      </c>
      <c r="W175" s="24" t="s">
        <v>71</v>
      </c>
      <c r="X175" s="22"/>
      <c r="Y175" s="31"/>
      <c r="Z175" s="22"/>
      <c r="AA175" s="22">
        <v>4743686</v>
      </c>
      <c r="AB175" s="22"/>
      <c r="AC175" s="24">
        <v>5478625</v>
      </c>
      <c r="AD175" s="45">
        <v>6457867</v>
      </c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</row>
    <row r="176" spans="1:46" ht="45" customHeight="1">
      <c r="A176" s="12" t="s">
        <v>1730</v>
      </c>
      <c r="B176" s="13" t="s">
        <v>1731</v>
      </c>
      <c r="C176" s="14" t="s">
        <v>1732</v>
      </c>
      <c r="D176" s="15" t="s">
        <v>1733</v>
      </c>
      <c r="E176" s="15" t="s">
        <v>1734</v>
      </c>
      <c r="F176" s="15" t="s">
        <v>181</v>
      </c>
      <c r="G176" s="15" t="s">
        <v>1735</v>
      </c>
      <c r="H176" s="15" t="s">
        <v>1736</v>
      </c>
      <c r="I176" s="15" t="s">
        <v>149</v>
      </c>
      <c r="J176" s="15" t="s">
        <v>1735</v>
      </c>
      <c r="K176" s="15" t="s">
        <v>1736</v>
      </c>
      <c r="L176" s="15" t="s">
        <v>149</v>
      </c>
      <c r="M176" s="46" t="s">
        <v>788</v>
      </c>
      <c r="N176" s="13" t="s">
        <v>1737</v>
      </c>
      <c r="O176" s="13"/>
      <c r="P176" s="15" t="s">
        <v>94</v>
      </c>
      <c r="Q176" s="17" t="s">
        <v>1738</v>
      </c>
      <c r="R176" s="18">
        <v>42</v>
      </c>
      <c r="S176" s="19">
        <f t="shared" si="5"/>
        <v>6804</v>
      </c>
      <c r="T176" s="12" t="s">
        <v>46</v>
      </c>
      <c r="U176" s="15"/>
      <c r="V176" s="19">
        <v>44610</v>
      </c>
      <c r="W176" s="15" t="s">
        <v>71</v>
      </c>
      <c r="X176" s="13"/>
      <c r="Y176" s="20">
        <v>3113872</v>
      </c>
      <c r="Z176" s="13">
        <v>3835352</v>
      </c>
      <c r="AA176" s="13">
        <v>4749604</v>
      </c>
      <c r="AB176" s="13"/>
      <c r="AC176" s="15">
        <v>5565199</v>
      </c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</row>
    <row r="177" spans="1:46" ht="45" customHeight="1">
      <c r="A177" s="40" t="s">
        <v>1739</v>
      </c>
      <c r="B177" s="33" t="s">
        <v>1740</v>
      </c>
      <c r="C177" s="34" t="s">
        <v>1741</v>
      </c>
      <c r="D177" s="35" t="s">
        <v>1742</v>
      </c>
      <c r="E177" s="35" t="s">
        <v>1743</v>
      </c>
      <c r="F177" s="35" t="s">
        <v>542</v>
      </c>
      <c r="G177" s="35" t="s">
        <v>1744</v>
      </c>
      <c r="H177" s="35"/>
      <c r="I177" s="35" t="s">
        <v>1745</v>
      </c>
      <c r="J177" s="35" t="s">
        <v>1746</v>
      </c>
      <c r="K177" s="35"/>
      <c r="L177" s="35" t="s">
        <v>65</v>
      </c>
      <c r="M177" s="115" t="s">
        <v>1747</v>
      </c>
      <c r="N177" s="33">
        <v>4485721</v>
      </c>
      <c r="O177" s="33"/>
      <c r="P177" s="35" t="s">
        <v>151</v>
      </c>
      <c r="Q177" s="37" t="s">
        <v>1748</v>
      </c>
      <c r="R177" s="38">
        <v>12</v>
      </c>
      <c r="S177" s="39">
        <f t="shared" si="5"/>
        <v>1944</v>
      </c>
      <c r="T177" s="40" t="s">
        <v>46</v>
      </c>
      <c r="U177" s="35"/>
      <c r="V177" s="39">
        <v>44610</v>
      </c>
      <c r="W177" s="35"/>
      <c r="X177" s="33"/>
      <c r="Y177" s="41"/>
      <c r="Z177" s="33"/>
      <c r="AA177" s="33"/>
      <c r="AB177" s="33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</row>
    <row r="178" spans="1:46" ht="45" customHeight="1">
      <c r="A178" s="21" t="s">
        <v>1749</v>
      </c>
      <c r="B178" s="22" t="s">
        <v>1750</v>
      </c>
      <c r="C178" s="23" t="s">
        <v>1751</v>
      </c>
      <c r="D178" s="24" t="s">
        <v>1752</v>
      </c>
      <c r="E178" s="30" t="s">
        <v>1753</v>
      </c>
      <c r="F178" s="24" t="s">
        <v>158</v>
      </c>
      <c r="G178" s="24" t="s">
        <v>1754</v>
      </c>
      <c r="H178" s="30" t="s">
        <v>1755</v>
      </c>
      <c r="I178" s="24" t="s">
        <v>65</v>
      </c>
      <c r="J178" s="24" t="s">
        <v>1754</v>
      </c>
      <c r="K178" s="24" t="s">
        <v>1755</v>
      </c>
      <c r="L178" s="24" t="s">
        <v>65</v>
      </c>
      <c r="M178" s="25" t="s">
        <v>1756</v>
      </c>
      <c r="N178" s="22" t="s">
        <v>1757</v>
      </c>
      <c r="O178" s="26">
        <v>46461</v>
      </c>
      <c r="P178" s="24" t="s">
        <v>1758</v>
      </c>
      <c r="Q178" s="28" t="s">
        <v>1759</v>
      </c>
      <c r="R178" s="29">
        <v>27980</v>
      </c>
      <c r="S178" s="30">
        <f t="shared" si="5"/>
        <v>4532760</v>
      </c>
      <c r="T178" s="21" t="s">
        <v>70</v>
      </c>
      <c r="U178" s="24"/>
      <c r="V178" s="30">
        <f>+S178/2</f>
        <v>2266380</v>
      </c>
      <c r="W178" s="24" t="s">
        <v>71</v>
      </c>
      <c r="X178" s="22"/>
      <c r="Y178" s="31">
        <v>3081542</v>
      </c>
      <c r="Z178" s="22"/>
      <c r="AA178" s="22">
        <v>4629403</v>
      </c>
      <c r="AB178" s="22"/>
      <c r="AC178" s="24">
        <v>5527802</v>
      </c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</row>
    <row r="179" spans="1:46" ht="45" customHeight="1">
      <c r="A179" s="21" t="s">
        <v>1760</v>
      </c>
      <c r="B179" s="22" t="s">
        <v>1761</v>
      </c>
      <c r="C179" s="23" t="s">
        <v>1762</v>
      </c>
      <c r="D179" s="24" t="s">
        <v>1763</v>
      </c>
      <c r="E179" s="24" t="s">
        <v>1764</v>
      </c>
      <c r="F179" s="24" t="s">
        <v>62</v>
      </c>
      <c r="G179" s="24" t="s">
        <v>1765</v>
      </c>
      <c r="H179" s="24" t="s">
        <v>544</v>
      </c>
      <c r="I179" s="24" t="s">
        <v>38</v>
      </c>
      <c r="J179" s="24" t="s">
        <v>1765</v>
      </c>
      <c r="K179" s="24" t="s">
        <v>544</v>
      </c>
      <c r="L179" s="24" t="s">
        <v>38</v>
      </c>
      <c r="M179" s="70" t="s">
        <v>1766</v>
      </c>
      <c r="N179" s="22" t="s">
        <v>1767</v>
      </c>
      <c r="O179" s="22"/>
      <c r="P179" s="24" t="s">
        <v>117</v>
      </c>
      <c r="Q179" s="28" t="s">
        <v>1768</v>
      </c>
      <c r="R179" s="29">
        <v>6406.41</v>
      </c>
      <c r="S179" s="30">
        <f t="shared" si="5"/>
        <v>1037838.4199999999</v>
      </c>
      <c r="T179" s="21" t="s">
        <v>70</v>
      </c>
      <c r="U179" s="24"/>
      <c r="V179" s="30">
        <f>S179</f>
        <v>1037838.4199999999</v>
      </c>
      <c r="W179" s="24" t="s">
        <v>71</v>
      </c>
      <c r="X179" s="22">
        <v>1042668</v>
      </c>
      <c r="Y179" s="31">
        <v>3112824</v>
      </c>
      <c r="Z179" s="22">
        <v>3882125</v>
      </c>
      <c r="AA179" s="22">
        <v>4721201</v>
      </c>
      <c r="AB179" s="22"/>
      <c r="AC179" s="24">
        <v>5619621</v>
      </c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</row>
    <row r="180" spans="1:46" ht="45" customHeight="1">
      <c r="A180" s="21" t="s">
        <v>1769</v>
      </c>
      <c r="B180" s="22" t="s">
        <v>1770</v>
      </c>
      <c r="C180" s="23" t="s">
        <v>1771</v>
      </c>
      <c r="D180" s="24" t="s">
        <v>1772</v>
      </c>
      <c r="E180" s="24" t="s">
        <v>1773</v>
      </c>
      <c r="F180" s="24" t="s">
        <v>77</v>
      </c>
      <c r="G180" s="24" t="s">
        <v>1774</v>
      </c>
      <c r="H180" s="24" t="s">
        <v>1407</v>
      </c>
      <c r="I180" s="24" t="s">
        <v>80</v>
      </c>
      <c r="J180" s="24" t="s">
        <v>1774</v>
      </c>
      <c r="K180" s="24" t="s">
        <v>1407</v>
      </c>
      <c r="L180" s="24" t="s">
        <v>80</v>
      </c>
      <c r="M180" s="59" t="s">
        <v>1515</v>
      </c>
      <c r="N180" s="22" t="s">
        <v>1775</v>
      </c>
      <c r="O180" s="22"/>
      <c r="P180" s="24" t="s">
        <v>117</v>
      </c>
      <c r="Q180" s="28" t="s">
        <v>1776</v>
      </c>
      <c r="R180" s="29">
        <v>672</v>
      </c>
      <c r="S180" s="30">
        <f t="shared" si="5"/>
        <v>108864</v>
      </c>
      <c r="T180" s="21" t="s">
        <v>252</v>
      </c>
      <c r="U180" s="24"/>
      <c r="V180" s="30">
        <v>123900</v>
      </c>
      <c r="W180" s="24"/>
      <c r="X180" s="22"/>
      <c r="Y180" s="31"/>
      <c r="Z180" s="22">
        <v>3906917</v>
      </c>
      <c r="AA180" s="22"/>
      <c r="AB180" s="22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</row>
    <row r="181" spans="1:46" ht="45" customHeight="1">
      <c r="A181" s="12" t="s">
        <v>1777</v>
      </c>
      <c r="B181" s="13" t="s">
        <v>1778</v>
      </c>
      <c r="C181" s="14" t="s">
        <v>1779</v>
      </c>
      <c r="D181" s="15" t="s">
        <v>1780</v>
      </c>
      <c r="E181" s="15" t="s">
        <v>1781</v>
      </c>
      <c r="F181" s="15" t="s">
        <v>909</v>
      </c>
      <c r="G181" s="15" t="s">
        <v>1782</v>
      </c>
      <c r="H181" s="15" t="s">
        <v>447</v>
      </c>
      <c r="I181" s="15" t="s">
        <v>38</v>
      </c>
      <c r="J181" s="15" t="s">
        <v>1783</v>
      </c>
      <c r="K181" s="15" t="s">
        <v>447</v>
      </c>
      <c r="L181" s="15" t="s">
        <v>38</v>
      </c>
      <c r="M181" s="46" t="s">
        <v>1784</v>
      </c>
      <c r="N181" s="13" t="s">
        <v>1785</v>
      </c>
      <c r="O181" s="13"/>
      <c r="P181" s="15" t="s">
        <v>117</v>
      </c>
      <c r="Q181" s="17" t="s">
        <v>1786</v>
      </c>
      <c r="R181" s="18">
        <v>526</v>
      </c>
      <c r="S181" s="19">
        <f t="shared" si="5"/>
        <v>85212</v>
      </c>
      <c r="T181" s="12" t="s">
        <v>46</v>
      </c>
      <c r="U181" s="15"/>
      <c r="V181" s="19">
        <v>44610</v>
      </c>
      <c r="W181" s="15"/>
      <c r="X181" s="13"/>
      <c r="Y181" s="20"/>
      <c r="Z181" s="13"/>
      <c r="AA181" s="13">
        <v>4730840</v>
      </c>
      <c r="AB181" s="13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</row>
    <row r="182" spans="1:46" ht="45" customHeight="1">
      <c r="A182" s="12" t="s">
        <v>1787</v>
      </c>
      <c r="B182" s="13" t="s">
        <v>1788</v>
      </c>
      <c r="C182" s="14" t="s">
        <v>1789</v>
      </c>
      <c r="D182" s="15" t="s">
        <v>1790</v>
      </c>
      <c r="E182" s="15" t="s">
        <v>1791</v>
      </c>
      <c r="F182" s="15" t="s">
        <v>542</v>
      </c>
      <c r="G182" s="15" t="s">
        <v>1792</v>
      </c>
      <c r="H182" s="15" t="s">
        <v>52</v>
      </c>
      <c r="I182" s="15" t="s">
        <v>53</v>
      </c>
      <c r="J182" s="15" t="s">
        <v>1793</v>
      </c>
      <c r="K182" s="15"/>
      <c r="L182" s="15" t="s">
        <v>149</v>
      </c>
      <c r="M182" s="46" t="s">
        <v>1794</v>
      </c>
      <c r="N182" s="13">
        <v>4313432</v>
      </c>
      <c r="O182" s="73"/>
      <c r="P182" s="15" t="s">
        <v>44</v>
      </c>
      <c r="Q182" s="17" t="s">
        <v>1795</v>
      </c>
      <c r="R182" s="18">
        <v>264</v>
      </c>
      <c r="S182" s="19">
        <f t="shared" si="5"/>
        <v>42768</v>
      </c>
      <c r="T182" s="12" t="s">
        <v>46</v>
      </c>
      <c r="U182" s="15"/>
      <c r="V182" s="19">
        <v>44610</v>
      </c>
      <c r="W182" s="15" t="s">
        <v>47</v>
      </c>
      <c r="X182" s="13"/>
      <c r="Y182" s="20">
        <v>3082872</v>
      </c>
      <c r="Z182" s="13"/>
      <c r="AA182" s="13">
        <v>4745126</v>
      </c>
      <c r="AB182" s="13"/>
      <c r="AC182" s="15">
        <v>5607653</v>
      </c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</row>
    <row r="183" spans="1:46" ht="45" customHeight="1">
      <c r="A183" s="12" t="s">
        <v>1796</v>
      </c>
      <c r="B183" s="13" t="s">
        <v>1797</v>
      </c>
      <c r="C183" s="14" t="s">
        <v>1798</v>
      </c>
      <c r="D183" s="15" t="s">
        <v>1799</v>
      </c>
      <c r="E183" s="15" t="s">
        <v>1800</v>
      </c>
      <c r="F183" s="15" t="s">
        <v>204</v>
      </c>
      <c r="G183" s="15" t="s">
        <v>1801</v>
      </c>
      <c r="H183" s="15" t="s">
        <v>405</v>
      </c>
      <c r="I183" s="15" t="s">
        <v>115</v>
      </c>
      <c r="J183" s="15" t="s">
        <v>1801</v>
      </c>
      <c r="K183" s="15" t="s">
        <v>405</v>
      </c>
      <c r="L183" s="15" t="s">
        <v>115</v>
      </c>
      <c r="M183" s="16" t="s">
        <v>1802</v>
      </c>
      <c r="N183" s="13" t="s">
        <v>1803</v>
      </c>
      <c r="O183" s="13"/>
      <c r="P183" s="15" t="s">
        <v>94</v>
      </c>
      <c r="Q183" s="17" t="s">
        <v>1804</v>
      </c>
      <c r="R183" s="18">
        <v>68</v>
      </c>
      <c r="S183" s="19">
        <f t="shared" si="5"/>
        <v>11016</v>
      </c>
      <c r="T183" s="12" t="s">
        <v>46</v>
      </c>
      <c r="U183" s="15"/>
      <c r="V183" s="19">
        <v>44610</v>
      </c>
      <c r="W183" s="15"/>
      <c r="X183" s="13">
        <v>1135997</v>
      </c>
      <c r="Y183" s="20">
        <v>3113672</v>
      </c>
      <c r="Z183" s="13">
        <v>3897059</v>
      </c>
      <c r="AA183" s="13">
        <v>4755086</v>
      </c>
      <c r="AB183" s="13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</row>
    <row r="184" spans="1:46" ht="45" customHeight="1">
      <c r="A184" s="12" t="s">
        <v>1805</v>
      </c>
      <c r="B184" s="13" t="s">
        <v>1806</v>
      </c>
      <c r="C184" s="14" t="s">
        <v>1807</v>
      </c>
      <c r="D184" s="15" t="s">
        <v>1808</v>
      </c>
      <c r="E184" s="15" t="s">
        <v>1809</v>
      </c>
      <c r="F184" s="15" t="s">
        <v>181</v>
      </c>
      <c r="G184" s="15" t="s">
        <v>1810</v>
      </c>
      <c r="H184" s="15" t="s">
        <v>291</v>
      </c>
      <c r="I184" s="15" t="s">
        <v>115</v>
      </c>
      <c r="J184" s="15" t="s">
        <v>1811</v>
      </c>
      <c r="K184" s="15" t="s">
        <v>125</v>
      </c>
      <c r="L184" s="15" t="s">
        <v>115</v>
      </c>
      <c r="M184" s="46" t="s">
        <v>1812</v>
      </c>
      <c r="N184" s="13" t="s">
        <v>1813</v>
      </c>
      <c r="O184" s="13"/>
      <c r="P184" s="15" t="s">
        <v>44</v>
      </c>
      <c r="Q184" s="17" t="s">
        <v>1814</v>
      </c>
      <c r="R184" s="18">
        <v>17.37</v>
      </c>
      <c r="S184" s="19">
        <f t="shared" si="5"/>
        <v>2813.94</v>
      </c>
      <c r="T184" s="12" t="s">
        <v>46</v>
      </c>
      <c r="U184" s="15"/>
      <c r="V184" s="19">
        <v>44610</v>
      </c>
      <c r="W184" s="15" t="s">
        <v>71</v>
      </c>
      <c r="X184" s="13">
        <v>1032675</v>
      </c>
      <c r="Y184" s="20"/>
      <c r="Z184" s="13">
        <v>3840535</v>
      </c>
      <c r="AA184" s="13">
        <v>4735087</v>
      </c>
      <c r="AB184" s="13"/>
      <c r="AC184" s="15">
        <v>5608148</v>
      </c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</row>
    <row r="185" spans="1:46" ht="45" customHeight="1">
      <c r="A185" s="12" t="s">
        <v>1815</v>
      </c>
      <c r="B185" s="13" t="s">
        <v>1816</v>
      </c>
      <c r="C185" s="14" t="s">
        <v>1817</v>
      </c>
      <c r="D185" s="15" t="s">
        <v>1808</v>
      </c>
      <c r="E185" s="15" t="s">
        <v>1809</v>
      </c>
      <c r="F185" s="15" t="s">
        <v>181</v>
      </c>
      <c r="G185" s="15" t="s">
        <v>1810</v>
      </c>
      <c r="H185" s="15" t="s">
        <v>291</v>
      </c>
      <c r="I185" s="15" t="s">
        <v>115</v>
      </c>
      <c r="J185" s="15" t="s">
        <v>1818</v>
      </c>
      <c r="K185" s="15" t="s">
        <v>291</v>
      </c>
      <c r="L185" s="15" t="s">
        <v>115</v>
      </c>
      <c r="M185" s="16" t="s">
        <v>1812</v>
      </c>
      <c r="N185" s="13" t="s">
        <v>1813</v>
      </c>
      <c r="O185" s="13"/>
      <c r="P185" s="15" t="s">
        <v>44</v>
      </c>
      <c r="Q185" s="17" t="s">
        <v>1819</v>
      </c>
      <c r="R185" s="18">
        <v>49.99</v>
      </c>
      <c r="S185" s="19">
        <f t="shared" si="5"/>
        <v>8098.38</v>
      </c>
      <c r="T185" s="12" t="s">
        <v>46</v>
      </c>
      <c r="U185" s="15"/>
      <c r="V185" s="19">
        <v>44610</v>
      </c>
      <c r="W185" s="15" t="s">
        <v>71</v>
      </c>
      <c r="X185" s="13">
        <v>1033621</v>
      </c>
      <c r="Y185" s="20"/>
      <c r="Z185" s="13">
        <v>3840434</v>
      </c>
      <c r="AA185" s="13">
        <v>4735054</v>
      </c>
      <c r="AB185" s="13"/>
      <c r="AC185" s="15">
        <v>5604721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</row>
    <row r="186" spans="1:46" ht="45" customHeight="1">
      <c r="A186" s="12" t="s">
        <v>1820</v>
      </c>
      <c r="B186" s="13" t="s">
        <v>1821</v>
      </c>
      <c r="C186" s="66" t="s">
        <v>1822</v>
      </c>
      <c r="D186" s="15" t="s">
        <v>1823</v>
      </c>
      <c r="E186" s="15" t="s">
        <v>1824</v>
      </c>
      <c r="F186" s="15" t="s">
        <v>181</v>
      </c>
      <c r="G186" s="15" t="s">
        <v>1825</v>
      </c>
      <c r="H186" s="15"/>
      <c r="I186" s="15" t="s">
        <v>65</v>
      </c>
      <c r="J186" s="15" t="s">
        <v>1825</v>
      </c>
      <c r="K186" s="15"/>
      <c r="L186" s="15" t="s">
        <v>65</v>
      </c>
      <c r="M186" s="46" t="s">
        <v>1826</v>
      </c>
      <c r="N186" s="13">
        <v>4379347</v>
      </c>
      <c r="O186" s="13"/>
      <c r="P186" s="15" t="s">
        <v>94</v>
      </c>
      <c r="Q186" s="17" t="s">
        <v>1827</v>
      </c>
      <c r="R186" s="18">
        <v>209</v>
      </c>
      <c r="S186" s="19">
        <f t="shared" si="5"/>
        <v>33858</v>
      </c>
      <c r="T186" s="12" t="s">
        <v>46</v>
      </c>
      <c r="U186" s="15"/>
      <c r="V186" s="19">
        <v>44610</v>
      </c>
      <c r="W186" s="15"/>
      <c r="X186" s="13"/>
      <c r="Y186" s="20"/>
      <c r="Z186" s="13"/>
      <c r="AA186" s="13"/>
      <c r="AB186" s="13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</row>
    <row r="187" spans="1:46" ht="45" customHeight="1">
      <c r="A187" s="21" t="s">
        <v>1828</v>
      </c>
      <c r="B187" s="22" t="s">
        <v>1829</v>
      </c>
      <c r="C187" s="23" t="s">
        <v>1830</v>
      </c>
      <c r="D187" s="24" t="s">
        <v>1831</v>
      </c>
      <c r="E187" s="24" t="s">
        <v>1832</v>
      </c>
      <c r="F187" s="24" t="s">
        <v>776</v>
      </c>
      <c r="G187" s="24" t="s">
        <v>1833</v>
      </c>
      <c r="H187" s="24" t="s">
        <v>617</v>
      </c>
      <c r="I187" s="24" t="s">
        <v>38</v>
      </c>
      <c r="J187" s="24" t="s">
        <v>1833</v>
      </c>
      <c r="K187" s="24" t="s">
        <v>617</v>
      </c>
      <c r="L187" s="24" t="s">
        <v>38</v>
      </c>
      <c r="M187" s="59" t="s">
        <v>1834</v>
      </c>
      <c r="N187" s="22">
        <v>2614172538</v>
      </c>
      <c r="O187" s="26"/>
      <c r="P187" s="24" t="s">
        <v>1835</v>
      </c>
      <c r="Q187" s="28" t="s">
        <v>1836</v>
      </c>
      <c r="R187" s="29">
        <v>4612</v>
      </c>
      <c r="S187" s="30">
        <f t="shared" si="5"/>
        <v>747144</v>
      </c>
      <c r="T187" s="21" t="s">
        <v>105</v>
      </c>
      <c r="U187" s="24"/>
      <c r="V187" s="30">
        <v>736320</v>
      </c>
      <c r="W187" s="24" t="s">
        <v>71</v>
      </c>
      <c r="X187" s="22"/>
      <c r="Y187" s="31"/>
      <c r="Z187" s="22"/>
      <c r="AA187" s="22">
        <v>4714211</v>
      </c>
      <c r="AB187" s="22"/>
      <c r="AC187" s="24">
        <v>5590384</v>
      </c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</row>
    <row r="188" spans="1:46" ht="45" customHeight="1">
      <c r="A188" s="12" t="s">
        <v>1837</v>
      </c>
      <c r="B188" s="13" t="s">
        <v>1838</v>
      </c>
      <c r="C188" s="14" t="s">
        <v>1839</v>
      </c>
      <c r="D188" s="15" t="s">
        <v>1840</v>
      </c>
      <c r="E188" s="15" t="s">
        <v>1363</v>
      </c>
      <c r="F188" s="15" t="s">
        <v>111</v>
      </c>
      <c r="G188" s="15" t="s">
        <v>1841</v>
      </c>
      <c r="H188" s="15" t="s">
        <v>1407</v>
      </c>
      <c r="I188" s="15" t="s">
        <v>80</v>
      </c>
      <c r="J188" s="15" t="s">
        <v>1841</v>
      </c>
      <c r="K188" s="15" t="s">
        <v>1407</v>
      </c>
      <c r="L188" s="15" t="s">
        <v>80</v>
      </c>
      <c r="M188" s="67" t="s">
        <v>1842</v>
      </c>
      <c r="N188" s="13" t="s">
        <v>1843</v>
      </c>
      <c r="O188" s="13"/>
      <c r="P188" s="15" t="s">
        <v>94</v>
      </c>
      <c r="Q188" s="17" t="s">
        <v>1844</v>
      </c>
      <c r="R188" s="18">
        <v>243.13</v>
      </c>
      <c r="S188" s="19">
        <f t="shared" si="5"/>
        <v>39387.06</v>
      </c>
      <c r="T188" s="12" t="s">
        <v>46</v>
      </c>
      <c r="U188" s="15"/>
      <c r="V188" s="19">
        <v>44610</v>
      </c>
      <c r="W188" s="49" t="s">
        <v>71</v>
      </c>
      <c r="X188" s="13">
        <v>1138062</v>
      </c>
      <c r="Y188" s="20">
        <v>3114943</v>
      </c>
      <c r="Z188" s="13">
        <v>3887503</v>
      </c>
      <c r="AA188" s="13">
        <v>4749417</v>
      </c>
      <c r="AB188" s="13"/>
      <c r="AC188" s="49">
        <v>5628262</v>
      </c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</row>
    <row r="189" spans="1:46" ht="45" customHeight="1">
      <c r="A189" s="12" t="s">
        <v>1845</v>
      </c>
      <c r="B189" s="13" t="s">
        <v>1846</v>
      </c>
      <c r="C189" s="14" t="s">
        <v>1847</v>
      </c>
      <c r="D189" s="15" t="s">
        <v>1848</v>
      </c>
      <c r="E189" s="15" t="s">
        <v>1849</v>
      </c>
      <c r="F189" s="15" t="s">
        <v>181</v>
      </c>
      <c r="G189" s="15" t="s">
        <v>1850</v>
      </c>
      <c r="H189" s="15" t="s">
        <v>291</v>
      </c>
      <c r="I189" s="15" t="s">
        <v>115</v>
      </c>
      <c r="J189" s="15" t="s">
        <v>1850</v>
      </c>
      <c r="K189" s="15" t="s">
        <v>291</v>
      </c>
      <c r="L189" s="15" t="s">
        <v>115</v>
      </c>
      <c r="M189" s="46" t="s">
        <v>1851</v>
      </c>
      <c r="N189" s="13" t="s">
        <v>1852</v>
      </c>
      <c r="O189" s="13"/>
      <c r="P189" s="15" t="s">
        <v>44</v>
      </c>
      <c r="Q189" s="17" t="s">
        <v>1853</v>
      </c>
      <c r="R189" s="18">
        <v>23</v>
      </c>
      <c r="S189" s="19">
        <f t="shared" si="5"/>
        <v>3726</v>
      </c>
      <c r="T189" s="12" t="s">
        <v>46</v>
      </c>
      <c r="U189" s="15"/>
      <c r="V189" s="19">
        <v>44610</v>
      </c>
      <c r="W189" s="15" t="s">
        <v>71</v>
      </c>
      <c r="X189" s="13"/>
      <c r="Y189" s="20"/>
      <c r="Z189" s="13"/>
      <c r="AA189" s="13"/>
      <c r="AB189" s="13">
        <v>4857138</v>
      </c>
      <c r="AC189" s="15">
        <v>5499504</v>
      </c>
      <c r="AD189" s="49">
        <v>6472518</v>
      </c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</row>
    <row r="190" spans="1:46" ht="45" customHeight="1">
      <c r="A190" s="12" t="s">
        <v>1854</v>
      </c>
      <c r="B190" s="13" t="s">
        <v>1855</v>
      </c>
      <c r="C190" s="14" t="s">
        <v>1856</v>
      </c>
      <c r="D190" s="15" t="s">
        <v>1857</v>
      </c>
      <c r="E190" s="15" t="s">
        <v>1858</v>
      </c>
      <c r="F190" s="15" t="s">
        <v>402</v>
      </c>
      <c r="G190" s="15" t="s">
        <v>1859</v>
      </c>
      <c r="H190" s="15" t="s">
        <v>79</v>
      </c>
      <c r="I190" s="15" t="s">
        <v>80</v>
      </c>
      <c r="J190" s="15" t="s">
        <v>1860</v>
      </c>
      <c r="K190" s="15" t="s">
        <v>79</v>
      </c>
      <c r="L190" s="15" t="s">
        <v>80</v>
      </c>
      <c r="M190" s="16" t="s">
        <v>1861</v>
      </c>
      <c r="N190" s="13">
        <v>2615634227</v>
      </c>
      <c r="O190" s="13"/>
      <c r="P190" s="15" t="s">
        <v>94</v>
      </c>
      <c r="Q190" s="17" t="s">
        <v>1862</v>
      </c>
      <c r="R190" s="18">
        <v>339</v>
      </c>
      <c r="S190" s="19">
        <f t="shared" si="5"/>
        <v>54918</v>
      </c>
      <c r="T190" s="12" t="s">
        <v>46</v>
      </c>
      <c r="U190" s="15"/>
      <c r="V190" s="19">
        <v>44610</v>
      </c>
      <c r="W190" s="15"/>
      <c r="X190" s="13"/>
      <c r="Y190" s="20"/>
      <c r="Z190" s="13">
        <v>3893214</v>
      </c>
      <c r="AA190" s="13">
        <v>4906071</v>
      </c>
      <c r="AB190" s="13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</row>
    <row r="191" spans="1:46" ht="45" customHeight="1">
      <c r="A191" s="12" t="s">
        <v>1863</v>
      </c>
      <c r="B191" s="13" t="s">
        <v>1864</v>
      </c>
      <c r="C191" s="14" t="s">
        <v>1865</v>
      </c>
      <c r="D191" s="15" t="s">
        <v>1586</v>
      </c>
      <c r="E191" s="15" t="s">
        <v>1866</v>
      </c>
      <c r="F191" s="15" t="s">
        <v>62</v>
      </c>
      <c r="G191" s="15" t="s">
        <v>1588</v>
      </c>
      <c r="H191" s="15"/>
      <c r="I191" s="15" t="s">
        <v>149</v>
      </c>
      <c r="J191" s="15" t="s">
        <v>1867</v>
      </c>
      <c r="K191" s="15" t="s">
        <v>660</v>
      </c>
      <c r="L191" s="15" t="s">
        <v>38</v>
      </c>
      <c r="M191" s="46" t="s">
        <v>1868</v>
      </c>
      <c r="N191" s="13" t="s">
        <v>1869</v>
      </c>
      <c r="O191" s="13"/>
      <c r="P191" s="15" t="s">
        <v>1870</v>
      </c>
      <c r="Q191" s="17" t="s">
        <v>1871</v>
      </c>
      <c r="R191" s="18">
        <v>254</v>
      </c>
      <c r="S191" s="19">
        <f t="shared" si="5"/>
        <v>41148</v>
      </c>
      <c r="T191" s="12" t="s">
        <v>46</v>
      </c>
      <c r="U191" s="15"/>
      <c r="V191" s="19">
        <v>44610</v>
      </c>
      <c r="W191" s="49" t="s">
        <v>71</v>
      </c>
      <c r="X191" s="13">
        <v>1136960</v>
      </c>
      <c r="Y191" s="20">
        <v>3109778</v>
      </c>
      <c r="Z191" s="13">
        <v>3896847</v>
      </c>
      <c r="AA191" s="13"/>
      <c r="AB191" s="13"/>
      <c r="AC191" s="49">
        <v>56231207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</row>
    <row r="192" spans="1:46" ht="45" customHeight="1">
      <c r="A192" s="12" t="s">
        <v>1872</v>
      </c>
      <c r="B192" s="13" t="s">
        <v>1873</v>
      </c>
      <c r="C192" s="14" t="s">
        <v>1874</v>
      </c>
      <c r="D192" s="15" t="s">
        <v>1875</v>
      </c>
      <c r="E192" s="15" t="s">
        <v>1876</v>
      </c>
      <c r="F192" s="15" t="s">
        <v>111</v>
      </c>
      <c r="G192" s="15" t="s">
        <v>1877</v>
      </c>
      <c r="H192" s="15" t="s">
        <v>1878</v>
      </c>
      <c r="I192" s="15" t="s">
        <v>80</v>
      </c>
      <c r="J192" s="15" t="s">
        <v>1877</v>
      </c>
      <c r="K192" s="15" t="s">
        <v>1878</v>
      </c>
      <c r="L192" s="15" t="s">
        <v>80</v>
      </c>
      <c r="M192" s="46" t="s">
        <v>1879</v>
      </c>
      <c r="N192" s="13">
        <v>2614533587</v>
      </c>
      <c r="O192" s="13"/>
      <c r="P192" s="15" t="s">
        <v>94</v>
      </c>
      <c r="Q192" s="17" t="s">
        <v>1880</v>
      </c>
      <c r="R192" s="18">
        <v>130</v>
      </c>
      <c r="S192" s="19">
        <f t="shared" si="5"/>
        <v>21060</v>
      </c>
      <c r="T192" s="12" t="s">
        <v>46</v>
      </c>
      <c r="U192" s="15"/>
      <c r="V192" s="19">
        <v>44610</v>
      </c>
      <c r="W192" s="15" t="s">
        <v>71</v>
      </c>
      <c r="X192" s="13">
        <v>1042597</v>
      </c>
      <c r="Y192" s="20"/>
      <c r="Z192" s="13">
        <v>3821924</v>
      </c>
      <c r="AA192" s="13">
        <v>4734870</v>
      </c>
      <c r="AB192" s="13"/>
      <c r="AC192" s="15">
        <v>5585155</v>
      </c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</row>
    <row r="193" spans="1:46" ht="45" customHeight="1">
      <c r="A193" s="50" t="s">
        <v>1881</v>
      </c>
      <c r="B193" s="51" t="s">
        <v>1882</v>
      </c>
      <c r="C193" s="52" t="s">
        <v>1883</v>
      </c>
      <c r="D193" s="53" t="s">
        <v>1884</v>
      </c>
      <c r="E193" s="53" t="s">
        <v>1885</v>
      </c>
      <c r="F193" s="53" t="s">
        <v>181</v>
      </c>
      <c r="G193" s="53" t="s">
        <v>1886</v>
      </c>
      <c r="H193" s="53"/>
      <c r="I193" s="53" t="s">
        <v>149</v>
      </c>
      <c r="J193" s="53" t="s">
        <v>1886</v>
      </c>
      <c r="K193" s="53"/>
      <c r="L193" s="53" t="s">
        <v>149</v>
      </c>
      <c r="M193" s="54" t="s">
        <v>1887</v>
      </c>
      <c r="N193" s="51">
        <v>4246656</v>
      </c>
      <c r="O193" s="51"/>
      <c r="P193" s="53" t="s">
        <v>94</v>
      </c>
      <c r="Q193" s="55" t="s">
        <v>1888</v>
      </c>
      <c r="R193" s="56">
        <v>112</v>
      </c>
      <c r="S193" s="57">
        <f t="shared" si="5"/>
        <v>18144</v>
      </c>
      <c r="T193" s="50" t="s">
        <v>46</v>
      </c>
      <c r="U193" s="53"/>
      <c r="V193" s="57">
        <v>44610</v>
      </c>
      <c r="W193" s="53"/>
      <c r="X193" s="51"/>
      <c r="Y193" s="58"/>
      <c r="Z193" s="51"/>
      <c r="AA193" s="51"/>
      <c r="AB193" s="51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</row>
    <row r="194" spans="1:46" ht="38.25" customHeight="1">
      <c r="A194" s="21" t="s">
        <v>1889</v>
      </c>
      <c r="B194" s="22" t="s">
        <v>1890</v>
      </c>
      <c r="C194" s="23" t="s">
        <v>1891</v>
      </c>
      <c r="D194" s="24" t="s">
        <v>1892</v>
      </c>
      <c r="E194" s="24" t="s">
        <v>1893</v>
      </c>
      <c r="F194" s="24" t="s">
        <v>402</v>
      </c>
      <c r="G194" s="24" t="s">
        <v>1894</v>
      </c>
      <c r="H194" s="24" t="s">
        <v>1262</v>
      </c>
      <c r="I194" s="24" t="s">
        <v>115</v>
      </c>
      <c r="J194" s="24" t="s">
        <v>1895</v>
      </c>
      <c r="K194" s="24" t="s">
        <v>1165</v>
      </c>
      <c r="L194" s="24" t="s">
        <v>321</v>
      </c>
      <c r="M194" s="63" t="s">
        <v>1896</v>
      </c>
      <c r="N194" s="22" t="s">
        <v>1897</v>
      </c>
      <c r="O194" s="22"/>
      <c r="P194" s="24" t="s">
        <v>117</v>
      </c>
      <c r="Q194" s="28" t="s">
        <v>1898</v>
      </c>
      <c r="R194" s="29">
        <v>931</v>
      </c>
      <c r="S194" s="30">
        <f t="shared" si="5"/>
        <v>150822</v>
      </c>
      <c r="T194" s="21" t="s">
        <v>252</v>
      </c>
      <c r="U194" s="24"/>
      <c r="V194" s="30">
        <v>123900</v>
      </c>
      <c r="W194" s="24"/>
      <c r="X194" s="22">
        <v>1107175</v>
      </c>
      <c r="Y194" s="31">
        <v>3084476</v>
      </c>
      <c r="Z194" s="22">
        <v>3864893</v>
      </c>
      <c r="AA194" s="22">
        <v>4643123</v>
      </c>
      <c r="AB194" s="22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</row>
    <row r="195" spans="1:46" ht="45" customHeight="1">
      <c r="A195" s="12" t="s">
        <v>1899</v>
      </c>
      <c r="B195" s="13" t="s">
        <v>1900</v>
      </c>
      <c r="C195" s="14" t="s">
        <v>1901</v>
      </c>
      <c r="D195" s="15" t="s">
        <v>1902</v>
      </c>
      <c r="E195" s="15" t="s">
        <v>1903</v>
      </c>
      <c r="F195" s="15" t="s">
        <v>287</v>
      </c>
      <c r="G195" s="15" t="s">
        <v>1904</v>
      </c>
      <c r="H195" s="15" t="s">
        <v>331</v>
      </c>
      <c r="I195" s="15" t="s">
        <v>38</v>
      </c>
      <c r="J195" s="15" t="s">
        <v>1904</v>
      </c>
      <c r="K195" s="15" t="s">
        <v>331</v>
      </c>
      <c r="L195" s="15" t="s">
        <v>38</v>
      </c>
      <c r="M195" s="46" t="s">
        <v>1905</v>
      </c>
      <c r="N195" s="13" t="s">
        <v>1906</v>
      </c>
      <c r="O195" s="13"/>
      <c r="P195" s="15" t="s">
        <v>1907</v>
      </c>
      <c r="Q195" s="17" t="s">
        <v>1908</v>
      </c>
      <c r="R195" s="18">
        <v>21</v>
      </c>
      <c r="S195" s="19">
        <f t="shared" si="5"/>
        <v>3402</v>
      </c>
      <c r="T195" s="12" t="s">
        <v>46</v>
      </c>
      <c r="U195" s="15"/>
      <c r="V195" s="19">
        <v>44610</v>
      </c>
      <c r="W195" s="15" t="s">
        <v>47</v>
      </c>
      <c r="X195" s="13"/>
      <c r="Y195" s="20"/>
      <c r="Z195" s="13"/>
      <c r="AA195" s="13"/>
      <c r="AB195" s="13">
        <v>4836753</v>
      </c>
      <c r="AC195" s="15">
        <v>5562893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</row>
    <row r="196" spans="1:46" ht="45" customHeight="1">
      <c r="A196" s="12" t="s">
        <v>1909</v>
      </c>
      <c r="B196" s="13" t="s">
        <v>1910</v>
      </c>
      <c r="C196" s="14" t="s">
        <v>1911</v>
      </c>
      <c r="D196" s="15" t="s">
        <v>1912</v>
      </c>
      <c r="E196" s="15" t="s">
        <v>1913</v>
      </c>
      <c r="F196" s="15" t="s">
        <v>181</v>
      </c>
      <c r="G196" s="15" t="s">
        <v>1914</v>
      </c>
      <c r="H196" s="15" t="s">
        <v>52</v>
      </c>
      <c r="I196" s="15" t="s">
        <v>53</v>
      </c>
      <c r="J196" s="15" t="s">
        <v>1914</v>
      </c>
      <c r="K196" s="15"/>
      <c r="L196" s="15" t="s">
        <v>206</v>
      </c>
      <c r="M196" s="46" t="s">
        <v>1915</v>
      </c>
      <c r="N196" s="13" t="s">
        <v>1916</v>
      </c>
      <c r="O196" s="13"/>
      <c r="P196" s="15" t="s">
        <v>117</v>
      </c>
      <c r="Q196" s="17" t="s">
        <v>1917</v>
      </c>
      <c r="R196" s="18">
        <v>110</v>
      </c>
      <c r="S196" s="19">
        <f t="shared" si="5"/>
        <v>17820</v>
      </c>
      <c r="T196" s="12" t="s">
        <v>46</v>
      </c>
      <c r="U196" s="15"/>
      <c r="V196" s="19">
        <v>44610</v>
      </c>
      <c r="W196" s="15" t="s">
        <v>71</v>
      </c>
      <c r="X196" s="13">
        <v>1010170</v>
      </c>
      <c r="Y196" s="20">
        <v>3088188</v>
      </c>
      <c r="Z196" s="13">
        <v>3873491</v>
      </c>
      <c r="AA196" s="13">
        <v>4743000</v>
      </c>
      <c r="AB196" s="13"/>
      <c r="AC196" s="15">
        <v>5601595</v>
      </c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</row>
    <row r="197" spans="1:46" ht="36" customHeight="1">
      <c r="A197" s="21" t="s">
        <v>1918</v>
      </c>
      <c r="B197" s="22" t="s">
        <v>1919</v>
      </c>
      <c r="C197" s="23" t="s">
        <v>1920</v>
      </c>
      <c r="D197" s="24" t="s">
        <v>1921</v>
      </c>
      <c r="E197" s="24" t="s">
        <v>1922</v>
      </c>
      <c r="F197" s="24" t="s">
        <v>158</v>
      </c>
      <c r="G197" s="24" t="s">
        <v>1923</v>
      </c>
      <c r="H197" s="24" t="s">
        <v>1924</v>
      </c>
      <c r="I197" s="24" t="s">
        <v>1279</v>
      </c>
      <c r="J197" s="24" t="s">
        <v>1925</v>
      </c>
      <c r="K197" s="24" t="s">
        <v>1926</v>
      </c>
      <c r="L197" s="24" t="s">
        <v>1927</v>
      </c>
      <c r="M197" s="25" t="s">
        <v>1928</v>
      </c>
      <c r="N197" s="22">
        <v>2622465353</v>
      </c>
      <c r="O197" s="22"/>
      <c r="P197" s="24" t="s">
        <v>685</v>
      </c>
      <c r="Q197" s="28" t="s">
        <v>1929</v>
      </c>
      <c r="R197" s="29">
        <v>5366</v>
      </c>
      <c r="S197" s="30">
        <f t="shared" si="5"/>
        <v>869292</v>
      </c>
      <c r="T197" s="21" t="s">
        <v>105</v>
      </c>
      <c r="U197" s="24"/>
      <c r="V197" s="30">
        <v>736320</v>
      </c>
      <c r="W197" s="24" t="s">
        <v>71</v>
      </c>
      <c r="X197" s="22"/>
      <c r="Y197" s="31"/>
      <c r="Z197" s="22">
        <v>3821940</v>
      </c>
      <c r="AA197" s="22">
        <v>4741153</v>
      </c>
      <c r="AB197" s="22"/>
      <c r="AC197" s="24">
        <v>5618608</v>
      </c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</row>
    <row r="198" spans="1:46" ht="45" customHeight="1">
      <c r="A198" s="21" t="s">
        <v>1930</v>
      </c>
      <c r="B198" s="22" t="s">
        <v>1931</v>
      </c>
      <c r="C198" s="23" t="s">
        <v>1932</v>
      </c>
      <c r="D198" s="24" t="s">
        <v>1921</v>
      </c>
      <c r="E198" s="24" t="s">
        <v>1933</v>
      </c>
      <c r="F198" s="24" t="s">
        <v>158</v>
      </c>
      <c r="G198" s="24" t="s">
        <v>1923</v>
      </c>
      <c r="H198" s="24" t="s">
        <v>1924</v>
      </c>
      <c r="I198" s="24" t="s">
        <v>1279</v>
      </c>
      <c r="J198" s="24" t="s">
        <v>1923</v>
      </c>
      <c r="K198" s="24" t="s">
        <v>1924</v>
      </c>
      <c r="L198" s="24" t="s">
        <v>1279</v>
      </c>
      <c r="M198" s="25" t="s">
        <v>1934</v>
      </c>
      <c r="N198" s="22">
        <v>2622465353</v>
      </c>
      <c r="O198" s="22"/>
      <c r="P198" s="24" t="s">
        <v>685</v>
      </c>
      <c r="Q198" s="28" t="s">
        <v>1935</v>
      </c>
      <c r="R198" s="29">
        <v>6420</v>
      </c>
      <c r="S198" s="30">
        <f t="shared" si="5"/>
        <v>1040040</v>
      </c>
      <c r="T198" s="21" t="s">
        <v>70</v>
      </c>
      <c r="U198" s="24"/>
      <c r="V198" s="30">
        <f>S198</f>
        <v>1040040</v>
      </c>
      <c r="W198" s="24" t="s">
        <v>71</v>
      </c>
      <c r="X198" s="22"/>
      <c r="Y198" s="31"/>
      <c r="Z198" s="22">
        <v>3822071</v>
      </c>
      <c r="AA198" s="22">
        <v>4741155</v>
      </c>
      <c r="AB198" s="22"/>
      <c r="AC198" s="111">
        <v>5618952</v>
      </c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</row>
    <row r="199" spans="1:46" ht="45" customHeight="1">
      <c r="A199" s="40" t="s">
        <v>1936</v>
      </c>
      <c r="B199" s="33" t="s">
        <v>1937</v>
      </c>
      <c r="C199" s="90" t="s">
        <v>1938</v>
      </c>
      <c r="D199" s="35" t="s">
        <v>1939</v>
      </c>
      <c r="E199" s="35" t="s">
        <v>1940</v>
      </c>
      <c r="F199" s="35" t="s">
        <v>147</v>
      </c>
      <c r="G199" s="35" t="s">
        <v>1941</v>
      </c>
      <c r="H199" s="35" t="s">
        <v>52</v>
      </c>
      <c r="I199" s="35" t="s">
        <v>53</v>
      </c>
      <c r="J199" s="35" t="s">
        <v>1941</v>
      </c>
      <c r="K199" s="35"/>
      <c r="L199" s="35" t="s">
        <v>206</v>
      </c>
      <c r="M199" s="36" t="s">
        <v>1942</v>
      </c>
      <c r="N199" s="33">
        <v>4204832</v>
      </c>
      <c r="O199" s="33"/>
      <c r="P199" s="35" t="s">
        <v>1943</v>
      </c>
      <c r="Q199" s="37" t="s">
        <v>1944</v>
      </c>
      <c r="R199" s="38">
        <v>12</v>
      </c>
      <c r="S199" s="39">
        <f t="shared" si="5"/>
        <v>1944</v>
      </c>
      <c r="T199" s="40" t="s">
        <v>46</v>
      </c>
      <c r="U199" s="35"/>
      <c r="V199" s="39">
        <v>44610</v>
      </c>
      <c r="W199" s="35"/>
      <c r="X199" s="33"/>
      <c r="Y199" s="41"/>
      <c r="Z199" s="33"/>
      <c r="AA199" s="33"/>
      <c r="AB199" s="33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</row>
    <row r="200" spans="1:46" ht="45" customHeight="1">
      <c r="A200" s="12" t="s">
        <v>1945</v>
      </c>
      <c r="B200" s="13" t="s">
        <v>1946</v>
      </c>
      <c r="C200" s="14" t="s">
        <v>1947</v>
      </c>
      <c r="D200" s="15" t="s">
        <v>1948</v>
      </c>
      <c r="E200" s="15" t="s">
        <v>1949</v>
      </c>
      <c r="F200" s="15" t="s">
        <v>111</v>
      </c>
      <c r="G200" s="15" t="s">
        <v>1950</v>
      </c>
      <c r="H200" s="15"/>
      <c r="I200" s="15" t="s">
        <v>149</v>
      </c>
      <c r="J200" s="15" t="s">
        <v>1950</v>
      </c>
      <c r="K200" s="15"/>
      <c r="L200" s="15" t="s">
        <v>149</v>
      </c>
      <c r="M200" s="46" t="s">
        <v>1951</v>
      </c>
      <c r="N200" s="13" t="s">
        <v>1952</v>
      </c>
      <c r="O200" s="13"/>
      <c r="P200" s="15" t="s">
        <v>94</v>
      </c>
      <c r="Q200" s="17" t="s">
        <v>1953</v>
      </c>
      <c r="R200" s="18">
        <v>283</v>
      </c>
      <c r="S200" s="19">
        <f t="shared" si="5"/>
        <v>45846</v>
      </c>
      <c r="T200" s="12" t="s">
        <v>46</v>
      </c>
      <c r="U200" s="15"/>
      <c r="V200" s="19">
        <v>44610</v>
      </c>
      <c r="W200" s="15" t="s">
        <v>71</v>
      </c>
      <c r="X200" s="13"/>
      <c r="Y200" s="20">
        <v>3120785</v>
      </c>
      <c r="Z200" s="13">
        <v>3903870</v>
      </c>
      <c r="AA200" s="13">
        <v>4753647</v>
      </c>
      <c r="AB200" s="13"/>
      <c r="AC200" s="15">
        <v>5612734</v>
      </c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</row>
    <row r="201" spans="1:46" ht="45" customHeight="1">
      <c r="A201" s="21" t="s">
        <v>1954</v>
      </c>
      <c r="B201" s="22" t="s">
        <v>1955</v>
      </c>
      <c r="C201" s="23" t="s">
        <v>1956</v>
      </c>
      <c r="D201" s="24" t="s">
        <v>1957</v>
      </c>
      <c r="E201" s="24" t="s">
        <v>1958</v>
      </c>
      <c r="F201" s="24" t="s">
        <v>776</v>
      </c>
      <c r="G201" s="24" t="s">
        <v>1959</v>
      </c>
      <c r="H201" s="24" t="s">
        <v>1960</v>
      </c>
      <c r="I201" s="24" t="s">
        <v>38</v>
      </c>
      <c r="J201" s="24" t="s">
        <v>1959</v>
      </c>
      <c r="K201" s="24" t="s">
        <v>1960</v>
      </c>
      <c r="L201" s="24" t="s">
        <v>38</v>
      </c>
      <c r="M201" s="76" t="s">
        <v>1961</v>
      </c>
      <c r="N201" s="22" t="s">
        <v>1962</v>
      </c>
      <c r="O201" s="71">
        <v>46556</v>
      </c>
      <c r="P201" s="24" t="s">
        <v>1466</v>
      </c>
      <c r="Q201" s="28" t="s">
        <v>1963</v>
      </c>
      <c r="R201" s="29">
        <v>11164</v>
      </c>
      <c r="S201" s="30">
        <f t="shared" si="5"/>
        <v>1808568</v>
      </c>
      <c r="T201" s="21" t="s">
        <v>70</v>
      </c>
      <c r="U201" s="24"/>
      <c r="V201" s="44">
        <v>904284</v>
      </c>
      <c r="W201" s="45" t="s">
        <v>71</v>
      </c>
      <c r="X201" s="22"/>
      <c r="Y201" s="31"/>
      <c r="Z201" s="22">
        <v>3908270</v>
      </c>
      <c r="AA201" s="22">
        <v>4753713</v>
      </c>
      <c r="AB201" s="22"/>
      <c r="AC201" s="45">
        <v>5625698</v>
      </c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</row>
    <row r="202" spans="1:46" ht="45" customHeight="1">
      <c r="A202" s="21" t="s">
        <v>1964</v>
      </c>
      <c r="B202" s="22" t="s">
        <v>1965</v>
      </c>
      <c r="C202" s="23" t="s">
        <v>1966</v>
      </c>
      <c r="D202" s="24" t="s">
        <v>1967</v>
      </c>
      <c r="E202" s="24" t="s">
        <v>1968</v>
      </c>
      <c r="F202" s="24" t="s">
        <v>111</v>
      </c>
      <c r="G202" s="24" t="s">
        <v>1969</v>
      </c>
      <c r="H202" s="24" t="s">
        <v>544</v>
      </c>
      <c r="I202" s="24" t="s">
        <v>38</v>
      </c>
      <c r="J202" s="24" t="s">
        <v>1969</v>
      </c>
      <c r="K202" s="24" t="s">
        <v>544</v>
      </c>
      <c r="L202" s="24" t="s">
        <v>38</v>
      </c>
      <c r="M202" s="25" t="s">
        <v>1970</v>
      </c>
      <c r="N202" s="22" t="s">
        <v>1971</v>
      </c>
      <c r="O202" s="22"/>
      <c r="P202" s="24" t="s">
        <v>117</v>
      </c>
      <c r="Q202" s="28" t="s">
        <v>1972</v>
      </c>
      <c r="R202" s="29">
        <v>926</v>
      </c>
      <c r="S202" s="30">
        <f t="shared" si="5"/>
        <v>150012</v>
      </c>
      <c r="T202" s="21" t="s">
        <v>252</v>
      </c>
      <c r="U202" s="24"/>
      <c r="V202" s="30">
        <v>123900</v>
      </c>
      <c r="W202" s="24" t="s">
        <v>71</v>
      </c>
      <c r="X202" s="22">
        <v>1034412</v>
      </c>
      <c r="Y202" s="31"/>
      <c r="Z202" s="22">
        <v>3894620</v>
      </c>
      <c r="AA202" s="22">
        <v>4749410</v>
      </c>
      <c r="AB202" s="22"/>
      <c r="AC202" s="24">
        <v>5612324</v>
      </c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</row>
    <row r="203" spans="1:46" ht="45" customHeight="1">
      <c r="A203" s="12" t="s">
        <v>1973</v>
      </c>
      <c r="B203" s="13" t="s">
        <v>1974</v>
      </c>
      <c r="C203" s="14" t="s">
        <v>1975</v>
      </c>
      <c r="D203" s="15" t="s">
        <v>1976</v>
      </c>
      <c r="E203" s="19" t="s">
        <v>1977</v>
      </c>
      <c r="F203" s="15" t="s">
        <v>77</v>
      </c>
      <c r="G203" s="15" t="s">
        <v>1978</v>
      </c>
      <c r="H203" s="15" t="s">
        <v>1212</v>
      </c>
      <c r="I203" s="15" t="s">
        <v>80</v>
      </c>
      <c r="J203" s="15" t="s">
        <v>1978</v>
      </c>
      <c r="K203" s="15" t="s">
        <v>1212</v>
      </c>
      <c r="L203" s="15" t="s">
        <v>80</v>
      </c>
      <c r="M203" s="46" t="s">
        <v>1979</v>
      </c>
      <c r="N203" s="13" t="s">
        <v>1980</v>
      </c>
      <c r="O203" s="13"/>
      <c r="P203" s="15" t="s">
        <v>117</v>
      </c>
      <c r="Q203" s="17" t="s">
        <v>1981</v>
      </c>
      <c r="R203" s="18">
        <v>148</v>
      </c>
      <c r="S203" s="19">
        <f t="shared" si="5"/>
        <v>23976</v>
      </c>
      <c r="T203" s="12" t="s">
        <v>46</v>
      </c>
      <c r="U203" s="15"/>
      <c r="V203" s="19">
        <v>44610</v>
      </c>
      <c r="W203" s="15" t="s">
        <v>47</v>
      </c>
      <c r="X203" s="13">
        <v>994266</v>
      </c>
      <c r="Y203" s="20"/>
      <c r="Z203" s="13">
        <v>3790955</v>
      </c>
      <c r="AA203" s="13">
        <v>4679358</v>
      </c>
      <c r="AB203" s="13"/>
      <c r="AC203" s="15">
        <v>5518315</v>
      </c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</row>
    <row r="204" spans="1:46" ht="45" customHeight="1">
      <c r="A204" s="12" t="s">
        <v>1982</v>
      </c>
      <c r="B204" s="13" t="s">
        <v>1983</v>
      </c>
      <c r="C204" s="14" t="s">
        <v>1984</v>
      </c>
      <c r="D204" s="15" t="s">
        <v>1985</v>
      </c>
      <c r="E204" s="15" t="s">
        <v>1986</v>
      </c>
      <c r="F204" s="15" t="s">
        <v>62</v>
      </c>
      <c r="G204" s="15" t="s">
        <v>1987</v>
      </c>
      <c r="H204" s="15"/>
      <c r="I204" s="15" t="s">
        <v>149</v>
      </c>
      <c r="J204" s="15" t="s">
        <v>1988</v>
      </c>
      <c r="K204" s="15"/>
      <c r="L204" s="15" t="s">
        <v>65</v>
      </c>
      <c r="M204" s="16" t="s">
        <v>1989</v>
      </c>
      <c r="N204" s="13" t="s">
        <v>1990</v>
      </c>
      <c r="O204" s="13"/>
      <c r="P204" s="15" t="s">
        <v>1991</v>
      </c>
      <c r="Q204" s="17" t="s">
        <v>1992</v>
      </c>
      <c r="R204" s="18">
        <v>405</v>
      </c>
      <c r="S204" s="19">
        <f t="shared" si="5"/>
        <v>65610</v>
      </c>
      <c r="T204" s="12" t="s">
        <v>46</v>
      </c>
      <c r="U204" s="15"/>
      <c r="V204" s="19">
        <v>44610</v>
      </c>
      <c r="W204" s="15" t="s">
        <v>71</v>
      </c>
      <c r="X204" s="13">
        <v>1036240</v>
      </c>
      <c r="Y204" s="20">
        <v>3109553</v>
      </c>
      <c r="Z204" s="13">
        <v>3899641</v>
      </c>
      <c r="AA204" s="13">
        <v>4741103</v>
      </c>
      <c r="AB204" s="13"/>
      <c r="AC204" s="15">
        <v>5606337</v>
      </c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</row>
    <row r="205" spans="1:46" ht="45" customHeight="1">
      <c r="A205" s="21" t="s">
        <v>1993</v>
      </c>
      <c r="B205" s="22" t="s">
        <v>1994</v>
      </c>
      <c r="C205" s="23" t="s">
        <v>1995</v>
      </c>
      <c r="D205" s="24" t="s">
        <v>1996</v>
      </c>
      <c r="E205" s="24" t="s">
        <v>1997</v>
      </c>
      <c r="F205" s="24" t="s">
        <v>111</v>
      </c>
      <c r="G205" s="24" t="s">
        <v>1998</v>
      </c>
      <c r="H205" s="24" t="s">
        <v>52</v>
      </c>
      <c r="I205" s="24" t="s">
        <v>53</v>
      </c>
      <c r="J205" s="24" t="s">
        <v>1998</v>
      </c>
      <c r="K205" s="24"/>
      <c r="L205" s="24" t="s">
        <v>206</v>
      </c>
      <c r="M205" s="59" t="s">
        <v>1999</v>
      </c>
      <c r="N205" s="22" t="s">
        <v>2000</v>
      </c>
      <c r="O205" s="22"/>
      <c r="P205" s="24" t="s">
        <v>1381</v>
      </c>
      <c r="Q205" s="28" t="s">
        <v>2001</v>
      </c>
      <c r="R205" s="29">
        <v>838</v>
      </c>
      <c r="S205" s="30">
        <f t="shared" si="5"/>
        <v>135756</v>
      </c>
      <c r="T205" s="21" t="s">
        <v>252</v>
      </c>
      <c r="U205" s="24"/>
      <c r="V205" s="30">
        <v>123900</v>
      </c>
      <c r="W205" s="45" t="s">
        <v>47</v>
      </c>
      <c r="X205" s="22"/>
      <c r="Y205" s="31"/>
      <c r="Z205" s="22">
        <v>3903502</v>
      </c>
      <c r="AA205" s="22"/>
      <c r="AB205" s="22"/>
      <c r="AC205" s="45">
        <v>5633135</v>
      </c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</row>
    <row r="206" spans="1:46" ht="45" customHeight="1">
      <c r="A206" s="12" t="s">
        <v>2002</v>
      </c>
      <c r="B206" s="13" t="s">
        <v>2003</v>
      </c>
      <c r="C206" s="14" t="s">
        <v>2004</v>
      </c>
      <c r="D206" s="15" t="s">
        <v>2005</v>
      </c>
      <c r="E206" s="15" t="s">
        <v>2006</v>
      </c>
      <c r="F206" s="15" t="s">
        <v>402</v>
      </c>
      <c r="G206" s="15" t="s">
        <v>2007</v>
      </c>
      <c r="H206" s="15" t="s">
        <v>52</v>
      </c>
      <c r="I206" s="15" t="s">
        <v>53</v>
      </c>
      <c r="J206" s="15" t="s">
        <v>2007</v>
      </c>
      <c r="K206" s="15"/>
      <c r="L206" s="15" t="s">
        <v>206</v>
      </c>
      <c r="M206" s="16" t="s">
        <v>2008</v>
      </c>
      <c r="N206" s="13" t="s">
        <v>2009</v>
      </c>
      <c r="O206" s="13"/>
      <c r="P206" s="15" t="s">
        <v>94</v>
      </c>
      <c r="Q206" s="17" t="s">
        <v>2010</v>
      </c>
      <c r="R206" s="18">
        <v>156.923</v>
      </c>
      <c r="S206" s="19">
        <f t="shared" si="5"/>
        <v>25421.526000000002</v>
      </c>
      <c r="T206" s="12" t="s">
        <v>46</v>
      </c>
      <c r="U206" s="15"/>
      <c r="V206" s="19">
        <v>44610</v>
      </c>
      <c r="W206" s="15"/>
      <c r="X206" s="13"/>
      <c r="Y206" s="20">
        <v>3107221</v>
      </c>
      <c r="Z206" s="13"/>
      <c r="AA206" s="13"/>
      <c r="AB206" s="13">
        <v>4879830</v>
      </c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</row>
    <row r="207" spans="1:46" ht="45" customHeight="1">
      <c r="A207" s="21" t="s">
        <v>2011</v>
      </c>
      <c r="B207" s="22" t="s">
        <v>2012</v>
      </c>
      <c r="C207" s="23" t="s">
        <v>2013</v>
      </c>
      <c r="D207" s="24" t="s">
        <v>2014</v>
      </c>
      <c r="E207" s="24" t="s">
        <v>2015</v>
      </c>
      <c r="F207" s="24" t="s">
        <v>542</v>
      </c>
      <c r="G207" s="24" t="s">
        <v>2016</v>
      </c>
      <c r="H207" s="24" t="s">
        <v>1571</v>
      </c>
      <c r="I207" s="24" t="s">
        <v>38</v>
      </c>
      <c r="J207" s="24" t="s">
        <v>2016</v>
      </c>
      <c r="K207" s="24" t="s">
        <v>1571</v>
      </c>
      <c r="L207" s="24" t="s">
        <v>38</v>
      </c>
      <c r="M207" s="59" t="s">
        <v>2017</v>
      </c>
      <c r="N207" s="22" t="s">
        <v>2018</v>
      </c>
      <c r="O207" s="26">
        <v>45866</v>
      </c>
      <c r="P207" s="24" t="s">
        <v>117</v>
      </c>
      <c r="Q207" s="28" t="s">
        <v>2019</v>
      </c>
      <c r="R207" s="29">
        <v>2496</v>
      </c>
      <c r="S207" s="30">
        <f t="shared" si="5"/>
        <v>404352</v>
      </c>
      <c r="T207" s="21" t="s">
        <v>96</v>
      </c>
      <c r="U207" s="24"/>
      <c r="V207" s="44">
        <v>184080</v>
      </c>
      <c r="W207" s="24" t="s">
        <v>71</v>
      </c>
      <c r="X207" s="22">
        <v>1034795</v>
      </c>
      <c r="Y207" s="31">
        <v>3057744</v>
      </c>
      <c r="Z207" s="22">
        <v>3843044</v>
      </c>
      <c r="AA207" s="22">
        <v>4722017</v>
      </c>
      <c r="AB207" s="22"/>
      <c r="AC207" s="24">
        <v>5581745</v>
      </c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</row>
    <row r="208" spans="1:46" ht="45" customHeight="1">
      <c r="A208" s="40" t="s">
        <v>2020</v>
      </c>
      <c r="B208" s="33" t="s">
        <v>2021</v>
      </c>
      <c r="C208" s="90" t="s">
        <v>2022</v>
      </c>
      <c r="D208" s="35" t="s">
        <v>2023</v>
      </c>
      <c r="E208" s="35" t="s">
        <v>2024</v>
      </c>
      <c r="F208" s="35" t="s">
        <v>147</v>
      </c>
      <c r="G208" s="35" t="s">
        <v>2025</v>
      </c>
      <c r="H208" s="35" t="s">
        <v>671</v>
      </c>
      <c r="I208" s="35" t="s">
        <v>149</v>
      </c>
      <c r="J208" s="35" t="s">
        <v>2026</v>
      </c>
      <c r="K208" s="35"/>
      <c r="L208" s="35" t="s">
        <v>206</v>
      </c>
      <c r="M208" s="36" t="s">
        <v>2027</v>
      </c>
      <c r="N208" s="33">
        <v>4231721</v>
      </c>
      <c r="O208" s="33"/>
      <c r="P208" s="35" t="s">
        <v>151</v>
      </c>
      <c r="Q208" s="37" t="s">
        <v>2028</v>
      </c>
      <c r="R208" s="38">
        <v>20</v>
      </c>
      <c r="S208" s="39">
        <f t="shared" si="5"/>
        <v>3240</v>
      </c>
      <c r="T208" s="40" t="s">
        <v>46</v>
      </c>
      <c r="U208" s="35"/>
      <c r="V208" s="39">
        <v>44610</v>
      </c>
      <c r="W208" s="35"/>
      <c r="X208" s="33"/>
      <c r="Y208" s="41"/>
      <c r="Z208" s="33"/>
      <c r="AA208" s="33"/>
      <c r="AB208" s="33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</row>
    <row r="209" spans="1:46" ht="45" customHeight="1">
      <c r="A209" s="12" t="s">
        <v>2029</v>
      </c>
      <c r="B209" s="13" t="s">
        <v>2030</v>
      </c>
      <c r="C209" s="14" t="s">
        <v>2031</v>
      </c>
      <c r="D209" s="15" t="s">
        <v>2032</v>
      </c>
      <c r="E209" s="15" t="s">
        <v>1097</v>
      </c>
      <c r="F209" s="15" t="s">
        <v>402</v>
      </c>
      <c r="G209" s="15" t="s">
        <v>2033</v>
      </c>
      <c r="H209" s="15" t="s">
        <v>930</v>
      </c>
      <c r="I209" s="15" t="s">
        <v>115</v>
      </c>
      <c r="J209" s="15" t="s">
        <v>2033</v>
      </c>
      <c r="K209" s="15" t="s">
        <v>930</v>
      </c>
      <c r="L209" s="15" t="s">
        <v>115</v>
      </c>
      <c r="M209" s="16" t="s">
        <v>2034</v>
      </c>
      <c r="N209" s="13" t="s">
        <v>2035</v>
      </c>
      <c r="O209" s="13"/>
      <c r="P209" s="15" t="s">
        <v>94</v>
      </c>
      <c r="Q209" s="17" t="s">
        <v>2036</v>
      </c>
      <c r="R209" s="18">
        <v>434</v>
      </c>
      <c r="S209" s="19">
        <f t="shared" si="5"/>
        <v>70308</v>
      </c>
      <c r="T209" s="12" t="s">
        <v>46</v>
      </c>
      <c r="U209" s="15"/>
      <c r="V209" s="19">
        <v>44610</v>
      </c>
      <c r="W209" s="15" t="s">
        <v>71</v>
      </c>
      <c r="X209" s="13"/>
      <c r="Y209" s="20"/>
      <c r="Z209" s="13"/>
      <c r="AA209" s="13"/>
      <c r="AB209" s="13">
        <v>4843549</v>
      </c>
      <c r="AC209" s="15">
        <v>5596968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</row>
    <row r="210" spans="1:46" ht="45" customHeight="1">
      <c r="A210" s="12" t="s">
        <v>2037</v>
      </c>
      <c r="B210" s="13" t="s">
        <v>2038</v>
      </c>
      <c r="C210" s="14" t="s">
        <v>2039</v>
      </c>
      <c r="D210" s="15" t="s">
        <v>2040</v>
      </c>
      <c r="E210" s="15" t="s">
        <v>2041</v>
      </c>
      <c r="F210" s="15" t="s">
        <v>204</v>
      </c>
      <c r="G210" s="15" t="s">
        <v>2042</v>
      </c>
      <c r="H210" s="15" t="s">
        <v>2043</v>
      </c>
      <c r="I210" s="15" t="s">
        <v>149</v>
      </c>
      <c r="J210" s="15" t="s">
        <v>2042</v>
      </c>
      <c r="K210" s="15" t="s">
        <v>2043</v>
      </c>
      <c r="L210" s="15" t="s">
        <v>149</v>
      </c>
      <c r="M210" s="46" t="s">
        <v>2044</v>
      </c>
      <c r="N210" s="13" t="s">
        <v>2045</v>
      </c>
      <c r="O210" s="13"/>
      <c r="P210" s="15" t="s">
        <v>94</v>
      </c>
      <c r="Q210" s="17" t="s">
        <v>2046</v>
      </c>
      <c r="R210" s="18">
        <v>104</v>
      </c>
      <c r="S210" s="19">
        <f t="shared" si="5"/>
        <v>16848</v>
      </c>
      <c r="T210" s="12" t="s">
        <v>46</v>
      </c>
      <c r="U210" s="15"/>
      <c r="V210" s="19">
        <v>44610</v>
      </c>
      <c r="W210" s="15"/>
      <c r="X210" s="13"/>
      <c r="Y210" s="20"/>
      <c r="Z210" s="13"/>
      <c r="AA210" s="13"/>
      <c r="AB210" s="13">
        <v>4896733</v>
      </c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</row>
    <row r="211" spans="1:46" ht="45" customHeight="1">
      <c r="A211" s="21" t="s">
        <v>2047</v>
      </c>
      <c r="B211" s="22" t="s">
        <v>2048</v>
      </c>
      <c r="C211" s="23" t="s">
        <v>2049</v>
      </c>
      <c r="D211" s="24" t="s">
        <v>2050</v>
      </c>
      <c r="E211" s="24" t="s">
        <v>2051</v>
      </c>
      <c r="F211" s="24" t="s">
        <v>2052</v>
      </c>
      <c r="G211" s="24" t="s">
        <v>2053</v>
      </c>
      <c r="H211" s="24"/>
      <c r="I211" s="24" t="s">
        <v>38</v>
      </c>
      <c r="J211" s="24" t="s">
        <v>2054</v>
      </c>
      <c r="K211" s="24"/>
      <c r="L211" s="24" t="s">
        <v>38</v>
      </c>
      <c r="M211" s="59" t="s">
        <v>2055</v>
      </c>
      <c r="N211" s="22" t="s">
        <v>2056</v>
      </c>
      <c r="O211" s="26">
        <v>46147</v>
      </c>
      <c r="P211" s="24" t="s">
        <v>1870</v>
      </c>
      <c r="Q211" s="28" t="s">
        <v>2057</v>
      </c>
      <c r="R211" s="29">
        <v>622</v>
      </c>
      <c r="S211" s="30">
        <f t="shared" si="5"/>
        <v>100764</v>
      </c>
      <c r="T211" s="21" t="s">
        <v>252</v>
      </c>
      <c r="U211" s="24"/>
      <c r="V211" s="30">
        <v>123900</v>
      </c>
      <c r="W211" s="24" t="s">
        <v>71</v>
      </c>
      <c r="X211" s="22">
        <v>1044279</v>
      </c>
      <c r="Y211" s="31">
        <v>3106456</v>
      </c>
      <c r="Z211" s="22">
        <v>3892832</v>
      </c>
      <c r="AA211" s="22">
        <v>4738208</v>
      </c>
      <c r="AB211" s="22"/>
      <c r="AC211" s="24">
        <v>5612465</v>
      </c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</row>
    <row r="212" spans="1:46" ht="45" customHeight="1">
      <c r="A212" s="12" t="s">
        <v>2058</v>
      </c>
      <c r="B212" s="13" t="s">
        <v>2059</v>
      </c>
      <c r="C212" s="14" t="s">
        <v>2060</v>
      </c>
      <c r="D212" s="15" t="s">
        <v>2061</v>
      </c>
      <c r="E212" s="15" t="s">
        <v>2062</v>
      </c>
      <c r="F212" s="15" t="s">
        <v>204</v>
      </c>
      <c r="G212" s="15" t="s">
        <v>2063</v>
      </c>
      <c r="H212" s="15" t="s">
        <v>52</v>
      </c>
      <c r="I212" s="15" t="s">
        <v>53</v>
      </c>
      <c r="J212" s="15" t="s">
        <v>2063</v>
      </c>
      <c r="K212" s="15"/>
      <c r="L212" s="15" t="s">
        <v>206</v>
      </c>
      <c r="M212" s="46" t="s">
        <v>2064</v>
      </c>
      <c r="N212" s="13">
        <v>2615172481</v>
      </c>
      <c r="O212" s="13"/>
      <c r="P212" s="15" t="s">
        <v>151</v>
      </c>
      <c r="Q212" s="17" t="s">
        <v>2065</v>
      </c>
      <c r="R212" s="18">
        <v>80</v>
      </c>
      <c r="S212" s="19">
        <f t="shared" si="5"/>
        <v>12960</v>
      </c>
      <c r="T212" s="12" t="s">
        <v>46</v>
      </c>
      <c r="U212" s="15"/>
      <c r="V212" s="19">
        <v>44610</v>
      </c>
      <c r="W212" s="15" t="s">
        <v>71</v>
      </c>
      <c r="X212" s="13"/>
      <c r="Y212" s="20">
        <v>3116178</v>
      </c>
      <c r="Z212" s="13">
        <v>3899572</v>
      </c>
      <c r="AA212" s="13">
        <v>4747258</v>
      </c>
      <c r="AB212" s="13"/>
      <c r="AC212" s="15">
        <v>5618007</v>
      </c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</row>
    <row r="213" spans="1:46" ht="45" customHeight="1">
      <c r="A213" s="21" t="s">
        <v>2066</v>
      </c>
      <c r="B213" s="22" t="s">
        <v>2067</v>
      </c>
      <c r="C213" s="23" t="s">
        <v>2068</v>
      </c>
      <c r="D213" s="24" t="s">
        <v>1957</v>
      </c>
      <c r="E213" s="24" t="s">
        <v>1958</v>
      </c>
      <c r="F213" s="24" t="s">
        <v>776</v>
      </c>
      <c r="G213" s="24" t="s">
        <v>2069</v>
      </c>
      <c r="H213" s="24" t="s">
        <v>1960</v>
      </c>
      <c r="I213" s="24" t="s">
        <v>38</v>
      </c>
      <c r="J213" s="24" t="s">
        <v>2070</v>
      </c>
      <c r="K213" s="24" t="s">
        <v>921</v>
      </c>
      <c r="L213" s="24" t="s">
        <v>38</v>
      </c>
      <c r="M213" s="59" t="s">
        <v>1961</v>
      </c>
      <c r="N213" s="22" t="s">
        <v>2071</v>
      </c>
      <c r="O213" s="71">
        <v>46556</v>
      </c>
      <c r="P213" s="24" t="s">
        <v>1466</v>
      </c>
      <c r="Q213" s="28" t="s">
        <v>2072</v>
      </c>
      <c r="R213" s="29">
        <v>2622</v>
      </c>
      <c r="S213" s="30">
        <f t="shared" si="5"/>
        <v>424764</v>
      </c>
      <c r="T213" s="21" t="s">
        <v>96</v>
      </c>
      <c r="U213" s="24"/>
      <c r="V213" s="44">
        <v>184080</v>
      </c>
      <c r="W213" s="45" t="s">
        <v>71</v>
      </c>
      <c r="X213" s="22"/>
      <c r="Y213" s="31"/>
      <c r="Z213" s="22">
        <v>3908286</v>
      </c>
      <c r="AA213" s="22">
        <v>4757593</v>
      </c>
      <c r="AB213" s="22"/>
      <c r="AC213" s="45">
        <v>5627974</v>
      </c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</row>
    <row r="214" spans="1:46" ht="45" customHeight="1">
      <c r="A214" s="12" t="s">
        <v>2073</v>
      </c>
      <c r="B214" s="13" t="s">
        <v>2074</v>
      </c>
      <c r="C214" s="14" t="s">
        <v>2075</v>
      </c>
      <c r="D214" s="15" t="s">
        <v>2076</v>
      </c>
      <c r="E214" s="15" t="s">
        <v>2077</v>
      </c>
      <c r="F214" s="15" t="s">
        <v>542</v>
      </c>
      <c r="G214" s="15" t="s">
        <v>2078</v>
      </c>
      <c r="H214" s="15"/>
      <c r="I214" s="15" t="s">
        <v>38</v>
      </c>
      <c r="J214" s="15" t="s">
        <v>2078</v>
      </c>
      <c r="K214" s="15"/>
      <c r="L214" s="15" t="s">
        <v>38</v>
      </c>
      <c r="M214" s="114" t="s">
        <v>2079</v>
      </c>
      <c r="N214" s="116" t="s">
        <v>2080</v>
      </c>
      <c r="O214" s="13"/>
      <c r="P214" s="15" t="s">
        <v>117</v>
      </c>
      <c r="Q214" s="17" t="s">
        <v>2081</v>
      </c>
      <c r="R214" s="18">
        <v>300</v>
      </c>
      <c r="S214" s="19">
        <f t="shared" si="5"/>
        <v>48600</v>
      </c>
      <c r="T214" s="12" t="s">
        <v>46</v>
      </c>
      <c r="U214" s="15"/>
      <c r="V214" s="19">
        <v>44610</v>
      </c>
      <c r="W214" s="49" t="s">
        <v>71</v>
      </c>
      <c r="X214" s="13"/>
      <c r="Y214" s="20">
        <v>3073854</v>
      </c>
      <c r="Z214" s="13">
        <v>3897137</v>
      </c>
      <c r="AA214" s="13"/>
      <c r="AB214" s="13">
        <v>4840510</v>
      </c>
      <c r="AC214" s="49">
        <v>5626577</v>
      </c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</row>
    <row r="215" spans="1:46" ht="45" customHeight="1">
      <c r="A215" s="50" t="s">
        <v>2082</v>
      </c>
      <c r="B215" s="51" t="s">
        <v>2083</v>
      </c>
      <c r="C215" s="52" t="s">
        <v>2084</v>
      </c>
      <c r="D215" s="53" t="s">
        <v>2085</v>
      </c>
      <c r="E215" s="53" t="s">
        <v>2086</v>
      </c>
      <c r="F215" s="53" t="s">
        <v>111</v>
      </c>
      <c r="G215" s="53" t="s">
        <v>2087</v>
      </c>
      <c r="H215" s="53" t="s">
        <v>52</v>
      </c>
      <c r="I215" s="53" t="s">
        <v>53</v>
      </c>
      <c r="J215" s="53" t="s">
        <v>2087</v>
      </c>
      <c r="K215" s="53" t="s">
        <v>2088</v>
      </c>
      <c r="L215" s="53" t="s">
        <v>206</v>
      </c>
      <c r="M215" s="68"/>
      <c r="N215" s="51">
        <v>4371006</v>
      </c>
      <c r="O215" s="51"/>
      <c r="P215" s="53" t="s">
        <v>44</v>
      </c>
      <c r="Q215" s="55" t="s">
        <v>2089</v>
      </c>
      <c r="R215" s="56">
        <v>12</v>
      </c>
      <c r="S215" s="57">
        <f t="shared" si="5"/>
        <v>1944</v>
      </c>
      <c r="T215" s="50" t="s">
        <v>46</v>
      </c>
      <c r="U215" s="53"/>
      <c r="V215" s="57">
        <v>44610</v>
      </c>
      <c r="W215" s="53"/>
      <c r="X215" s="51"/>
      <c r="Y215" s="58"/>
      <c r="Z215" s="51"/>
      <c r="AA215" s="51"/>
      <c r="AB215" s="51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</row>
    <row r="216" spans="1:46" ht="45" customHeight="1">
      <c r="A216" s="50" t="s">
        <v>2090</v>
      </c>
      <c r="B216" s="51" t="s">
        <v>2091</v>
      </c>
      <c r="C216" s="52" t="s">
        <v>2092</v>
      </c>
      <c r="D216" s="53" t="s">
        <v>2093</v>
      </c>
      <c r="E216" s="53" t="s">
        <v>2094</v>
      </c>
      <c r="F216" s="53" t="s">
        <v>181</v>
      </c>
      <c r="G216" s="53" t="s">
        <v>2095</v>
      </c>
      <c r="H216" s="53" t="s">
        <v>114</v>
      </c>
      <c r="I216" s="53" t="s">
        <v>115</v>
      </c>
      <c r="J216" s="53" t="s">
        <v>2095</v>
      </c>
      <c r="K216" s="53" t="s">
        <v>114</v>
      </c>
      <c r="L216" s="53" t="s">
        <v>115</v>
      </c>
      <c r="M216" s="68"/>
      <c r="N216" s="51">
        <v>4325635</v>
      </c>
      <c r="O216" s="51"/>
      <c r="P216" s="53" t="s">
        <v>94</v>
      </c>
      <c r="Q216" s="55" t="s">
        <v>2096</v>
      </c>
      <c r="R216" s="56">
        <v>31</v>
      </c>
      <c r="S216" s="57">
        <f t="shared" si="5"/>
        <v>5022</v>
      </c>
      <c r="T216" s="50" t="s">
        <v>46</v>
      </c>
      <c r="U216" s="53"/>
      <c r="V216" s="57">
        <v>44610</v>
      </c>
      <c r="W216" s="53"/>
      <c r="X216" s="51"/>
      <c r="Y216" s="58"/>
      <c r="Z216" s="51"/>
      <c r="AA216" s="51"/>
      <c r="AB216" s="51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</row>
    <row r="217" spans="1:46" ht="45" customHeight="1">
      <c r="A217" s="40" t="s">
        <v>2097</v>
      </c>
      <c r="B217" s="33" t="s">
        <v>2098</v>
      </c>
      <c r="C217" s="90" t="s">
        <v>2099</v>
      </c>
      <c r="D217" s="35" t="s">
        <v>2100</v>
      </c>
      <c r="E217" s="35" t="s">
        <v>2101</v>
      </c>
      <c r="F217" s="35" t="s">
        <v>111</v>
      </c>
      <c r="G217" s="35" t="s">
        <v>2102</v>
      </c>
      <c r="H217" s="35"/>
      <c r="I217" s="35" t="s">
        <v>65</v>
      </c>
      <c r="J217" s="35" t="s">
        <v>2102</v>
      </c>
      <c r="K217" s="35"/>
      <c r="L217" s="35" t="s">
        <v>65</v>
      </c>
      <c r="M217" s="36" t="s">
        <v>2103</v>
      </c>
      <c r="N217" s="33" t="s">
        <v>2104</v>
      </c>
      <c r="O217" s="33"/>
      <c r="P217" s="35" t="s">
        <v>151</v>
      </c>
      <c r="Q217" s="37" t="s">
        <v>2105</v>
      </c>
      <c r="R217" s="38">
        <v>20</v>
      </c>
      <c r="S217" s="39">
        <f t="shared" si="5"/>
        <v>3240</v>
      </c>
      <c r="T217" s="40" t="s">
        <v>46</v>
      </c>
      <c r="U217" s="35"/>
      <c r="V217" s="39">
        <v>44610</v>
      </c>
      <c r="W217" s="35"/>
      <c r="X217" s="33"/>
      <c r="Y217" s="41"/>
      <c r="Z217" s="33"/>
      <c r="AA217" s="33"/>
      <c r="AB217" s="33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</row>
    <row r="218" spans="1:46" ht="45" customHeight="1">
      <c r="A218" s="21" t="s">
        <v>2106</v>
      </c>
      <c r="B218" s="22" t="s">
        <v>2107</v>
      </c>
      <c r="C218" s="23" t="s">
        <v>2108</v>
      </c>
      <c r="D218" s="24" t="s">
        <v>1957</v>
      </c>
      <c r="E218" s="24" t="s">
        <v>2109</v>
      </c>
      <c r="F218" s="24" t="s">
        <v>776</v>
      </c>
      <c r="G218" s="24" t="s">
        <v>2110</v>
      </c>
      <c r="H218" s="24" t="s">
        <v>880</v>
      </c>
      <c r="I218" s="24" t="s">
        <v>881</v>
      </c>
      <c r="J218" s="24" t="s">
        <v>2110</v>
      </c>
      <c r="K218" s="24" t="s">
        <v>880</v>
      </c>
      <c r="L218" s="24" t="s">
        <v>881</v>
      </c>
      <c r="M218" s="59" t="s">
        <v>1961</v>
      </c>
      <c r="N218" s="22" t="s">
        <v>2071</v>
      </c>
      <c r="O218" s="22"/>
      <c r="P218" s="24" t="s">
        <v>2111</v>
      </c>
      <c r="Q218" s="28" t="s">
        <v>2112</v>
      </c>
      <c r="R218" s="29">
        <v>1674</v>
      </c>
      <c r="S218" s="30">
        <f t="shared" si="5"/>
        <v>271188</v>
      </c>
      <c r="T218" s="21" t="s">
        <v>198</v>
      </c>
      <c r="U218" s="24"/>
      <c r="V218" s="30">
        <v>215940</v>
      </c>
      <c r="W218" s="45" t="s">
        <v>71</v>
      </c>
      <c r="X218" s="22"/>
      <c r="Y218" s="31"/>
      <c r="Z218" s="22">
        <v>3908314</v>
      </c>
      <c r="AA218" s="22">
        <v>4757888</v>
      </c>
      <c r="AB218" s="22"/>
      <c r="AC218" s="45">
        <v>5631282</v>
      </c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</row>
    <row r="219" spans="1:46" ht="45" customHeight="1">
      <c r="A219" s="12" t="s">
        <v>2113</v>
      </c>
      <c r="B219" s="13" t="s">
        <v>2114</v>
      </c>
      <c r="C219" s="14" t="s">
        <v>2115</v>
      </c>
      <c r="D219" s="15" t="s">
        <v>2116</v>
      </c>
      <c r="E219" s="15" t="s">
        <v>2117</v>
      </c>
      <c r="F219" s="15" t="s">
        <v>287</v>
      </c>
      <c r="G219" s="15" t="s">
        <v>2118</v>
      </c>
      <c r="H219" s="15" t="s">
        <v>52</v>
      </c>
      <c r="I219" s="15" t="s">
        <v>53</v>
      </c>
      <c r="J219" s="15" t="s">
        <v>2118</v>
      </c>
      <c r="K219" s="15"/>
      <c r="L219" s="15" t="s">
        <v>206</v>
      </c>
      <c r="M219" s="46" t="s">
        <v>2119</v>
      </c>
      <c r="N219" s="13" t="s">
        <v>2120</v>
      </c>
      <c r="O219" s="13"/>
      <c r="P219" s="15" t="s">
        <v>2121</v>
      </c>
      <c r="Q219" s="17" t="s">
        <v>2122</v>
      </c>
      <c r="R219" s="18">
        <v>52</v>
      </c>
      <c r="S219" s="19">
        <f t="shared" si="5"/>
        <v>8424</v>
      </c>
      <c r="T219" s="12" t="s">
        <v>46</v>
      </c>
      <c r="U219" s="15"/>
      <c r="V219" s="19">
        <v>44610</v>
      </c>
      <c r="W219" s="15"/>
      <c r="X219" s="13"/>
      <c r="Y219" s="20"/>
      <c r="Z219" s="13"/>
      <c r="AA219" s="13"/>
      <c r="AB219" s="13">
        <v>4886759</v>
      </c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</row>
    <row r="220" spans="1:46" ht="45" customHeight="1">
      <c r="A220" s="12" t="s">
        <v>2123</v>
      </c>
      <c r="B220" s="13" t="s">
        <v>2124</v>
      </c>
      <c r="C220" s="14" t="s">
        <v>2125</v>
      </c>
      <c r="D220" s="15" t="s">
        <v>2126</v>
      </c>
      <c r="E220" s="15" t="s">
        <v>2127</v>
      </c>
      <c r="F220" s="15" t="s">
        <v>111</v>
      </c>
      <c r="G220" s="15" t="s">
        <v>2128</v>
      </c>
      <c r="H220" s="15"/>
      <c r="I220" s="15" t="s">
        <v>149</v>
      </c>
      <c r="J220" s="15" t="s">
        <v>2128</v>
      </c>
      <c r="K220" s="15"/>
      <c r="L220" s="15" t="s">
        <v>149</v>
      </c>
      <c r="M220" s="16" t="s">
        <v>2129</v>
      </c>
      <c r="N220" s="13" t="s">
        <v>2130</v>
      </c>
      <c r="O220" s="13"/>
      <c r="P220" s="15" t="s">
        <v>44</v>
      </c>
      <c r="Q220" s="17" t="s">
        <v>2131</v>
      </c>
      <c r="R220" s="18">
        <v>23</v>
      </c>
      <c r="S220" s="19">
        <f t="shared" si="5"/>
        <v>3726</v>
      </c>
      <c r="T220" s="12" t="s">
        <v>46</v>
      </c>
      <c r="U220" s="15"/>
      <c r="V220" s="19">
        <v>44610</v>
      </c>
      <c r="W220" s="15" t="s">
        <v>71</v>
      </c>
      <c r="X220" s="13">
        <v>1131548</v>
      </c>
      <c r="Y220" s="20"/>
      <c r="Z220" s="13"/>
      <c r="AA220" s="13"/>
      <c r="AB220" s="13">
        <v>4851735</v>
      </c>
      <c r="AC220" s="15">
        <v>5548687</v>
      </c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</row>
    <row r="221" spans="1:46" ht="45" customHeight="1">
      <c r="A221" s="50" t="s">
        <v>2132</v>
      </c>
      <c r="B221" s="51" t="s">
        <v>2133</v>
      </c>
      <c r="C221" s="52" t="s">
        <v>2134</v>
      </c>
      <c r="D221" s="53" t="s">
        <v>532</v>
      </c>
      <c r="E221" s="53" t="s">
        <v>533</v>
      </c>
      <c r="F221" s="53" t="s">
        <v>287</v>
      </c>
      <c r="G221" s="53" t="s">
        <v>534</v>
      </c>
      <c r="H221" s="53" t="s">
        <v>52</v>
      </c>
      <c r="I221" s="53" t="s">
        <v>53</v>
      </c>
      <c r="J221" s="53" t="s">
        <v>2135</v>
      </c>
      <c r="K221" s="53"/>
      <c r="L221" s="53" t="s">
        <v>206</v>
      </c>
      <c r="M221" s="68"/>
      <c r="N221" s="51">
        <v>4204391</v>
      </c>
      <c r="O221" s="51"/>
      <c r="P221" s="53" t="s">
        <v>305</v>
      </c>
      <c r="Q221" s="55" t="s">
        <v>2136</v>
      </c>
      <c r="R221" s="56">
        <v>5</v>
      </c>
      <c r="S221" s="57">
        <f t="shared" si="5"/>
        <v>810</v>
      </c>
      <c r="T221" s="50" t="s">
        <v>46</v>
      </c>
      <c r="U221" s="53"/>
      <c r="V221" s="57">
        <v>44610</v>
      </c>
      <c r="W221" s="53"/>
      <c r="X221" s="51"/>
      <c r="Y221" s="58"/>
      <c r="Z221" s="51"/>
      <c r="AA221" s="51"/>
      <c r="AB221" s="51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</row>
    <row r="222" spans="1:46" ht="45" customHeight="1">
      <c r="A222" s="50" t="s">
        <v>2137</v>
      </c>
      <c r="B222" s="51" t="s">
        <v>2138</v>
      </c>
      <c r="C222" s="52" t="s">
        <v>2139</v>
      </c>
      <c r="D222" s="53" t="s">
        <v>532</v>
      </c>
      <c r="E222" s="53" t="s">
        <v>533</v>
      </c>
      <c r="F222" s="53" t="s">
        <v>287</v>
      </c>
      <c r="G222" s="53" t="s">
        <v>534</v>
      </c>
      <c r="H222" s="53" t="s">
        <v>52</v>
      </c>
      <c r="I222" s="53" t="s">
        <v>53</v>
      </c>
      <c r="J222" s="53" t="s">
        <v>2140</v>
      </c>
      <c r="K222" s="53"/>
      <c r="L222" s="53" t="s">
        <v>206</v>
      </c>
      <c r="M222" s="68"/>
      <c r="N222" s="51">
        <v>4204391</v>
      </c>
      <c r="O222" s="51"/>
      <c r="P222" s="53" t="s">
        <v>305</v>
      </c>
      <c r="Q222" s="55" t="s">
        <v>2141</v>
      </c>
      <c r="R222" s="56">
        <v>5</v>
      </c>
      <c r="S222" s="57">
        <f t="shared" si="5"/>
        <v>810</v>
      </c>
      <c r="T222" s="50" t="s">
        <v>46</v>
      </c>
      <c r="U222" s="53"/>
      <c r="V222" s="57">
        <v>44610</v>
      </c>
      <c r="W222" s="53"/>
      <c r="X222" s="51"/>
      <c r="Y222" s="58"/>
      <c r="Z222" s="51"/>
      <c r="AA222" s="51"/>
      <c r="AB222" s="51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</row>
    <row r="223" spans="1:46" ht="45" customHeight="1">
      <c r="A223" s="21" t="s">
        <v>2142</v>
      </c>
      <c r="B223" s="22" t="s">
        <v>2143</v>
      </c>
      <c r="C223" s="23" t="s">
        <v>2144</v>
      </c>
      <c r="D223" s="24" t="s">
        <v>1957</v>
      </c>
      <c r="E223" s="24" t="s">
        <v>2145</v>
      </c>
      <c r="F223" s="24" t="s">
        <v>776</v>
      </c>
      <c r="G223" s="24" t="s">
        <v>2146</v>
      </c>
      <c r="H223" s="24" t="s">
        <v>2147</v>
      </c>
      <c r="I223" s="24" t="s">
        <v>881</v>
      </c>
      <c r="J223" s="24" t="s">
        <v>2146</v>
      </c>
      <c r="K223" s="24" t="s">
        <v>2147</v>
      </c>
      <c r="L223" s="24" t="s">
        <v>881</v>
      </c>
      <c r="M223" s="63" t="s">
        <v>1961</v>
      </c>
      <c r="N223" s="22" t="s">
        <v>2148</v>
      </c>
      <c r="O223" s="22"/>
      <c r="P223" s="24" t="s">
        <v>2111</v>
      </c>
      <c r="Q223" s="28" t="s">
        <v>2149</v>
      </c>
      <c r="R223" s="29">
        <v>770</v>
      </c>
      <c r="S223" s="30">
        <f t="shared" si="5"/>
        <v>124740</v>
      </c>
      <c r="T223" s="21" t="s">
        <v>252</v>
      </c>
      <c r="U223" s="24"/>
      <c r="V223" s="30">
        <v>123900</v>
      </c>
      <c r="W223" s="45" t="s">
        <v>71</v>
      </c>
      <c r="X223" s="22"/>
      <c r="Y223" s="31"/>
      <c r="Z223" s="22">
        <v>3908339</v>
      </c>
      <c r="AA223" s="22">
        <v>4757872</v>
      </c>
      <c r="AB223" s="22"/>
      <c r="AC223" s="45">
        <v>5631146</v>
      </c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</row>
    <row r="224" spans="1:46" ht="45" customHeight="1">
      <c r="A224" s="50" t="s">
        <v>2150</v>
      </c>
      <c r="B224" s="51" t="s">
        <v>2151</v>
      </c>
      <c r="C224" s="52" t="s">
        <v>2152</v>
      </c>
      <c r="D224" s="53" t="s">
        <v>2153</v>
      </c>
      <c r="E224" s="53" t="s">
        <v>2154</v>
      </c>
      <c r="F224" s="53" t="s">
        <v>111</v>
      </c>
      <c r="G224" s="53" t="s">
        <v>2155</v>
      </c>
      <c r="H224" s="53" t="s">
        <v>52</v>
      </c>
      <c r="I224" s="53" t="s">
        <v>53</v>
      </c>
      <c r="J224" s="53" t="s">
        <v>2155</v>
      </c>
      <c r="K224" s="53"/>
      <c r="L224" s="53" t="s">
        <v>206</v>
      </c>
      <c r="M224" s="54" t="s">
        <v>2156</v>
      </c>
      <c r="N224" s="51">
        <v>2615452424</v>
      </c>
      <c r="O224" s="51"/>
      <c r="P224" s="53" t="s">
        <v>44</v>
      </c>
      <c r="Q224" s="55" t="s">
        <v>2157</v>
      </c>
      <c r="R224" s="56">
        <v>63</v>
      </c>
      <c r="S224" s="57">
        <f t="shared" si="5"/>
        <v>10206</v>
      </c>
      <c r="T224" s="50" t="s">
        <v>46</v>
      </c>
      <c r="U224" s="53"/>
      <c r="V224" s="57">
        <v>44610</v>
      </c>
      <c r="W224" s="53"/>
      <c r="X224" s="51"/>
      <c r="Y224" s="58"/>
      <c r="Z224" s="51"/>
      <c r="AA224" s="51"/>
      <c r="AB224" s="51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</row>
    <row r="225" spans="1:46" ht="45" customHeight="1">
      <c r="A225" s="12" t="s">
        <v>2158</v>
      </c>
      <c r="B225" s="13" t="s">
        <v>2159</v>
      </c>
      <c r="C225" s="14" t="s">
        <v>2160</v>
      </c>
      <c r="D225" s="15" t="s">
        <v>571</v>
      </c>
      <c r="E225" s="15" t="s">
        <v>572</v>
      </c>
      <c r="F225" s="15" t="s">
        <v>181</v>
      </c>
      <c r="G225" s="15" t="s">
        <v>573</v>
      </c>
      <c r="H225" s="15"/>
      <c r="I225" s="15" t="s">
        <v>149</v>
      </c>
      <c r="J225" s="15" t="s">
        <v>2161</v>
      </c>
      <c r="K225" s="15"/>
      <c r="L225" s="15" t="s">
        <v>149</v>
      </c>
      <c r="M225" s="46" t="s">
        <v>2162</v>
      </c>
      <c r="N225" s="13" t="s">
        <v>2163</v>
      </c>
      <c r="O225" s="13"/>
      <c r="P225" s="15" t="s">
        <v>117</v>
      </c>
      <c r="Q225" s="17" t="s">
        <v>2164</v>
      </c>
      <c r="R225" s="18">
        <v>210</v>
      </c>
      <c r="S225" s="19">
        <f t="shared" si="5"/>
        <v>34020</v>
      </c>
      <c r="T225" s="12" t="s">
        <v>46</v>
      </c>
      <c r="U225" s="15"/>
      <c r="V225" s="19">
        <v>44610</v>
      </c>
      <c r="W225" s="15"/>
      <c r="X225" s="13">
        <v>1010917</v>
      </c>
      <c r="Y225" s="20">
        <v>3088882</v>
      </c>
      <c r="Z225" s="13">
        <v>3880196</v>
      </c>
      <c r="AA225" s="13">
        <v>4745173</v>
      </c>
      <c r="AB225" s="13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</row>
    <row r="226" spans="1:46" ht="45" customHeight="1">
      <c r="A226" s="12" t="s">
        <v>2165</v>
      </c>
      <c r="B226" s="13" t="s">
        <v>2166</v>
      </c>
      <c r="C226" s="14" t="s">
        <v>2167</v>
      </c>
      <c r="D226" s="15" t="s">
        <v>2168</v>
      </c>
      <c r="E226" s="15" t="s">
        <v>1676</v>
      </c>
      <c r="F226" s="15" t="s">
        <v>402</v>
      </c>
      <c r="G226" s="15" t="s">
        <v>2169</v>
      </c>
      <c r="H226" s="15" t="s">
        <v>114</v>
      </c>
      <c r="I226" s="15" t="s">
        <v>115</v>
      </c>
      <c r="J226" s="15" t="s">
        <v>2169</v>
      </c>
      <c r="K226" s="15" t="s">
        <v>114</v>
      </c>
      <c r="L226" s="15" t="s">
        <v>115</v>
      </c>
      <c r="M226" s="16" t="s">
        <v>2170</v>
      </c>
      <c r="N226" s="13" t="s">
        <v>2171</v>
      </c>
      <c r="O226" s="13"/>
      <c r="P226" s="15" t="s">
        <v>44</v>
      </c>
      <c r="Q226" s="17" t="s">
        <v>2172</v>
      </c>
      <c r="R226" s="18">
        <v>594</v>
      </c>
      <c r="S226" s="19">
        <f t="shared" si="5"/>
        <v>96228</v>
      </c>
      <c r="T226" s="12" t="s">
        <v>46</v>
      </c>
      <c r="U226" s="15"/>
      <c r="V226" s="19">
        <v>44610</v>
      </c>
      <c r="W226" s="15"/>
      <c r="X226" s="13">
        <v>1135389</v>
      </c>
      <c r="Y226" s="20">
        <v>3103642</v>
      </c>
      <c r="Z226" s="13">
        <v>3899687</v>
      </c>
      <c r="AA226" s="13"/>
      <c r="AB226" s="13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</row>
    <row r="227" spans="1:46" ht="45" customHeight="1">
      <c r="A227" s="12" t="s">
        <v>2173</v>
      </c>
      <c r="B227" s="13" t="s">
        <v>2174</v>
      </c>
      <c r="C227" s="14" t="s">
        <v>2175</v>
      </c>
      <c r="D227" s="15" t="s">
        <v>2176</v>
      </c>
      <c r="E227" s="15" t="s">
        <v>1363</v>
      </c>
      <c r="F227" s="15" t="s">
        <v>111</v>
      </c>
      <c r="G227" s="15" t="s">
        <v>2177</v>
      </c>
      <c r="H227" s="15" t="s">
        <v>114</v>
      </c>
      <c r="I227" s="15" t="s">
        <v>115</v>
      </c>
      <c r="J227" s="15" t="s">
        <v>2177</v>
      </c>
      <c r="K227" s="15" t="s">
        <v>114</v>
      </c>
      <c r="L227" s="15" t="s">
        <v>115</v>
      </c>
      <c r="M227" s="46" t="s">
        <v>2178</v>
      </c>
      <c r="N227" s="13" t="s">
        <v>2179</v>
      </c>
      <c r="O227" s="13"/>
      <c r="P227" s="15" t="s">
        <v>2180</v>
      </c>
      <c r="Q227" s="17" t="s">
        <v>2181</v>
      </c>
      <c r="R227" s="18">
        <v>45</v>
      </c>
      <c r="S227" s="19">
        <f t="shared" si="5"/>
        <v>7290</v>
      </c>
      <c r="T227" s="12" t="s">
        <v>46</v>
      </c>
      <c r="U227" s="15"/>
      <c r="V227" s="19">
        <v>44610</v>
      </c>
      <c r="W227" s="15" t="s">
        <v>71</v>
      </c>
      <c r="X227" s="13">
        <v>1018179</v>
      </c>
      <c r="Y227" s="20">
        <v>3084959</v>
      </c>
      <c r="Z227" s="13">
        <v>3827574</v>
      </c>
      <c r="AA227" s="13">
        <v>4671512</v>
      </c>
      <c r="AB227" s="13"/>
      <c r="AC227" s="15">
        <v>5571152</v>
      </c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</row>
    <row r="228" spans="1:46" ht="45" customHeight="1">
      <c r="A228" s="12" t="s">
        <v>2182</v>
      </c>
      <c r="B228" s="13" t="s">
        <v>2183</v>
      </c>
      <c r="C228" s="14" t="s">
        <v>2184</v>
      </c>
      <c r="D228" s="15" t="s">
        <v>2185</v>
      </c>
      <c r="E228" s="15" t="s">
        <v>2186</v>
      </c>
      <c r="F228" s="15" t="s">
        <v>147</v>
      </c>
      <c r="G228" s="15" t="s">
        <v>2187</v>
      </c>
      <c r="H228" s="15" t="s">
        <v>331</v>
      </c>
      <c r="I228" s="15" t="s">
        <v>321</v>
      </c>
      <c r="J228" s="15" t="s">
        <v>2187</v>
      </c>
      <c r="K228" s="15" t="s">
        <v>331</v>
      </c>
      <c r="L228" s="15" t="s">
        <v>321</v>
      </c>
      <c r="M228" s="114" t="s">
        <v>2188</v>
      </c>
      <c r="N228" s="13" t="s">
        <v>2189</v>
      </c>
      <c r="O228" s="13"/>
      <c r="P228" s="15" t="s">
        <v>151</v>
      </c>
      <c r="Q228" s="17" t="s">
        <v>2190</v>
      </c>
      <c r="R228" s="18">
        <v>16</v>
      </c>
      <c r="S228" s="19">
        <f t="shared" si="5"/>
        <v>2592</v>
      </c>
      <c r="T228" s="12" t="s">
        <v>46</v>
      </c>
      <c r="U228" s="15"/>
      <c r="V228" s="19">
        <v>44610</v>
      </c>
      <c r="W228" s="49" t="s">
        <v>71</v>
      </c>
      <c r="X228" s="13">
        <v>1042608</v>
      </c>
      <c r="Y228" s="20"/>
      <c r="Z228" s="13">
        <v>3893198</v>
      </c>
      <c r="AA228" s="13">
        <v>4753594</v>
      </c>
      <c r="AB228" s="13"/>
      <c r="AC228" s="49">
        <v>5633167</v>
      </c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</row>
    <row r="229" spans="1:46" ht="45" customHeight="1">
      <c r="A229" s="12" t="s">
        <v>2191</v>
      </c>
      <c r="B229" s="13" t="s">
        <v>2192</v>
      </c>
      <c r="C229" s="14" t="s">
        <v>2193</v>
      </c>
      <c r="D229" s="15" t="s">
        <v>2194</v>
      </c>
      <c r="E229" s="15" t="s">
        <v>2195</v>
      </c>
      <c r="F229" s="15" t="s">
        <v>111</v>
      </c>
      <c r="G229" s="15" t="s">
        <v>2196</v>
      </c>
      <c r="H229" s="15" t="s">
        <v>1202</v>
      </c>
      <c r="I229" s="15" t="s">
        <v>115</v>
      </c>
      <c r="J229" s="15" t="s">
        <v>2196</v>
      </c>
      <c r="K229" s="15" t="s">
        <v>1202</v>
      </c>
      <c r="L229" s="15" t="s">
        <v>115</v>
      </c>
      <c r="M229" s="16" t="s">
        <v>2197</v>
      </c>
      <c r="N229" s="13" t="s">
        <v>2198</v>
      </c>
      <c r="O229" s="13"/>
      <c r="P229" s="15" t="s">
        <v>44</v>
      </c>
      <c r="Q229" s="17" t="s">
        <v>2199</v>
      </c>
      <c r="R229" s="18">
        <v>38</v>
      </c>
      <c r="S229" s="19">
        <f t="shared" si="5"/>
        <v>6156</v>
      </c>
      <c r="T229" s="12" t="s">
        <v>46</v>
      </c>
      <c r="U229" s="15"/>
      <c r="V229" s="19">
        <v>44610</v>
      </c>
      <c r="W229" s="15" t="s">
        <v>71</v>
      </c>
      <c r="X229" s="13">
        <v>1022198</v>
      </c>
      <c r="Y229" s="20">
        <v>3113854</v>
      </c>
      <c r="Z229" s="13">
        <v>3856490</v>
      </c>
      <c r="AA229" s="13">
        <v>4749607</v>
      </c>
      <c r="AB229" s="13"/>
      <c r="AC229" s="15">
        <v>5532748</v>
      </c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</row>
    <row r="230" spans="1:46" ht="45" customHeight="1">
      <c r="A230" s="21" t="s">
        <v>2200</v>
      </c>
      <c r="B230" s="22" t="s">
        <v>2201</v>
      </c>
      <c r="C230" s="23" t="s">
        <v>2202</v>
      </c>
      <c r="D230" s="24" t="s">
        <v>2203</v>
      </c>
      <c r="E230" s="24" t="s">
        <v>2204</v>
      </c>
      <c r="F230" s="24" t="s">
        <v>62</v>
      </c>
      <c r="G230" s="24" t="s">
        <v>2205</v>
      </c>
      <c r="H230" s="24" t="s">
        <v>2206</v>
      </c>
      <c r="I230" s="24" t="s">
        <v>65</v>
      </c>
      <c r="J230" s="24" t="s">
        <v>2205</v>
      </c>
      <c r="K230" s="24" t="s">
        <v>2206</v>
      </c>
      <c r="L230" s="24" t="s">
        <v>65</v>
      </c>
      <c r="M230" s="25" t="s">
        <v>2207</v>
      </c>
      <c r="N230" s="22">
        <v>4480148</v>
      </c>
      <c r="O230" s="22"/>
      <c r="P230" s="117" t="s">
        <v>855</v>
      </c>
      <c r="Q230" s="28" t="s">
        <v>2208</v>
      </c>
      <c r="R230" s="29">
        <v>1128</v>
      </c>
      <c r="S230" s="30">
        <f t="shared" si="5"/>
        <v>182736</v>
      </c>
      <c r="T230" s="21" t="s">
        <v>198</v>
      </c>
      <c r="U230" s="24"/>
      <c r="V230" s="30">
        <v>215940</v>
      </c>
      <c r="W230" s="24" t="s">
        <v>71</v>
      </c>
      <c r="X230" s="22"/>
      <c r="Y230" s="31">
        <v>3115604</v>
      </c>
      <c r="Z230" s="22">
        <v>3897105</v>
      </c>
      <c r="AA230" s="22">
        <v>4731373</v>
      </c>
      <c r="AB230" s="22"/>
      <c r="AC230" s="24">
        <v>5537140</v>
      </c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</row>
    <row r="231" spans="1:46" ht="45" customHeight="1">
      <c r="A231" s="12" t="s">
        <v>2209</v>
      </c>
      <c r="B231" s="13" t="s">
        <v>2210</v>
      </c>
      <c r="C231" s="66" t="s">
        <v>2211</v>
      </c>
      <c r="D231" s="15" t="s">
        <v>2212</v>
      </c>
      <c r="E231" s="15" t="s">
        <v>2213</v>
      </c>
      <c r="F231" s="15" t="s">
        <v>542</v>
      </c>
      <c r="G231" s="15" t="s">
        <v>2214</v>
      </c>
      <c r="H231" s="15" t="s">
        <v>660</v>
      </c>
      <c r="I231" s="15" t="s">
        <v>38</v>
      </c>
      <c r="J231" s="15" t="s">
        <v>1765</v>
      </c>
      <c r="K231" s="15" t="s">
        <v>544</v>
      </c>
      <c r="L231" s="15" t="s">
        <v>38</v>
      </c>
      <c r="M231" s="16" t="s">
        <v>2215</v>
      </c>
      <c r="N231" s="13">
        <v>4989500</v>
      </c>
      <c r="O231" s="13"/>
      <c r="P231" s="15" t="s">
        <v>2216</v>
      </c>
      <c r="Q231" s="17" t="s">
        <v>2217</v>
      </c>
      <c r="R231" s="18">
        <v>10167</v>
      </c>
      <c r="S231" s="19">
        <f t="shared" si="5"/>
        <v>1647054</v>
      </c>
      <c r="T231" s="12" t="s">
        <v>70</v>
      </c>
      <c r="U231" s="15"/>
      <c r="V231" s="19">
        <v>1647054</v>
      </c>
      <c r="W231" s="15" t="s">
        <v>71</v>
      </c>
      <c r="X231" s="13"/>
      <c r="Y231" s="20"/>
      <c r="Z231" s="13"/>
      <c r="AA231" s="13"/>
      <c r="AB231" s="13"/>
      <c r="AC231" s="15">
        <v>5548528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</row>
    <row r="232" spans="1:46" ht="45" customHeight="1">
      <c r="A232" s="12" t="s">
        <v>2218</v>
      </c>
      <c r="B232" s="13" t="s">
        <v>2219</v>
      </c>
      <c r="C232" s="14" t="s">
        <v>2220</v>
      </c>
      <c r="D232" s="15" t="s">
        <v>2221</v>
      </c>
      <c r="E232" s="15" t="s">
        <v>2222</v>
      </c>
      <c r="F232" s="15" t="s">
        <v>181</v>
      </c>
      <c r="G232" s="15" t="s">
        <v>2223</v>
      </c>
      <c r="H232" s="15" t="s">
        <v>331</v>
      </c>
      <c r="I232" s="15" t="s">
        <v>80</v>
      </c>
      <c r="J232" s="15" t="s">
        <v>2224</v>
      </c>
      <c r="K232" s="15" t="s">
        <v>331</v>
      </c>
      <c r="L232" s="15" t="s">
        <v>80</v>
      </c>
      <c r="M232" s="46" t="s">
        <v>2225</v>
      </c>
      <c r="N232" s="13">
        <v>4972180</v>
      </c>
      <c r="O232" s="13"/>
      <c r="P232" s="15" t="s">
        <v>94</v>
      </c>
      <c r="Q232" s="17" t="s">
        <v>2226</v>
      </c>
      <c r="R232" s="18">
        <v>462</v>
      </c>
      <c r="S232" s="19">
        <f t="shared" si="5"/>
        <v>74844</v>
      </c>
      <c r="T232" s="12" t="s">
        <v>46</v>
      </c>
      <c r="U232" s="15"/>
      <c r="V232" s="19">
        <v>44610</v>
      </c>
      <c r="W232" s="15" t="s">
        <v>47</v>
      </c>
      <c r="X232" s="13">
        <v>1044839</v>
      </c>
      <c r="Y232" s="20">
        <v>3060418</v>
      </c>
      <c r="Z232" s="13">
        <v>3807016</v>
      </c>
      <c r="AA232" s="13">
        <v>4740757</v>
      </c>
      <c r="AB232" s="13"/>
      <c r="AC232" s="15">
        <v>5548669</v>
      </c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</row>
    <row r="233" spans="1:46" ht="45" customHeight="1">
      <c r="A233" s="12" t="s">
        <v>2227</v>
      </c>
      <c r="B233" s="13" t="s">
        <v>2228</v>
      </c>
      <c r="C233" s="14" t="s">
        <v>2229</v>
      </c>
      <c r="D233" s="15" t="s">
        <v>2230</v>
      </c>
      <c r="E233" s="15" t="s">
        <v>1903</v>
      </c>
      <c r="F233" s="15" t="s">
        <v>287</v>
      </c>
      <c r="G233" s="15" t="s">
        <v>2231</v>
      </c>
      <c r="H233" s="15" t="s">
        <v>2232</v>
      </c>
      <c r="I233" s="15" t="s">
        <v>38</v>
      </c>
      <c r="J233" s="15" t="s">
        <v>2233</v>
      </c>
      <c r="K233" s="15" t="s">
        <v>2234</v>
      </c>
      <c r="L233" s="15" t="s">
        <v>149</v>
      </c>
      <c r="M233" s="46" t="s">
        <v>2235</v>
      </c>
      <c r="N233" s="13">
        <v>2615870879</v>
      </c>
      <c r="O233" s="13"/>
      <c r="P233" s="15" t="s">
        <v>305</v>
      </c>
      <c r="Q233" s="17" t="s">
        <v>2236</v>
      </c>
      <c r="R233" s="18">
        <v>21</v>
      </c>
      <c r="S233" s="19">
        <f t="shared" si="5"/>
        <v>3402</v>
      </c>
      <c r="T233" s="12" t="s">
        <v>46</v>
      </c>
      <c r="U233" s="15"/>
      <c r="V233" s="19">
        <v>44610</v>
      </c>
      <c r="W233" s="15"/>
      <c r="X233" s="13"/>
      <c r="Y233" s="20"/>
      <c r="Z233" s="13">
        <v>3882150</v>
      </c>
      <c r="AA233" s="13"/>
      <c r="AB233" s="13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</row>
    <row r="234" spans="1:46" ht="45" customHeight="1">
      <c r="A234" s="21" t="s">
        <v>2237</v>
      </c>
      <c r="B234" s="22" t="s">
        <v>2238</v>
      </c>
      <c r="C234" s="23" t="s">
        <v>2239</v>
      </c>
      <c r="D234" s="24" t="s">
        <v>2240</v>
      </c>
      <c r="E234" s="24" t="s">
        <v>2241</v>
      </c>
      <c r="F234" s="24" t="s">
        <v>542</v>
      </c>
      <c r="G234" s="24" t="s">
        <v>2242</v>
      </c>
      <c r="H234" s="24" t="s">
        <v>2243</v>
      </c>
      <c r="I234" s="24" t="s">
        <v>115</v>
      </c>
      <c r="J234" s="24" t="s">
        <v>2244</v>
      </c>
      <c r="K234" s="24"/>
      <c r="L234" s="24" t="s">
        <v>38</v>
      </c>
      <c r="M234" s="25" t="s">
        <v>2245</v>
      </c>
      <c r="N234" s="22" t="s">
        <v>2246</v>
      </c>
      <c r="O234" s="22"/>
      <c r="P234" s="24" t="s">
        <v>117</v>
      </c>
      <c r="Q234" s="28" t="s">
        <v>2247</v>
      </c>
      <c r="R234" s="29">
        <v>624</v>
      </c>
      <c r="S234" s="30">
        <f t="shared" si="5"/>
        <v>101088</v>
      </c>
      <c r="T234" s="21" t="s">
        <v>252</v>
      </c>
      <c r="U234" s="24"/>
      <c r="V234" s="30">
        <v>123900</v>
      </c>
      <c r="W234" s="24" t="s">
        <v>71</v>
      </c>
      <c r="X234" s="22"/>
      <c r="Y234" s="31">
        <v>3103988</v>
      </c>
      <c r="Z234" s="22">
        <v>3849112</v>
      </c>
      <c r="AA234" s="22">
        <v>4753441</v>
      </c>
      <c r="AB234" s="22"/>
      <c r="AC234" s="24">
        <v>5606854</v>
      </c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</row>
    <row r="235" spans="1:46" ht="51" customHeight="1">
      <c r="A235" s="12" t="s">
        <v>2248</v>
      </c>
      <c r="B235" s="13" t="s">
        <v>2249</v>
      </c>
      <c r="C235" s="14" t="s">
        <v>2250</v>
      </c>
      <c r="D235" s="15" t="s">
        <v>2251</v>
      </c>
      <c r="E235" s="15" t="s">
        <v>533</v>
      </c>
      <c r="F235" s="15" t="s">
        <v>287</v>
      </c>
      <c r="G235" s="15" t="s">
        <v>2252</v>
      </c>
      <c r="H235" s="15" t="s">
        <v>125</v>
      </c>
      <c r="I235" s="15" t="s">
        <v>1377</v>
      </c>
      <c r="J235" s="15" t="s">
        <v>2253</v>
      </c>
      <c r="K235" s="15" t="s">
        <v>125</v>
      </c>
      <c r="L235" s="15" t="s">
        <v>115</v>
      </c>
      <c r="M235" s="16" t="s">
        <v>2254</v>
      </c>
      <c r="N235" s="13">
        <v>155023893</v>
      </c>
      <c r="O235" s="13"/>
      <c r="P235" s="15" t="s">
        <v>294</v>
      </c>
      <c r="Q235" s="17" t="s">
        <v>2255</v>
      </c>
      <c r="R235" s="18">
        <v>44</v>
      </c>
      <c r="S235" s="19">
        <f t="shared" si="5"/>
        <v>7128</v>
      </c>
      <c r="T235" s="12" t="s">
        <v>46</v>
      </c>
      <c r="U235" s="15"/>
      <c r="V235" s="19">
        <v>44610</v>
      </c>
      <c r="W235" s="15"/>
      <c r="X235" s="13"/>
      <c r="Y235" s="20"/>
      <c r="Z235" s="13"/>
      <c r="AA235" s="13"/>
      <c r="AB235" s="13">
        <v>4851994</v>
      </c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</row>
    <row r="236" spans="1:46" ht="45" customHeight="1">
      <c r="A236" s="12" t="s">
        <v>2256</v>
      </c>
      <c r="B236" s="13" t="s">
        <v>2257</v>
      </c>
      <c r="C236" s="14" t="s">
        <v>2258</v>
      </c>
      <c r="D236" s="15" t="s">
        <v>2259</v>
      </c>
      <c r="E236" s="15" t="s">
        <v>2260</v>
      </c>
      <c r="F236" s="15" t="s">
        <v>181</v>
      </c>
      <c r="G236" s="15" t="s">
        <v>2261</v>
      </c>
      <c r="H236" s="15" t="s">
        <v>2262</v>
      </c>
      <c r="I236" s="15" t="s">
        <v>80</v>
      </c>
      <c r="J236" s="15" t="s">
        <v>2261</v>
      </c>
      <c r="K236" s="15" t="s">
        <v>2262</v>
      </c>
      <c r="L236" s="15" t="s">
        <v>80</v>
      </c>
      <c r="M236" s="46" t="s">
        <v>2263</v>
      </c>
      <c r="N236" s="13" t="s">
        <v>2264</v>
      </c>
      <c r="O236" s="13"/>
      <c r="P236" s="15" t="s">
        <v>94</v>
      </c>
      <c r="Q236" s="17" t="s">
        <v>2265</v>
      </c>
      <c r="R236" s="18">
        <v>62</v>
      </c>
      <c r="S236" s="19">
        <f t="shared" si="5"/>
        <v>10044</v>
      </c>
      <c r="T236" s="12" t="s">
        <v>46</v>
      </c>
      <c r="U236" s="15"/>
      <c r="V236" s="19">
        <v>44610</v>
      </c>
      <c r="W236" s="15"/>
      <c r="X236" s="13"/>
      <c r="Y236" s="20"/>
      <c r="Z236" s="13">
        <v>3899680</v>
      </c>
      <c r="AA236" s="13">
        <v>4705514</v>
      </c>
      <c r="AB236" s="13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</row>
    <row r="237" spans="1:46" ht="45" customHeight="1">
      <c r="A237" s="12" t="s">
        <v>2266</v>
      </c>
      <c r="B237" s="13" t="s">
        <v>2267</v>
      </c>
      <c r="C237" s="14" t="s">
        <v>2268</v>
      </c>
      <c r="D237" s="15" t="s">
        <v>2269</v>
      </c>
      <c r="E237" s="15" t="s">
        <v>2270</v>
      </c>
      <c r="F237" s="15" t="s">
        <v>111</v>
      </c>
      <c r="G237" s="15" t="s">
        <v>2271</v>
      </c>
      <c r="H237" s="15" t="s">
        <v>114</v>
      </c>
      <c r="I237" s="15" t="s">
        <v>115</v>
      </c>
      <c r="J237" s="15" t="s">
        <v>2271</v>
      </c>
      <c r="K237" s="15" t="s">
        <v>114</v>
      </c>
      <c r="L237" s="15" t="s">
        <v>115</v>
      </c>
      <c r="M237" s="46" t="s">
        <v>2272</v>
      </c>
      <c r="N237" s="13" t="s">
        <v>2273</v>
      </c>
      <c r="O237" s="13"/>
      <c r="P237" s="15" t="s">
        <v>408</v>
      </c>
      <c r="Q237" s="17" t="s">
        <v>2274</v>
      </c>
      <c r="R237" s="18">
        <v>499</v>
      </c>
      <c r="S237" s="19">
        <f t="shared" si="5"/>
        <v>80838</v>
      </c>
      <c r="T237" s="12" t="s">
        <v>46</v>
      </c>
      <c r="U237" s="15"/>
      <c r="V237" s="19">
        <v>44610</v>
      </c>
      <c r="W237" s="15" t="s">
        <v>71</v>
      </c>
      <c r="X237" s="13"/>
      <c r="Y237" s="20">
        <v>3083119</v>
      </c>
      <c r="Z237" s="13">
        <v>3887822</v>
      </c>
      <c r="AA237" s="13">
        <v>4701966</v>
      </c>
      <c r="AB237" s="13"/>
      <c r="AC237" s="15">
        <v>5529148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</row>
    <row r="238" spans="1:46" ht="45" customHeight="1">
      <c r="A238" s="12" t="s">
        <v>2275</v>
      </c>
      <c r="B238" s="13" t="s">
        <v>2276</v>
      </c>
      <c r="C238" s="14" t="s">
        <v>2277</v>
      </c>
      <c r="D238" s="15" t="s">
        <v>2278</v>
      </c>
      <c r="E238" s="15" t="s">
        <v>2279</v>
      </c>
      <c r="F238" s="15" t="s">
        <v>181</v>
      </c>
      <c r="G238" s="15" t="s">
        <v>2280</v>
      </c>
      <c r="H238" s="15" t="s">
        <v>216</v>
      </c>
      <c r="I238" s="15" t="s">
        <v>149</v>
      </c>
      <c r="J238" s="15" t="s">
        <v>2280</v>
      </c>
      <c r="K238" s="15" t="s">
        <v>216</v>
      </c>
      <c r="L238" s="15" t="s">
        <v>149</v>
      </c>
      <c r="M238" s="46" t="s">
        <v>2281</v>
      </c>
      <c r="N238" s="13" t="s">
        <v>2282</v>
      </c>
      <c r="O238" s="13"/>
      <c r="P238" s="15" t="s">
        <v>94</v>
      </c>
      <c r="Q238" s="17" t="s">
        <v>2283</v>
      </c>
      <c r="R238" s="18">
        <v>73</v>
      </c>
      <c r="S238" s="19">
        <f t="shared" si="5"/>
        <v>11826</v>
      </c>
      <c r="T238" s="12" t="s">
        <v>46</v>
      </c>
      <c r="U238" s="15"/>
      <c r="V238" s="19">
        <v>44610</v>
      </c>
      <c r="W238" s="15"/>
      <c r="X238" s="13">
        <v>1024955</v>
      </c>
      <c r="Y238" s="20">
        <v>3120590</v>
      </c>
      <c r="Z238" s="13">
        <v>3903346</v>
      </c>
      <c r="AA238" s="13">
        <v>4714903</v>
      </c>
      <c r="AB238" s="13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</row>
    <row r="239" spans="1:46" ht="45" customHeight="1">
      <c r="A239" s="12" t="s">
        <v>2284</v>
      </c>
      <c r="B239" s="13" t="s">
        <v>2285</v>
      </c>
      <c r="C239" s="14" t="s">
        <v>2286</v>
      </c>
      <c r="D239" s="15" t="s">
        <v>2287</v>
      </c>
      <c r="E239" s="15" t="s">
        <v>2288</v>
      </c>
      <c r="F239" s="15" t="s">
        <v>111</v>
      </c>
      <c r="G239" s="15" t="s">
        <v>2289</v>
      </c>
      <c r="H239" s="15" t="s">
        <v>216</v>
      </c>
      <c r="I239" s="15" t="s">
        <v>149</v>
      </c>
      <c r="J239" s="15" t="s">
        <v>2289</v>
      </c>
      <c r="K239" s="15" t="s">
        <v>216</v>
      </c>
      <c r="L239" s="15" t="s">
        <v>149</v>
      </c>
      <c r="M239" s="46" t="s">
        <v>2290</v>
      </c>
      <c r="N239" s="13">
        <v>2615187604</v>
      </c>
      <c r="O239" s="13"/>
      <c r="P239" s="15" t="s">
        <v>44</v>
      </c>
      <c r="Q239" s="17" t="s">
        <v>2291</v>
      </c>
      <c r="R239" s="18">
        <v>194</v>
      </c>
      <c r="S239" s="19">
        <f t="shared" si="5"/>
        <v>31428</v>
      </c>
      <c r="T239" s="12" t="s">
        <v>46</v>
      </c>
      <c r="U239" s="15"/>
      <c r="V239" s="19">
        <v>44610</v>
      </c>
      <c r="W239" s="49" t="s">
        <v>71</v>
      </c>
      <c r="X239" s="13">
        <v>1139064</v>
      </c>
      <c r="Y239" s="20"/>
      <c r="Z239" s="13">
        <v>3899910</v>
      </c>
      <c r="AA239" s="13">
        <v>4753583</v>
      </c>
      <c r="AB239" s="13"/>
      <c r="AC239" s="49">
        <v>5636151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</row>
    <row r="240" spans="1:46" ht="45" customHeight="1">
      <c r="A240" s="12" t="s">
        <v>2292</v>
      </c>
      <c r="B240" s="13" t="s">
        <v>2293</v>
      </c>
      <c r="C240" s="14" t="s">
        <v>2294</v>
      </c>
      <c r="D240" s="15" t="s">
        <v>2295</v>
      </c>
      <c r="E240" s="15" t="s">
        <v>2296</v>
      </c>
      <c r="F240" s="15" t="s">
        <v>593</v>
      </c>
      <c r="G240" s="15" t="s">
        <v>2297</v>
      </c>
      <c r="H240" s="15"/>
      <c r="I240" s="15" t="s">
        <v>149</v>
      </c>
      <c r="J240" s="15" t="s">
        <v>2297</v>
      </c>
      <c r="K240" s="15"/>
      <c r="L240" s="15" t="s">
        <v>149</v>
      </c>
      <c r="M240" s="46" t="s">
        <v>2298</v>
      </c>
      <c r="N240" s="13">
        <v>3911137</v>
      </c>
      <c r="O240" s="13"/>
      <c r="P240" s="15" t="s">
        <v>44</v>
      </c>
      <c r="Q240" s="17" t="s">
        <v>2299</v>
      </c>
      <c r="R240" s="18">
        <v>166</v>
      </c>
      <c r="S240" s="19">
        <f t="shared" si="5"/>
        <v>26892</v>
      </c>
      <c r="T240" s="12" t="s">
        <v>46</v>
      </c>
      <c r="U240" s="15"/>
      <c r="V240" s="19">
        <v>44610</v>
      </c>
      <c r="W240" s="15" t="s">
        <v>71</v>
      </c>
      <c r="X240" s="13">
        <v>1007085</v>
      </c>
      <c r="Y240" s="20">
        <v>3121585</v>
      </c>
      <c r="Z240" s="13">
        <v>3881836</v>
      </c>
      <c r="AA240" s="13"/>
      <c r="AB240" s="13"/>
      <c r="AC240" s="15">
        <v>5609850</v>
      </c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</row>
    <row r="241" spans="1:46" ht="45" customHeight="1">
      <c r="A241" s="12" t="s">
        <v>2300</v>
      </c>
      <c r="B241" s="13" t="s">
        <v>2301</v>
      </c>
      <c r="C241" s="14" t="s">
        <v>2302</v>
      </c>
      <c r="D241" s="15" t="s">
        <v>2303</v>
      </c>
      <c r="E241" s="15" t="s">
        <v>247</v>
      </c>
      <c r="F241" s="15" t="s">
        <v>181</v>
      </c>
      <c r="G241" s="15" t="s">
        <v>2304</v>
      </c>
      <c r="H241" s="15"/>
      <c r="I241" s="15" t="s">
        <v>38</v>
      </c>
      <c r="J241" s="15" t="s">
        <v>2304</v>
      </c>
      <c r="K241" s="13"/>
      <c r="L241" s="15" t="s">
        <v>38</v>
      </c>
      <c r="M241" s="114" t="s">
        <v>2305</v>
      </c>
      <c r="N241" s="47" t="s">
        <v>2306</v>
      </c>
      <c r="O241" s="13"/>
      <c r="P241" s="15" t="s">
        <v>94</v>
      </c>
      <c r="Q241" s="118" t="s">
        <v>2307</v>
      </c>
      <c r="R241" s="18">
        <v>201</v>
      </c>
      <c r="S241" s="19">
        <f t="shared" si="5"/>
        <v>32562</v>
      </c>
      <c r="T241" s="12" t="s">
        <v>46</v>
      </c>
      <c r="U241" s="15"/>
      <c r="V241" s="19">
        <v>44610</v>
      </c>
      <c r="W241" s="49" t="s">
        <v>71</v>
      </c>
      <c r="X241" s="13">
        <v>1044820</v>
      </c>
      <c r="Y241" s="20"/>
      <c r="Z241" s="13"/>
      <c r="AA241" s="13"/>
      <c r="AB241" s="13">
        <v>4860293</v>
      </c>
      <c r="AC241" s="15"/>
      <c r="AD241" s="49">
        <v>6477211</v>
      </c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</row>
    <row r="242" spans="1:46" ht="45" customHeight="1">
      <c r="A242" s="21" t="s">
        <v>2308</v>
      </c>
      <c r="B242" s="22" t="s">
        <v>2309</v>
      </c>
      <c r="C242" s="23" t="s">
        <v>2310</v>
      </c>
      <c r="D242" s="24" t="s">
        <v>2311</v>
      </c>
      <c r="E242" s="30" t="s">
        <v>2312</v>
      </c>
      <c r="F242" s="24" t="s">
        <v>158</v>
      </c>
      <c r="G242" s="24" t="s">
        <v>159</v>
      </c>
      <c r="H242" s="30"/>
      <c r="I242" s="24" t="s">
        <v>149</v>
      </c>
      <c r="J242" s="24" t="s">
        <v>2313</v>
      </c>
      <c r="K242" s="24" t="s">
        <v>2314</v>
      </c>
      <c r="L242" s="24" t="s">
        <v>1927</v>
      </c>
      <c r="M242" s="59" t="s">
        <v>2315</v>
      </c>
      <c r="N242" s="22" t="s">
        <v>2316</v>
      </c>
      <c r="O242" s="26">
        <v>46071</v>
      </c>
      <c r="P242" s="24" t="s">
        <v>2317</v>
      </c>
      <c r="Q242" s="99" t="s">
        <v>2318</v>
      </c>
      <c r="R242" s="29">
        <v>16968</v>
      </c>
      <c r="S242" s="30">
        <f t="shared" si="5"/>
        <v>2748816</v>
      </c>
      <c r="T242" s="21" t="s">
        <v>70</v>
      </c>
      <c r="U242" s="24"/>
      <c r="V242" s="30">
        <f>S242</f>
        <v>2748816</v>
      </c>
      <c r="W242" s="24" t="s">
        <v>71</v>
      </c>
      <c r="X242" s="22"/>
      <c r="Y242" s="31">
        <v>3095621</v>
      </c>
      <c r="Z242" s="22"/>
      <c r="AA242" s="22">
        <v>4891029</v>
      </c>
      <c r="AB242" s="22"/>
      <c r="AC242" s="24">
        <v>5586881</v>
      </c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</row>
    <row r="243" spans="1:46" ht="45" customHeight="1">
      <c r="A243" s="12" t="s">
        <v>2319</v>
      </c>
      <c r="B243" s="13" t="s">
        <v>2320</v>
      </c>
      <c r="C243" s="14" t="s">
        <v>2321</v>
      </c>
      <c r="D243" s="15" t="s">
        <v>2322</v>
      </c>
      <c r="E243" s="15" t="s">
        <v>928</v>
      </c>
      <c r="F243" s="15" t="s">
        <v>181</v>
      </c>
      <c r="G243" s="15" t="s">
        <v>2323</v>
      </c>
      <c r="H243" s="15" t="s">
        <v>2324</v>
      </c>
      <c r="I243" s="15" t="s">
        <v>2325</v>
      </c>
      <c r="J243" s="15" t="s">
        <v>2323</v>
      </c>
      <c r="K243" s="15" t="s">
        <v>2324</v>
      </c>
      <c r="L243" s="15" t="s">
        <v>2325</v>
      </c>
      <c r="M243" s="46" t="s">
        <v>2326</v>
      </c>
      <c r="N243" s="13" t="s">
        <v>2327</v>
      </c>
      <c r="O243" s="13"/>
      <c r="P243" s="15" t="s">
        <v>94</v>
      </c>
      <c r="Q243" s="17" t="s">
        <v>2328</v>
      </c>
      <c r="R243" s="18">
        <v>213</v>
      </c>
      <c r="S243" s="19">
        <f t="shared" si="5"/>
        <v>34506</v>
      </c>
      <c r="T243" s="12" t="s">
        <v>46</v>
      </c>
      <c r="U243" s="15"/>
      <c r="V243" s="19">
        <v>44610</v>
      </c>
      <c r="W243" s="15" t="s">
        <v>71</v>
      </c>
      <c r="X243" s="13">
        <v>1022807</v>
      </c>
      <c r="Y243" s="20">
        <v>3081434</v>
      </c>
      <c r="Z243" s="13">
        <v>3888084</v>
      </c>
      <c r="AA243" s="13">
        <v>4651098</v>
      </c>
      <c r="AB243" s="13"/>
      <c r="AC243" s="15">
        <v>5536962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</row>
    <row r="244" spans="1:46" ht="45" customHeight="1">
      <c r="A244" s="12" t="s">
        <v>2329</v>
      </c>
      <c r="B244" s="13" t="s">
        <v>2330</v>
      </c>
      <c r="C244" s="14" t="s">
        <v>2331</v>
      </c>
      <c r="D244" s="15" t="s">
        <v>2332</v>
      </c>
      <c r="E244" s="15" t="s">
        <v>928</v>
      </c>
      <c r="F244" s="15" t="s">
        <v>181</v>
      </c>
      <c r="G244" s="15" t="s">
        <v>2333</v>
      </c>
      <c r="H244" s="15" t="s">
        <v>2334</v>
      </c>
      <c r="I244" s="15" t="s">
        <v>2325</v>
      </c>
      <c r="J244" s="15" t="s">
        <v>2333</v>
      </c>
      <c r="K244" s="15" t="s">
        <v>2334</v>
      </c>
      <c r="L244" s="15" t="s">
        <v>2325</v>
      </c>
      <c r="M244" s="16" t="s">
        <v>2335</v>
      </c>
      <c r="N244" s="13" t="s">
        <v>2336</v>
      </c>
      <c r="O244" s="13"/>
      <c r="P244" s="15" t="s">
        <v>94</v>
      </c>
      <c r="Q244" s="17" t="s">
        <v>2337</v>
      </c>
      <c r="R244" s="18">
        <v>107</v>
      </c>
      <c r="S244" s="19">
        <f t="shared" si="5"/>
        <v>17334</v>
      </c>
      <c r="T244" s="12" t="s">
        <v>46</v>
      </c>
      <c r="U244" s="15"/>
      <c r="V244" s="19">
        <v>44610</v>
      </c>
      <c r="W244" s="15"/>
      <c r="X244" s="13"/>
      <c r="Y244" s="20"/>
      <c r="Z244" s="13"/>
      <c r="AA244" s="13"/>
      <c r="AB244" s="13">
        <v>4896636</v>
      </c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</row>
    <row r="245" spans="1:46" ht="45" customHeight="1">
      <c r="A245" s="12" t="s">
        <v>2338</v>
      </c>
      <c r="B245" s="13" t="s">
        <v>2339</v>
      </c>
      <c r="C245" s="14" t="s">
        <v>2340</v>
      </c>
      <c r="D245" s="15" t="s">
        <v>2341</v>
      </c>
      <c r="E245" s="15" t="s">
        <v>2342</v>
      </c>
      <c r="F245" s="15" t="s">
        <v>204</v>
      </c>
      <c r="G245" s="15" t="s">
        <v>2343</v>
      </c>
      <c r="H245" s="15" t="s">
        <v>1446</v>
      </c>
      <c r="I245" s="15" t="s">
        <v>80</v>
      </c>
      <c r="J245" s="15" t="s">
        <v>2344</v>
      </c>
      <c r="K245" s="15" t="s">
        <v>1446</v>
      </c>
      <c r="L245" s="15" t="s">
        <v>80</v>
      </c>
      <c r="M245" s="16" t="s">
        <v>2345</v>
      </c>
      <c r="N245" s="13" t="s">
        <v>2346</v>
      </c>
      <c r="O245" s="13"/>
      <c r="P245" s="15" t="s">
        <v>94</v>
      </c>
      <c r="Q245" s="17" t="s">
        <v>2347</v>
      </c>
      <c r="R245" s="18">
        <v>179</v>
      </c>
      <c r="S245" s="19">
        <f t="shared" si="5"/>
        <v>28998</v>
      </c>
      <c r="T245" s="12" t="s">
        <v>46</v>
      </c>
      <c r="U245" s="15"/>
      <c r="V245" s="19">
        <v>44610</v>
      </c>
      <c r="W245" s="15"/>
      <c r="X245" s="13"/>
      <c r="Y245" s="20"/>
      <c r="Z245" s="13">
        <v>3906305</v>
      </c>
      <c r="AA245" s="13"/>
      <c r="AB245" s="13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</row>
    <row r="246" spans="1:46" ht="45" customHeight="1">
      <c r="A246" s="12" t="s">
        <v>2348</v>
      </c>
      <c r="B246" s="13" t="s">
        <v>2349</v>
      </c>
      <c r="C246" s="14" t="s">
        <v>2350</v>
      </c>
      <c r="D246" s="15" t="s">
        <v>2351</v>
      </c>
      <c r="E246" s="15" t="s">
        <v>1163</v>
      </c>
      <c r="F246" s="15" t="s">
        <v>402</v>
      </c>
      <c r="G246" s="15" t="s">
        <v>2352</v>
      </c>
      <c r="H246" s="15"/>
      <c r="I246" s="15" t="s">
        <v>149</v>
      </c>
      <c r="J246" s="15" t="s">
        <v>2352</v>
      </c>
      <c r="K246" s="15"/>
      <c r="L246" s="15" t="s">
        <v>149</v>
      </c>
      <c r="M246" s="16" t="s">
        <v>2353</v>
      </c>
      <c r="N246" s="13">
        <v>2616407510</v>
      </c>
      <c r="O246" s="13"/>
      <c r="P246" s="15" t="s">
        <v>94</v>
      </c>
      <c r="Q246" s="17" t="s">
        <v>2354</v>
      </c>
      <c r="R246" s="18">
        <v>355</v>
      </c>
      <c r="S246" s="19">
        <f t="shared" si="5"/>
        <v>57510</v>
      </c>
      <c r="T246" s="12" t="s">
        <v>46</v>
      </c>
      <c r="U246" s="15"/>
      <c r="V246" s="19">
        <v>44610</v>
      </c>
      <c r="W246" s="15"/>
      <c r="X246" s="13"/>
      <c r="Y246" s="20"/>
      <c r="Z246" s="13"/>
      <c r="AA246" s="13"/>
      <c r="AB246" s="13">
        <v>4906354</v>
      </c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</row>
    <row r="247" spans="1:46" ht="45" customHeight="1">
      <c r="A247" s="21" t="s">
        <v>2355</v>
      </c>
      <c r="B247" s="22" t="s">
        <v>2356</v>
      </c>
      <c r="C247" s="23" t="s">
        <v>2357</v>
      </c>
      <c r="D247" s="24" t="s">
        <v>2358</v>
      </c>
      <c r="E247" s="24" t="s">
        <v>2359</v>
      </c>
      <c r="F247" s="24" t="s">
        <v>204</v>
      </c>
      <c r="G247" s="24" t="s">
        <v>2360</v>
      </c>
      <c r="H247" s="24" t="s">
        <v>2361</v>
      </c>
      <c r="I247" s="24" t="s">
        <v>38</v>
      </c>
      <c r="J247" s="24" t="s">
        <v>2360</v>
      </c>
      <c r="K247" s="24" t="s">
        <v>2361</v>
      </c>
      <c r="L247" s="24" t="s">
        <v>38</v>
      </c>
      <c r="M247" s="43" t="s">
        <v>2362</v>
      </c>
      <c r="N247" s="22" t="s">
        <v>2363</v>
      </c>
      <c r="O247" s="119">
        <v>46236</v>
      </c>
      <c r="P247" s="24" t="s">
        <v>1224</v>
      </c>
      <c r="Q247" s="28" t="s">
        <v>2364</v>
      </c>
      <c r="R247" s="29">
        <v>13931</v>
      </c>
      <c r="S247" s="30">
        <f t="shared" si="5"/>
        <v>2256822</v>
      </c>
      <c r="T247" s="21" t="s">
        <v>70</v>
      </c>
      <c r="U247" s="24"/>
      <c r="V247" s="30">
        <f>+S247/2</f>
        <v>1128411</v>
      </c>
      <c r="W247" s="45" t="s">
        <v>71</v>
      </c>
      <c r="X247" s="22">
        <v>1035394</v>
      </c>
      <c r="Y247" s="31">
        <v>3121934</v>
      </c>
      <c r="Z247" s="22">
        <v>3903747</v>
      </c>
      <c r="AA247" s="22">
        <v>4750624</v>
      </c>
      <c r="AB247" s="22"/>
      <c r="AC247" s="45">
        <v>5637328</v>
      </c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</row>
    <row r="248" spans="1:46" ht="45" customHeight="1">
      <c r="A248" s="50" t="s">
        <v>2365</v>
      </c>
      <c r="B248" s="120" t="s">
        <v>2366</v>
      </c>
      <c r="C248" s="121" t="s">
        <v>2367</v>
      </c>
      <c r="D248" s="122" t="s">
        <v>2368</v>
      </c>
      <c r="E248" s="53" t="s">
        <v>1286</v>
      </c>
      <c r="F248" s="53" t="s">
        <v>77</v>
      </c>
      <c r="G248" s="123" t="s">
        <v>2369</v>
      </c>
      <c r="H248" s="53"/>
      <c r="I248" s="123" t="s">
        <v>38</v>
      </c>
      <c r="J248" s="53" t="s">
        <v>2370</v>
      </c>
      <c r="K248" s="53" t="s">
        <v>2371</v>
      </c>
      <c r="L248" s="53" t="s">
        <v>1279</v>
      </c>
      <c r="M248" s="124" t="s">
        <v>2372</v>
      </c>
      <c r="N248" s="120">
        <v>2613603562</v>
      </c>
      <c r="O248" s="51"/>
      <c r="P248" s="53" t="s">
        <v>94</v>
      </c>
      <c r="Q248" s="55" t="s">
        <v>2373</v>
      </c>
      <c r="R248" s="56">
        <v>24664.1</v>
      </c>
      <c r="S248" s="57">
        <f t="shared" si="5"/>
        <v>3995584.1999999997</v>
      </c>
      <c r="T248" s="50" t="s">
        <v>70</v>
      </c>
      <c r="U248" s="53"/>
      <c r="V248" s="57">
        <f>S248</f>
        <v>3995584.1999999997</v>
      </c>
      <c r="W248" s="53"/>
      <c r="X248" s="51"/>
      <c r="Y248" s="58"/>
      <c r="Z248" s="51">
        <v>3903604</v>
      </c>
      <c r="AA248" s="51"/>
      <c r="AB248" s="51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</row>
    <row r="249" spans="1:46" ht="45" customHeight="1">
      <c r="A249" s="12" t="s">
        <v>2374</v>
      </c>
      <c r="B249" s="13" t="s">
        <v>2375</v>
      </c>
      <c r="C249" s="14" t="s">
        <v>2376</v>
      </c>
      <c r="D249" s="15" t="s">
        <v>2377</v>
      </c>
      <c r="E249" s="15" t="s">
        <v>928</v>
      </c>
      <c r="F249" s="15" t="s">
        <v>181</v>
      </c>
      <c r="G249" s="15" t="s">
        <v>2378</v>
      </c>
      <c r="H249" s="15" t="s">
        <v>2379</v>
      </c>
      <c r="I249" s="15" t="s">
        <v>80</v>
      </c>
      <c r="J249" s="15" t="s">
        <v>2378</v>
      </c>
      <c r="K249" s="15" t="s">
        <v>2379</v>
      </c>
      <c r="L249" s="15" t="s">
        <v>80</v>
      </c>
      <c r="M249" s="46" t="s">
        <v>2380</v>
      </c>
      <c r="N249" s="13" t="s">
        <v>2381</v>
      </c>
      <c r="O249" s="13"/>
      <c r="P249" s="15" t="s">
        <v>117</v>
      </c>
      <c r="Q249" s="17" t="s">
        <v>2382</v>
      </c>
      <c r="R249" s="18">
        <v>437</v>
      </c>
      <c r="S249" s="19">
        <f t="shared" si="5"/>
        <v>70794</v>
      </c>
      <c r="T249" s="12" t="s">
        <v>46</v>
      </c>
      <c r="U249" s="15"/>
      <c r="V249" s="19">
        <v>44610</v>
      </c>
      <c r="W249" s="15" t="s">
        <v>71</v>
      </c>
      <c r="X249" s="13">
        <v>1010938</v>
      </c>
      <c r="Y249" s="20">
        <v>3091565</v>
      </c>
      <c r="Z249" s="13">
        <v>3880914</v>
      </c>
      <c r="AA249" s="13">
        <v>4745062</v>
      </c>
      <c r="AB249" s="13"/>
      <c r="AC249" s="15">
        <v>5606476</v>
      </c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</row>
    <row r="250" spans="1:46" ht="45" customHeight="1">
      <c r="A250" s="12" t="s">
        <v>2383</v>
      </c>
      <c r="B250" s="13" t="s">
        <v>2384</v>
      </c>
      <c r="C250" s="14" t="s">
        <v>2385</v>
      </c>
      <c r="D250" s="15" t="s">
        <v>2386</v>
      </c>
      <c r="E250" s="15" t="s">
        <v>2387</v>
      </c>
      <c r="F250" s="15" t="s">
        <v>147</v>
      </c>
      <c r="G250" s="15" t="s">
        <v>2388</v>
      </c>
      <c r="H250" s="15" t="s">
        <v>52</v>
      </c>
      <c r="I250" s="15" t="s">
        <v>53</v>
      </c>
      <c r="J250" s="15" t="s">
        <v>2388</v>
      </c>
      <c r="K250" s="15"/>
      <c r="L250" s="15" t="s">
        <v>206</v>
      </c>
      <c r="M250" s="16" t="s">
        <v>2389</v>
      </c>
      <c r="N250" s="13">
        <v>4307523</v>
      </c>
      <c r="O250" s="13"/>
      <c r="P250" s="15" t="s">
        <v>566</v>
      </c>
      <c r="Q250" s="17" t="s">
        <v>2390</v>
      </c>
      <c r="R250" s="18">
        <v>583</v>
      </c>
      <c r="S250" s="19">
        <f t="shared" si="5"/>
        <v>94446</v>
      </c>
      <c r="T250" s="12" t="s">
        <v>46</v>
      </c>
      <c r="U250" s="15"/>
      <c r="V250" s="19">
        <v>44610</v>
      </c>
      <c r="W250" s="49" t="s">
        <v>71</v>
      </c>
      <c r="X250" s="13">
        <v>1126754</v>
      </c>
      <c r="Y250" s="20">
        <v>3099040</v>
      </c>
      <c r="Z250" s="13">
        <v>3902175</v>
      </c>
      <c r="AA250" s="13">
        <v>4757644</v>
      </c>
      <c r="AB250" s="13"/>
      <c r="AC250" s="49">
        <v>5637234</v>
      </c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</row>
    <row r="251" spans="1:46" ht="45" customHeight="1">
      <c r="A251" s="21" t="s">
        <v>2391</v>
      </c>
      <c r="B251" s="22" t="s">
        <v>2392</v>
      </c>
      <c r="C251" s="23" t="s">
        <v>2393</v>
      </c>
      <c r="D251" s="24" t="s">
        <v>2394</v>
      </c>
      <c r="E251" s="24" t="s">
        <v>2395</v>
      </c>
      <c r="F251" s="24" t="s">
        <v>77</v>
      </c>
      <c r="G251" s="24" t="s">
        <v>2396</v>
      </c>
      <c r="H251" s="24" t="s">
        <v>52</v>
      </c>
      <c r="I251" s="24" t="s">
        <v>53</v>
      </c>
      <c r="J251" s="24" t="s">
        <v>2397</v>
      </c>
      <c r="K251" s="24" t="s">
        <v>2398</v>
      </c>
      <c r="L251" s="24" t="s">
        <v>1058</v>
      </c>
      <c r="M251" s="76" t="s">
        <v>2399</v>
      </c>
      <c r="N251" s="22" t="s">
        <v>2400</v>
      </c>
      <c r="O251" s="22"/>
      <c r="P251" s="24" t="s">
        <v>2401</v>
      </c>
      <c r="Q251" s="28" t="s">
        <v>2402</v>
      </c>
      <c r="R251" s="29">
        <v>110408</v>
      </c>
      <c r="S251" s="30">
        <f t="shared" si="5"/>
        <v>17886096</v>
      </c>
      <c r="T251" s="21" t="s">
        <v>70</v>
      </c>
      <c r="U251" s="24"/>
      <c r="V251" s="30">
        <f>S251</f>
        <v>17886096</v>
      </c>
      <c r="W251" s="45" t="s">
        <v>71</v>
      </c>
      <c r="X251" s="22">
        <v>1137036</v>
      </c>
      <c r="Y251" s="31">
        <v>3119662</v>
      </c>
      <c r="Z251" s="22">
        <v>3907108</v>
      </c>
      <c r="AA251" s="22">
        <v>4752609</v>
      </c>
      <c r="AB251" s="22"/>
      <c r="AC251" s="45">
        <v>5635409</v>
      </c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</row>
    <row r="252" spans="1:46" ht="45" customHeight="1">
      <c r="A252" s="12" t="s">
        <v>2403</v>
      </c>
      <c r="B252" s="13" t="s">
        <v>2404</v>
      </c>
      <c r="C252" s="14" t="s">
        <v>2405</v>
      </c>
      <c r="D252" s="15" t="s">
        <v>2406</v>
      </c>
      <c r="E252" s="15" t="s">
        <v>2407</v>
      </c>
      <c r="F252" s="15" t="s">
        <v>181</v>
      </c>
      <c r="G252" s="15" t="s">
        <v>2408</v>
      </c>
      <c r="H252" s="15" t="s">
        <v>1878</v>
      </c>
      <c r="I252" s="15" t="s">
        <v>80</v>
      </c>
      <c r="J252" s="15" t="s">
        <v>2408</v>
      </c>
      <c r="K252" s="15" t="s">
        <v>1878</v>
      </c>
      <c r="L252" s="15" t="s">
        <v>80</v>
      </c>
      <c r="M252" s="16" t="s">
        <v>2409</v>
      </c>
      <c r="N252" s="13">
        <v>2613467907</v>
      </c>
      <c r="O252" s="13"/>
      <c r="P252" s="15" t="s">
        <v>94</v>
      </c>
      <c r="Q252" s="17" t="s">
        <v>2410</v>
      </c>
      <c r="R252" s="18">
        <v>271</v>
      </c>
      <c r="S252" s="19">
        <f t="shared" si="5"/>
        <v>43902</v>
      </c>
      <c r="T252" s="12" t="s">
        <v>46</v>
      </c>
      <c r="U252" s="15"/>
      <c r="V252" s="19">
        <v>44610</v>
      </c>
      <c r="W252" s="15" t="s">
        <v>71</v>
      </c>
      <c r="X252" s="13">
        <v>1032626</v>
      </c>
      <c r="Y252" s="20">
        <v>3073182</v>
      </c>
      <c r="Z252" s="13">
        <v>3826793</v>
      </c>
      <c r="AA252" s="13">
        <v>4666593</v>
      </c>
      <c r="AB252" s="13"/>
      <c r="AC252" s="15">
        <v>5531144</v>
      </c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</row>
    <row r="253" spans="1:46" ht="45" customHeight="1">
      <c r="A253" s="12" t="s">
        <v>2411</v>
      </c>
      <c r="B253" s="13" t="s">
        <v>2412</v>
      </c>
      <c r="C253" s="14" t="s">
        <v>2413</v>
      </c>
      <c r="D253" s="15" t="s">
        <v>2414</v>
      </c>
      <c r="E253" s="15" t="s">
        <v>1876</v>
      </c>
      <c r="F253" s="15" t="s">
        <v>111</v>
      </c>
      <c r="G253" s="15" t="s">
        <v>2415</v>
      </c>
      <c r="H253" s="15" t="s">
        <v>125</v>
      </c>
      <c r="I253" s="15" t="s">
        <v>115</v>
      </c>
      <c r="J253" s="15" t="s">
        <v>2415</v>
      </c>
      <c r="K253" s="15" t="s">
        <v>125</v>
      </c>
      <c r="L253" s="15" t="s">
        <v>115</v>
      </c>
      <c r="M253" s="46" t="s">
        <v>2416</v>
      </c>
      <c r="N253" s="13" t="s">
        <v>2417</v>
      </c>
      <c r="O253" s="13"/>
      <c r="P253" s="15" t="s">
        <v>44</v>
      </c>
      <c r="Q253" s="17" t="s">
        <v>2418</v>
      </c>
      <c r="R253" s="18">
        <v>49</v>
      </c>
      <c r="S253" s="19">
        <f t="shared" si="5"/>
        <v>7938</v>
      </c>
      <c r="T253" s="12" t="s">
        <v>46</v>
      </c>
      <c r="U253" s="15"/>
      <c r="V253" s="19">
        <v>44610</v>
      </c>
      <c r="W253" s="49" t="s">
        <v>71</v>
      </c>
      <c r="X253" s="13">
        <v>1030186</v>
      </c>
      <c r="Y253" s="20">
        <v>3113864</v>
      </c>
      <c r="Z253" s="13">
        <v>3884698</v>
      </c>
      <c r="AA253" s="13">
        <v>4734658</v>
      </c>
      <c r="AB253" s="13"/>
      <c r="AC253" s="49">
        <v>5622522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</row>
    <row r="254" spans="1:46" ht="45" customHeight="1">
      <c r="A254" s="21" t="s">
        <v>2419</v>
      </c>
      <c r="B254" s="22" t="s">
        <v>2420</v>
      </c>
      <c r="C254" s="23" t="s">
        <v>2421</v>
      </c>
      <c r="D254" s="24" t="s">
        <v>1921</v>
      </c>
      <c r="E254" s="24" t="s">
        <v>2422</v>
      </c>
      <c r="F254" s="24" t="s">
        <v>158</v>
      </c>
      <c r="G254" s="24" t="s">
        <v>2423</v>
      </c>
      <c r="H254" s="24" t="s">
        <v>2424</v>
      </c>
      <c r="I254" s="24" t="s">
        <v>38</v>
      </c>
      <c r="J254" s="24" t="s">
        <v>2423</v>
      </c>
      <c r="K254" s="24" t="s">
        <v>2424</v>
      </c>
      <c r="L254" s="24" t="s">
        <v>38</v>
      </c>
      <c r="M254" s="63" t="s">
        <v>2425</v>
      </c>
      <c r="N254" s="22" t="s">
        <v>2426</v>
      </c>
      <c r="O254" s="22"/>
      <c r="P254" s="24" t="s">
        <v>1870</v>
      </c>
      <c r="Q254" s="28" t="s">
        <v>2427</v>
      </c>
      <c r="R254" s="29">
        <v>12314</v>
      </c>
      <c r="S254" s="30">
        <f t="shared" si="5"/>
        <v>1994868</v>
      </c>
      <c r="T254" s="21" t="s">
        <v>70</v>
      </c>
      <c r="U254" s="24"/>
      <c r="V254" s="30">
        <f>S254</f>
        <v>1994868</v>
      </c>
      <c r="W254" s="24" t="s">
        <v>71</v>
      </c>
      <c r="X254" s="22">
        <v>1010037</v>
      </c>
      <c r="Y254" s="31">
        <v>3108147</v>
      </c>
      <c r="Z254" s="22">
        <v>3824120</v>
      </c>
      <c r="AA254" s="22">
        <v>4709301</v>
      </c>
      <c r="AB254" s="22"/>
      <c r="AC254" s="24">
        <v>5609990</v>
      </c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</row>
    <row r="255" spans="1:46" ht="51" customHeight="1">
      <c r="A255" s="21" t="s">
        <v>2428</v>
      </c>
      <c r="B255" s="22" t="s">
        <v>2429</v>
      </c>
      <c r="C255" s="23" t="s">
        <v>2430</v>
      </c>
      <c r="D255" s="24" t="s">
        <v>1321</v>
      </c>
      <c r="E255" s="24" t="s">
        <v>2431</v>
      </c>
      <c r="F255" s="24" t="s">
        <v>776</v>
      </c>
      <c r="G255" s="24" t="s">
        <v>2432</v>
      </c>
      <c r="H255" s="24" t="s">
        <v>630</v>
      </c>
      <c r="I255" s="24" t="s">
        <v>80</v>
      </c>
      <c r="J255" s="24" t="s">
        <v>2433</v>
      </c>
      <c r="K255" s="24" t="s">
        <v>1960</v>
      </c>
      <c r="L255" s="24" t="s">
        <v>38</v>
      </c>
      <c r="M255" s="59" t="s">
        <v>2434</v>
      </c>
      <c r="N255" s="13" t="s">
        <v>2435</v>
      </c>
      <c r="O255" s="22"/>
      <c r="P255" s="24" t="s">
        <v>408</v>
      </c>
      <c r="Q255" s="28" t="s">
        <v>2436</v>
      </c>
      <c r="R255" s="29">
        <v>1754</v>
      </c>
      <c r="S255" s="30">
        <f t="shared" si="5"/>
        <v>284148</v>
      </c>
      <c r="T255" s="21" t="s">
        <v>198</v>
      </c>
      <c r="U255" s="24"/>
      <c r="V255" s="30">
        <v>215940</v>
      </c>
      <c r="W255" s="24" t="s">
        <v>71</v>
      </c>
      <c r="X255" s="22">
        <v>1027481</v>
      </c>
      <c r="Y255" s="31"/>
      <c r="Z255" s="22">
        <v>3822411</v>
      </c>
      <c r="AA255" s="22">
        <v>4706921</v>
      </c>
      <c r="AB255" s="22"/>
      <c r="AC255" s="24">
        <v>5552881</v>
      </c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</row>
    <row r="256" spans="1:46" ht="45" customHeight="1">
      <c r="A256" s="12" t="s">
        <v>2437</v>
      </c>
      <c r="B256" s="13" t="s">
        <v>2438</v>
      </c>
      <c r="C256" s="14" t="s">
        <v>2439</v>
      </c>
      <c r="D256" s="15" t="s">
        <v>2440</v>
      </c>
      <c r="E256" s="15" t="s">
        <v>2441</v>
      </c>
      <c r="F256" s="15" t="s">
        <v>181</v>
      </c>
      <c r="G256" s="15" t="s">
        <v>2442</v>
      </c>
      <c r="H256" s="15"/>
      <c r="I256" s="15" t="s">
        <v>149</v>
      </c>
      <c r="J256" s="15" t="s">
        <v>2442</v>
      </c>
      <c r="K256" s="15"/>
      <c r="L256" s="15" t="s">
        <v>149</v>
      </c>
      <c r="M256" s="46" t="s">
        <v>2443</v>
      </c>
      <c r="N256" s="13" t="s">
        <v>2444</v>
      </c>
      <c r="O256" s="13"/>
      <c r="P256" s="15" t="s">
        <v>94</v>
      </c>
      <c r="Q256" s="17" t="s">
        <v>2445</v>
      </c>
      <c r="R256" s="18">
        <v>103</v>
      </c>
      <c r="S256" s="19">
        <f t="shared" si="5"/>
        <v>16686</v>
      </c>
      <c r="T256" s="12" t="s">
        <v>46</v>
      </c>
      <c r="U256" s="15"/>
      <c r="V256" s="19">
        <v>44610</v>
      </c>
      <c r="W256" s="15" t="s">
        <v>71</v>
      </c>
      <c r="X256" s="13">
        <v>1013242</v>
      </c>
      <c r="Y256" s="20">
        <v>3081428</v>
      </c>
      <c r="Z256" s="13">
        <v>3795342</v>
      </c>
      <c r="AA256" s="13">
        <v>4725320</v>
      </c>
      <c r="AB256" s="13"/>
      <c r="AC256" s="15">
        <v>5493528</v>
      </c>
      <c r="AD256" s="49">
        <v>6482524</v>
      </c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</row>
    <row r="257" spans="1:46" ht="45" customHeight="1">
      <c r="A257" s="12" t="s">
        <v>2446</v>
      </c>
      <c r="B257" s="13" t="s">
        <v>2447</v>
      </c>
      <c r="C257" s="14" t="s">
        <v>2448</v>
      </c>
      <c r="D257" s="15" t="s">
        <v>2449</v>
      </c>
      <c r="E257" s="15" t="s">
        <v>1849</v>
      </c>
      <c r="F257" s="15" t="s">
        <v>181</v>
      </c>
      <c r="G257" s="15" t="s">
        <v>2450</v>
      </c>
      <c r="H257" s="15"/>
      <c r="I257" s="15" t="s">
        <v>149</v>
      </c>
      <c r="J257" s="15" t="s">
        <v>2451</v>
      </c>
      <c r="K257" s="15"/>
      <c r="L257" s="15" t="s">
        <v>149</v>
      </c>
      <c r="M257" s="46" t="s">
        <v>2452</v>
      </c>
      <c r="N257" s="13">
        <v>2615559059</v>
      </c>
      <c r="O257" s="13"/>
      <c r="P257" s="15" t="s">
        <v>44</v>
      </c>
      <c r="Q257" s="17" t="s">
        <v>2453</v>
      </c>
      <c r="R257" s="18">
        <v>87</v>
      </c>
      <c r="S257" s="19">
        <f t="shared" si="5"/>
        <v>14094</v>
      </c>
      <c r="T257" s="12" t="s">
        <v>46</v>
      </c>
      <c r="U257" s="15"/>
      <c r="V257" s="19">
        <v>44610</v>
      </c>
      <c r="W257" s="15"/>
      <c r="X257" s="13"/>
      <c r="Y257" s="20"/>
      <c r="Z257" s="13"/>
      <c r="AA257" s="13">
        <v>4724505</v>
      </c>
      <c r="AB257" s="13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</row>
    <row r="258" spans="1:46" ht="45" customHeight="1">
      <c r="A258" s="21" t="s">
        <v>2454</v>
      </c>
      <c r="B258" s="22" t="s">
        <v>2455</v>
      </c>
      <c r="C258" s="23" t="s">
        <v>2456</v>
      </c>
      <c r="D258" s="24" t="s">
        <v>2457</v>
      </c>
      <c r="E258" s="24" t="s">
        <v>2458</v>
      </c>
      <c r="F258" s="24" t="s">
        <v>77</v>
      </c>
      <c r="G258" s="24" t="s">
        <v>2459</v>
      </c>
      <c r="H258" s="24" t="s">
        <v>2232</v>
      </c>
      <c r="I258" s="24" t="s">
        <v>38</v>
      </c>
      <c r="J258" s="24" t="s">
        <v>2459</v>
      </c>
      <c r="K258" s="24" t="s">
        <v>2232</v>
      </c>
      <c r="L258" s="24" t="s">
        <v>38</v>
      </c>
      <c r="M258" s="59" t="s">
        <v>2460</v>
      </c>
      <c r="N258" s="22" t="s">
        <v>2461</v>
      </c>
      <c r="O258" s="22"/>
      <c r="P258" s="24" t="s">
        <v>1381</v>
      </c>
      <c r="Q258" s="28" t="s">
        <v>2462</v>
      </c>
      <c r="R258" s="29">
        <v>937</v>
      </c>
      <c r="S258" s="30">
        <f t="shared" si="5"/>
        <v>151794</v>
      </c>
      <c r="T258" s="21" t="s">
        <v>252</v>
      </c>
      <c r="U258" s="24"/>
      <c r="V258" s="30">
        <v>123900</v>
      </c>
      <c r="W258" s="24" t="s">
        <v>71</v>
      </c>
      <c r="X258" s="22">
        <v>1019897</v>
      </c>
      <c r="Y258" s="31">
        <v>3067168</v>
      </c>
      <c r="Z258" s="22"/>
      <c r="AA258" s="22">
        <v>4671548</v>
      </c>
      <c r="AB258" s="22"/>
      <c r="AC258" s="24">
        <v>5531151</v>
      </c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</row>
    <row r="259" spans="1:46" ht="45" customHeight="1">
      <c r="A259" s="12" t="s">
        <v>2463</v>
      </c>
      <c r="B259" s="13" t="s">
        <v>2464</v>
      </c>
      <c r="C259" s="14" t="s">
        <v>2465</v>
      </c>
      <c r="D259" s="15" t="s">
        <v>2466</v>
      </c>
      <c r="E259" s="15" t="s">
        <v>2467</v>
      </c>
      <c r="F259" s="15" t="s">
        <v>181</v>
      </c>
      <c r="G259" s="15" t="s">
        <v>2468</v>
      </c>
      <c r="H259" s="15" t="s">
        <v>114</v>
      </c>
      <c r="I259" s="15" t="s">
        <v>115</v>
      </c>
      <c r="J259" s="15" t="s">
        <v>2469</v>
      </c>
      <c r="K259" s="15" t="s">
        <v>2470</v>
      </c>
      <c r="L259" s="15" t="s">
        <v>115</v>
      </c>
      <c r="M259" s="74" t="s">
        <v>2471</v>
      </c>
      <c r="N259" s="13" t="s">
        <v>2472</v>
      </c>
      <c r="O259" s="13"/>
      <c r="P259" s="15" t="s">
        <v>94</v>
      </c>
      <c r="Q259" s="17" t="s">
        <v>2473</v>
      </c>
      <c r="R259" s="18">
        <v>363</v>
      </c>
      <c r="S259" s="19">
        <f t="shared" si="5"/>
        <v>58806</v>
      </c>
      <c r="T259" s="12" t="s">
        <v>46</v>
      </c>
      <c r="U259" s="15"/>
      <c r="V259" s="19">
        <v>44610</v>
      </c>
      <c r="W259" s="49" t="s">
        <v>71</v>
      </c>
      <c r="X259" s="13"/>
      <c r="Y259" s="20"/>
      <c r="Z259" s="13">
        <v>3903886</v>
      </c>
      <c r="AA259" s="13"/>
      <c r="AB259" s="13"/>
      <c r="AC259" s="49">
        <v>5627692</v>
      </c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</row>
    <row r="260" spans="1:46" ht="45" customHeight="1">
      <c r="A260" s="12" t="s">
        <v>2474</v>
      </c>
      <c r="B260" s="13" t="s">
        <v>2475</v>
      </c>
      <c r="C260" s="14" t="s">
        <v>2476</v>
      </c>
      <c r="D260" s="15" t="s">
        <v>2466</v>
      </c>
      <c r="E260" s="15" t="s">
        <v>2467</v>
      </c>
      <c r="F260" s="15" t="s">
        <v>181</v>
      </c>
      <c r="G260" s="15" t="s">
        <v>2468</v>
      </c>
      <c r="H260" s="15" t="s">
        <v>114</v>
      </c>
      <c r="I260" s="15" t="s">
        <v>115</v>
      </c>
      <c r="J260" s="15" t="s">
        <v>2477</v>
      </c>
      <c r="K260" s="15" t="s">
        <v>2470</v>
      </c>
      <c r="L260" s="15" t="s">
        <v>115</v>
      </c>
      <c r="M260" s="67" t="s">
        <v>2471</v>
      </c>
      <c r="N260" s="13">
        <v>4259273</v>
      </c>
      <c r="O260" s="13"/>
      <c r="P260" s="15" t="s">
        <v>94</v>
      </c>
      <c r="Q260" s="17" t="s">
        <v>2478</v>
      </c>
      <c r="R260" s="18">
        <v>537</v>
      </c>
      <c r="S260" s="19">
        <f t="shared" si="5"/>
        <v>86994</v>
      </c>
      <c r="T260" s="12" t="s">
        <v>46</v>
      </c>
      <c r="U260" s="15"/>
      <c r="V260" s="19">
        <v>44610</v>
      </c>
      <c r="W260" s="49" t="s">
        <v>71</v>
      </c>
      <c r="X260" s="13"/>
      <c r="Y260" s="20"/>
      <c r="Z260" s="13">
        <v>3903887</v>
      </c>
      <c r="AA260" s="13"/>
      <c r="AB260" s="13"/>
      <c r="AC260" s="49">
        <v>5627527</v>
      </c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</row>
    <row r="261" spans="1:46" ht="45" customHeight="1">
      <c r="A261" s="12" t="s">
        <v>2479</v>
      </c>
      <c r="B261" s="13" t="s">
        <v>2480</v>
      </c>
      <c r="C261" s="14" t="s">
        <v>2481</v>
      </c>
      <c r="D261" s="15" t="s">
        <v>2466</v>
      </c>
      <c r="E261" s="15" t="s">
        <v>2467</v>
      </c>
      <c r="F261" s="15" t="s">
        <v>181</v>
      </c>
      <c r="G261" s="15" t="s">
        <v>2468</v>
      </c>
      <c r="H261" s="15" t="s">
        <v>114</v>
      </c>
      <c r="I261" s="15" t="s">
        <v>115</v>
      </c>
      <c r="J261" s="15" t="s">
        <v>2482</v>
      </c>
      <c r="K261" s="15" t="s">
        <v>291</v>
      </c>
      <c r="L261" s="15" t="s">
        <v>115</v>
      </c>
      <c r="M261" s="74" t="s">
        <v>2471</v>
      </c>
      <c r="N261" s="13" t="s">
        <v>2483</v>
      </c>
      <c r="O261" s="13"/>
      <c r="P261" s="15" t="s">
        <v>94</v>
      </c>
      <c r="Q261" s="17" t="s">
        <v>2484</v>
      </c>
      <c r="R261" s="18">
        <v>426</v>
      </c>
      <c r="S261" s="19">
        <f t="shared" si="5"/>
        <v>69012</v>
      </c>
      <c r="T261" s="12" t="s">
        <v>46</v>
      </c>
      <c r="U261" s="15"/>
      <c r="V261" s="19">
        <v>44610</v>
      </c>
      <c r="W261" s="49" t="s">
        <v>71</v>
      </c>
      <c r="X261" s="13"/>
      <c r="Y261" s="20"/>
      <c r="Z261" s="13">
        <v>3903869</v>
      </c>
      <c r="AA261" s="13"/>
      <c r="AB261" s="13"/>
      <c r="AC261" s="49">
        <v>5626805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</row>
    <row r="262" spans="1:46" ht="45" customHeight="1">
      <c r="A262" s="12" t="s">
        <v>2485</v>
      </c>
      <c r="B262" s="13" t="s">
        <v>2486</v>
      </c>
      <c r="C262" s="14" t="s">
        <v>2487</v>
      </c>
      <c r="D262" s="15" t="s">
        <v>2466</v>
      </c>
      <c r="E262" s="15" t="s">
        <v>2488</v>
      </c>
      <c r="F262" s="15" t="s">
        <v>181</v>
      </c>
      <c r="G262" s="15" t="s">
        <v>2468</v>
      </c>
      <c r="H262" s="15" t="s">
        <v>114</v>
      </c>
      <c r="I262" s="15" t="s">
        <v>115</v>
      </c>
      <c r="J262" s="15" t="s">
        <v>2489</v>
      </c>
      <c r="K262" s="15"/>
      <c r="L262" s="15" t="s">
        <v>65</v>
      </c>
      <c r="M262" s="74" t="s">
        <v>2471</v>
      </c>
      <c r="N262" s="13" t="s">
        <v>2490</v>
      </c>
      <c r="O262" s="13"/>
      <c r="P262" s="15" t="s">
        <v>94</v>
      </c>
      <c r="Q262" s="17" t="s">
        <v>2491</v>
      </c>
      <c r="R262" s="18">
        <v>386</v>
      </c>
      <c r="S262" s="19">
        <f t="shared" si="5"/>
        <v>62532</v>
      </c>
      <c r="T262" s="12" t="s">
        <v>46</v>
      </c>
      <c r="U262" s="15"/>
      <c r="V262" s="19">
        <v>44610</v>
      </c>
      <c r="W262" s="49" t="s">
        <v>2492</v>
      </c>
      <c r="X262" s="13"/>
      <c r="Y262" s="20"/>
      <c r="Z262" s="13">
        <v>3903889</v>
      </c>
      <c r="AA262" s="13"/>
      <c r="AB262" s="13"/>
      <c r="AC262" s="49">
        <v>5627827</v>
      </c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</row>
    <row r="263" spans="1:46" ht="45" customHeight="1">
      <c r="A263" s="12" t="s">
        <v>2493</v>
      </c>
      <c r="B263" s="13" t="s">
        <v>2494</v>
      </c>
      <c r="C263" s="14" t="s">
        <v>2495</v>
      </c>
      <c r="D263" s="15" t="s">
        <v>2466</v>
      </c>
      <c r="E263" s="15" t="s">
        <v>2488</v>
      </c>
      <c r="F263" s="15" t="s">
        <v>181</v>
      </c>
      <c r="G263" s="15" t="s">
        <v>2468</v>
      </c>
      <c r="H263" s="15" t="s">
        <v>114</v>
      </c>
      <c r="I263" s="15" t="s">
        <v>115</v>
      </c>
      <c r="J263" s="15" t="s">
        <v>2496</v>
      </c>
      <c r="K263" s="15" t="s">
        <v>2497</v>
      </c>
      <c r="L263" s="15" t="s">
        <v>115</v>
      </c>
      <c r="M263" s="74" t="s">
        <v>2471</v>
      </c>
      <c r="N263" s="13" t="s">
        <v>2498</v>
      </c>
      <c r="O263" s="13"/>
      <c r="P263" s="15" t="s">
        <v>94</v>
      </c>
      <c r="Q263" s="17" t="s">
        <v>2499</v>
      </c>
      <c r="R263" s="18">
        <v>388</v>
      </c>
      <c r="S263" s="19">
        <f t="shared" si="5"/>
        <v>62856</v>
      </c>
      <c r="T263" s="12" t="s">
        <v>46</v>
      </c>
      <c r="U263" s="15"/>
      <c r="V263" s="19">
        <v>44610</v>
      </c>
      <c r="W263" s="49" t="s">
        <v>71</v>
      </c>
      <c r="X263" s="13"/>
      <c r="Y263" s="20"/>
      <c r="Z263" s="13">
        <v>3903888</v>
      </c>
      <c r="AA263" s="13"/>
      <c r="AB263" s="13"/>
      <c r="AC263" s="49">
        <v>5627411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</row>
    <row r="264" spans="1:46" ht="45" customHeight="1">
      <c r="A264" s="12" t="s">
        <v>2500</v>
      </c>
      <c r="B264" s="13" t="s">
        <v>2501</v>
      </c>
      <c r="C264" s="14" t="s">
        <v>2502</v>
      </c>
      <c r="D264" s="15" t="s">
        <v>2466</v>
      </c>
      <c r="E264" s="15" t="s">
        <v>2488</v>
      </c>
      <c r="F264" s="15" t="s">
        <v>181</v>
      </c>
      <c r="G264" s="15" t="s">
        <v>2468</v>
      </c>
      <c r="H264" s="15" t="s">
        <v>114</v>
      </c>
      <c r="I264" s="15" t="s">
        <v>115</v>
      </c>
      <c r="J264" s="15" t="s">
        <v>2503</v>
      </c>
      <c r="K264" s="15" t="s">
        <v>1013</v>
      </c>
      <c r="L264" s="15" t="s">
        <v>149</v>
      </c>
      <c r="M264" s="74" t="s">
        <v>2471</v>
      </c>
      <c r="N264" s="13">
        <v>2615431065</v>
      </c>
      <c r="O264" s="13"/>
      <c r="P264" s="15" t="s">
        <v>94</v>
      </c>
      <c r="Q264" s="17" t="s">
        <v>2504</v>
      </c>
      <c r="R264" s="18">
        <v>513</v>
      </c>
      <c r="S264" s="19">
        <f t="shared" si="5"/>
        <v>83106</v>
      </c>
      <c r="T264" s="12" t="s">
        <v>46</v>
      </c>
      <c r="U264" s="15"/>
      <c r="V264" s="19">
        <v>44610</v>
      </c>
      <c r="W264" s="49" t="s">
        <v>71</v>
      </c>
      <c r="X264" s="13"/>
      <c r="Y264" s="20"/>
      <c r="Z264" s="13">
        <v>3908331</v>
      </c>
      <c r="AA264" s="13"/>
      <c r="AB264" s="13"/>
      <c r="AC264" s="49">
        <v>5626089</v>
      </c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</row>
    <row r="265" spans="1:46" ht="45" customHeight="1">
      <c r="A265" s="12" t="s">
        <v>2505</v>
      </c>
      <c r="B265" s="13" t="s">
        <v>2506</v>
      </c>
      <c r="C265" s="14" t="s">
        <v>2507</v>
      </c>
      <c r="D265" s="15" t="s">
        <v>2466</v>
      </c>
      <c r="E265" s="15" t="s">
        <v>2488</v>
      </c>
      <c r="F265" s="15" t="s">
        <v>181</v>
      </c>
      <c r="G265" s="15" t="s">
        <v>2468</v>
      </c>
      <c r="H265" s="15" t="s">
        <v>114</v>
      </c>
      <c r="I265" s="15" t="s">
        <v>115</v>
      </c>
      <c r="J265" s="15" t="s">
        <v>2468</v>
      </c>
      <c r="K265" s="15" t="s">
        <v>114</v>
      </c>
      <c r="L265" s="15" t="s">
        <v>115</v>
      </c>
      <c r="M265" s="74" t="s">
        <v>2471</v>
      </c>
      <c r="N265" s="13" t="s">
        <v>2508</v>
      </c>
      <c r="O265" s="13"/>
      <c r="P265" s="15" t="s">
        <v>94</v>
      </c>
      <c r="Q265" s="17" t="s">
        <v>2509</v>
      </c>
      <c r="R265" s="18">
        <v>516</v>
      </c>
      <c r="S265" s="19">
        <f t="shared" si="5"/>
        <v>83592</v>
      </c>
      <c r="T265" s="12" t="s">
        <v>46</v>
      </c>
      <c r="U265" s="15"/>
      <c r="V265" s="19">
        <v>44610</v>
      </c>
      <c r="W265" s="49" t="s">
        <v>71</v>
      </c>
      <c r="X265" s="13"/>
      <c r="Y265" s="20"/>
      <c r="Z265" s="13">
        <v>3903828</v>
      </c>
      <c r="AA265" s="13">
        <v>4759764</v>
      </c>
      <c r="AB265" s="13"/>
      <c r="AC265" s="49">
        <v>5626275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</row>
    <row r="266" spans="1:46" ht="45" customHeight="1">
      <c r="A266" s="12" t="s">
        <v>2510</v>
      </c>
      <c r="B266" s="13" t="s">
        <v>2511</v>
      </c>
      <c r="C266" s="14" t="s">
        <v>2512</v>
      </c>
      <c r="D266" s="15" t="s">
        <v>2466</v>
      </c>
      <c r="E266" s="15" t="s">
        <v>2488</v>
      </c>
      <c r="F266" s="15" t="s">
        <v>181</v>
      </c>
      <c r="G266" s="15" t="s">
        <v>2468</v>
      </c>
      <c r="H266" s="15" t="s">
        <v>114</v>
      </c>
      <c r="I266" s="15" t="s">
        <v>115</v>
      </c>
      <c r="J266" s="15" t="s">
        <v>2513</v>
      </c>
      <c r="K266" s="15" t="s">
        <v>291</v>
      </c>
      <c r="L266" s="15" t="s">
        <v>115</v>
      </c>
      <c r="M266" s="74" t="s">
        <v>2471</v>
      </c>
      <c r="N266" s="13" t="s">
        <v>2514</v>
      </c>
      <c r="O266" s="13"/>
      <c r="P266" s="15" t="s">
        <v>94</v>
      </c>
      <c r="Q266" s="17" t="s">
        <v>2515</v>
      </c>
      <c r="R266" s="18">
        <v>379</v>
      </c>
      <c r="S266" s="19">
        <f t="shared" si="5"/>
        <v>61398</v>
      </c>
      <c r="T266" s="12" t="s">
        <v>46</v>
      </c>
      <c r="U266" s="15"/>
      <c r="V266" s="19">
        <v>44610</v>
      </c>
      <c r="W266" s="49" t="s">
        <v>71</v>
      </c>
      <c r="X266" s="13"/>
      <c r="Y266" s="20"/>
      <c r="Z266" s="13">
        <v>3908326</v>
      </c>
      <c r="AA266" s="13"/>
      <c r="AB266" s="13"/>
      <c r="AC266" s="49">
        <v>5626909</v>
      </c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</row>
    <row r="267" spans="1:46" ht="45" customHeight="1">
      <c r="A267" s="50" t="s">
        <v>2516</v>
      </c>
      <c r="B267" s="51" t="s">
        <v>2517</v>
      </c>
      <c r="C267" s="52" t="s">
        <v>2518</v>
      </c>
      <c r="D267" s="53" t="s">
        <v>2519</v>
      </c>
      <c r="E267" s="53" t="s">
        <v>2520</v>
      </c>
      <c r="F267" s="53" t="s">
        <v>147</v>
      </c>
      <c r="G267" s="53" t="s">
        <v>2521</v>
      </c>
      <c r="H267" s="53" t="s">
        <v>52</v>
      </c>
      <c r="I267" s="53" t="s">
        <v>53</v>
      </c>
      <c r="J267" s="53" t="s">
        <v>2521</v>
      </c>
      <c r="K267" s="53" t="s">
        <v>52</v>
      </c>
      <c r="L267" s="53" t="s">
        <v>206</v>
      </c>
      <c r="M267" s="54" t="s">
        <v>2522</v>
      </c>
      <c r="N267" s="51" t="s">
        <v>2523</v>
      </c>
      <c r="O267" s="51"/>
      <c r="P267" s="53" t="s">
        <v>151</v>
      </c>
      <c r="Q267" s="55" t="s">
        <v>2524</v>
      </c>
      <c r="R267" s="56">
        <v>21</v>
      </c>
      <c r="S267" s="57">
        <f t="shared" si="5"/>
        <v>3402</v>
      </c>
      <c r="T267" s="50" t="s">
        <v>46</v>
      </c>
      <c r="U267" s="53"/>
      <c r="V267" s="57">
        <v>44610</v>
      </c>
      <c r="W267" s="53"/>
      <c r="X267" s="51">
        <v>1019843</v>
      </c>
      <c r="Y267" s="58">
        <v>3073199</v>
      </c>
      <c r="Z267" s="51">
        <v>3843922</v>
      </c>
      <c r="AA267" s="51">
        <v>47709409</v>
      </c>
      <c r="AB267" s="51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</row>
    <row r="268" spans="1:46" ht="45" customHeight="1">
      <c r="A268" s="50" t="s">
        <v>2525</v>
      </c>
      <c r="B268" s="51" t="s">
        <v>2526</v>
      </c>
      <c r="C268" s="95" t="s">
        <v>2527</v>
      </c>
      <c r="D268" s="53" t="s">
        <v>2528</v>
      </c>
      <c r="E268" s="53" t="s">
        <v>2529</v>
      </c>
      <c r="F268" s="53" t="s">
        <v>204</v>
      </c>
      <c r="G268" s="53" t="s">
        <v>2530</v>
      </c>
      <c r="H268" s="53" t="s">
        <v>617</v>
      </c>
      <c r="I268" s="53" t="s">
        <v>38</v>
      </c>
      <c r="J268" s="53" t="s">
        <v>2530</v>
      </c>
      <c r="K268" s="53" t="s">
        <v>617</v>
      </c>
      <c r="L268" s="53" t="s">
        <v>38</v>
      </c>
      <c r="M268" s="68" t="s">
        <v>2531</v>
      </c>
      <c r="N268" s="51">
        <v>4981388</v>
      </c>
      <c r="O268" s="51"/>
      <c r="P268" s="53" t="s">
        <v>305</v>
      </c>
      <c r="Q268" s="55" t="s">
        <v>2532</v>
      </c>
      <c r="R268" s="56">
        <v>10</v>
      </c>
      <c r="S268" s="57">
        <f t="shared" si="5"/>
        <v>1620</v>
      </c>
      <c r="T268" s="50" t="s">
        <v>46</v>
      </c>
      <c r="U268" s="53"/>
      <c r="V268" s="57">
        <v>44610</v>
      </c>
      <c r="W268" s="53"/>
      <c r="X268" s="51"/>
      <c r="Y268" s="58"/>
      <c r="Z268" s="51"/>
      <c r="AA268" s="51"/>
      <c r="AB268" s="51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</row>
    <row r="269" spans="1:46" ht="45" customHeight="1">
      <c r="A269" s="12" t="s">
        <v>2533</v>
      </c>
      <c r="B269" s="13" t="s">
        <v>2534</v>
      </c>
      <c r="C269" s="14" t="s">
        <v>2535</v>
      </c>
      <c r="D269" s="15" t="s">
        <v>2536</v>
      </c>
      <c r="E269" s="15" t="s">
        <v>247</v>
      </c>
      <c r="F269" s="15" t="s">
        <v>181</v>
      </c>
      <c r="G269" s="15" t="s">
        <v>2537</v>
      </c>
      <c r="H269" s="15"/>
      <c r="I269" s="15" t="s">
        <v>149</v>
      </c>
      <c r="J269" s="15" t="s">
        <v>2538</v>
      </c>
      <c r="K269" s="15" t="s">
        <v>2539</v>
      </c>
      <c r="L269" s="15" t="s">
        <v>38</v>
      </c>
      <c r="M269" s="16" t="s">
        <v>2540</v>
      </c>
      <c r="N269" s="13">
        <v>4960373</v>
      </c>
      <c r="O269" s="13"/>
      <c r="P269" s="15" t="s">
        <v>94</v>
      </c>
      <c r="Q269" s="17" t="s">
        <v>2541</v>
      </c>
      <c r="R269" s="18">
        <v>373</v>
      </c>
      <c r="S269" s="19">
        <f t="shared" si="5"/>
        <v>60426</v>
      </c>
      <c r="T269" s="12" t="s">
        <v>46</v>
      </c>
      <c r="U269" s="15"/>
      <c r="V269" s="19">
        <v>44610</v>
      </c>
      <c r="W269" s="15" t="s">
        <v>71</v>
      </c>
      <c r="X269" s="13">
        <v>1008746</v>
      </c>
      <c r="Y269" s="20">
        <v>3072847</v>
      </c>
      <c r="Z269" s="13"/>
      <c r="AA269" s="13">
        <v>4625100</v>
      </c>
      <c r="AB269" s="13"/>
      <c r="AC269" s="15">
        <v>5511608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</row>
    <row r="270" spans="1:46" ht="45" customHeight="1">
      <c r="A270" s="21" t="s">
        <v>2542</v>
      </c>
      <c r="B270" s="22" t="s">
        <v>2543</v>
      </c>
      <c r="C270" s="23" t="s">
        <v>2544</v>
      </c>
      <c r="D270" s="24" t="s">
        <v>2545</v>
      </c>
      <c r="E270" s="24" t="s">
        <v>2546</v>
      </c>
      <c r="F270" s="24" t="s">
        <v>77</v>
      </c>
      <c r="G270" s="24" t="s">
        <v>2547</v>
      </c>
      <c r="H270" s="24" t="s">
        <v>52</v>
      </c>
      <c r="I270" s="24" t="s">
        <v>53</v>
      </c>
      <c r="J270" s="24" t="s">
        <v>2548</v>
      </c>
      <c r="K270" s="24" t="s">
        <v>2549</v>
      </c>
      <c r="L270" s="24" t="s">
        <v>1058</v>
      </c>
      <c r="M270" s="25" t="s">
        <v>2550</v>
      </c>
      <c r="N270" s="22" t="s">
        <v>2551</v>
      </c>
      <c r="O270" s="22"/>
      <c r="P270" s="24" t="s">
        <v>94</v>
      </c>
      <c r="Q270" s="28" t="s">
        <v>2552</v>
      </c>
      <c r="R270" s="29">
        <v>7245.99</v>
      </c>
      <c r="S270" s="30">
        <f t="shared" si="5"/>
        <v>1173850.3799999999</v>
      </c>
      <c r="T270" s="21" t="s">
        <v>70</v>
      </c>
      <c r="U270" s="24"/>
      <c r="V270" s="30">
        <f>S270</f>
        <v>1173850.3799999999</v>
      </c>
      <c r="W270" s="24" t="s">
        <v>71</v>
      </c>
      <c r="X270" s="22"/>
      <c r="Y270" s="31">
        <v>3109437</v>
      </c>
      <c r="Z270" s="22"/>
      <c r="AA270" s="22"/>
      <c r="AB270" s="22">
        <v>4899842</v>
      </c>
      <c r="AC270" s="24">
        <v>5596644</v>
      </c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</row>
    <row r="271" spans="1:46" ht="45" customHeight="1">
      <c r="A271" s="12" t="s">
        <v>2553</v>
      </c>
      <c r="B271" s="13" t="s">
        <v>2554</v>
      </c>
      <c r="C271" s="14" t="s">
        <v>2555</v>
      </c>
      <c r="D271" s="15" t="s">
        <v>2556</v>
      </c>
      <c r="E271" s="15" t="s">
        <v>1809</v>
      </c>
      <c r="F271" s="15" t="s">
        <v>181</v>
      </c>
      <c r="G271" s="15" t="s">
        <v>2557</v>
      </c>
      <c r="H271" s="15" t="s">
        <v>2558</v>
      </c>
      <c r="I271" s="15" t="s">
        <v>80</v>
      </c>
      <c r="J271" s="15" t="s">
        <v>2559</v>
      </c>
      <c r="K271" s="15" t="s">
        <v>2558</v>
      </c>
      <c r="L271" s="15" t="s">
        <v>80</v>
      </c>
      <c r="M271" s="46" t="s">
        <v>2560</v>
      </c>
      <c r="N271" s="13">
        <v>4813069</v>
      </c>
      <c r="O271" s="13"/>
      <c r="P271" s="15" t="s">
        <v>44</v>
      </c>
      <c r="Q271" s="17" t="s">
        <v>2561</v>
      </c>
      <c r="R271" s="18">
        <v>149</v>
      </c>
      <c r="S271" s="19">
        <f t="shared" si="5"/>
        <v>24138</v>
      </c>
      <c r="T271" s="12" t="s">
        <v>46</v>
      </c>
      <c r="U271" s="15"/>
      <c r="V271" s="19">
        <v>44610</v>
      </c>
      <c r="W271" s="49" t="s">
        <v>71</v>
      </c>
      <c r="X271" s="13"/>
      <c r="Y271" s="20"/>
      <c r="Z271" s="13">
        <v>3893203</v>
      </c>
      <c r="AA271" s="13"/>
      <c r="AB271" s="13"/>
      <c r="AC271" s="49">
        <v>5622798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</row>
    <row r="272" spans="1:46" ht="45" customHeight="1">
      <c r="A272" s="12" t="s">
        <v>2562</v>
      </c>
      <c r="B272" s="13" t="s">
        <v>2563</v>
      </c>
      <c r="C272" s="14" t="s">
        <v>2564</v>
      </c>
      <c r="D272" s="15" t="s">
        <v>2565</v>
      </c>
      <c r="E272" s="15" t="s">
        <v>110</v>
      </c>
      <c r="F272" s="15" t="s">
        <v>111</v>
      </c>
      <c r="G272" s="15" t="s">
        <v>112</v>
      </c>
      <c r="H272" s="15" t="s">
        <v>52</v>
      </c>
      <c r="I272" s="15" t="s">
        <v>53</v>
      </c>
      <c r="J272" s="15" t="s">
        <v>2566</v>
      </c>
      <c r="K272" s="15" t="s">
        <v>2567</v>
      </c>
      <c r="L272" s="15" t="s">
        <v>206</v>
      </c>
      <c r="M272" s="46" t="s">
        <v>2568</v>
      </c>
      <c r="N272" s="13" t="s">
        <v>2273</v>
      </c>
      <c r="O272" s="13"/>
      <c r="P272" s="15" t="s">
        <v>408</v>
      </c>
      <c r="Q272" s="17" t="s">
        <v>2569</v>
      </c>
      <c r="R272" s="18">
        <v>422</v>
      </c>
      <c r="S272" s="19">
        <f t="shared" si="5"/>
        <v>68364</v>
      </c>
      <c r="T272" s="12" t="s">
        <v>46</v>
      </c>
      <c r="U272" s="15"/>
      <c r="V272" s="19">
        <v>44610</v>
      </c>
      <c r="W272" s="15" t="s">
        <v>71</v>
      </c>
      <c r="X272" s="13"/>
      <c r="Y272" s="20">
        <v>3083094</v>
      </c>
      <c r="Z272" s="13">
        <v>3887810</v>
      </c>
      <c r="AA272" s="13">
        <v>4701956</v>
      </c>
      <c r="AB272" s="13"/>
      <c r="AC272" s="15">
        <v>5529336</v>
      </c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</row>
    <row r="273" spans="1:46" ht="45" customHeight="1">
      <c r="A273" s="21" t="s">
        <v>2570</v>
      </c>
      <c r="B273" s="22" t="s">
        <v>2571</v>
      </c>
      <c r="C273" s="23" t="s">
        <v>2572</v>
      </c>
      <c r="D273" s="24" t="s">
        <v>2466</v>
      </c>
      <c r="E273" s="24" t="s">
        <v>2573</v>
      </c>
      <c r="F273" s="24" t="s">
        <v>181</v>
      </c>
      <c r="G273" s="24" t="s">
        <v>2468</v>
      </c>
      <c r="H273" s="24" t="s">
        <v>114</v>
      </c>
      <c r="I273" s="24" t="s">
        <v>115</v>
      </c>
      <c r="J273" s="24" t="s">
        <v>2574</v>
      </c>
      <c r="K273" s="24" t="s">
        <v>2575</v>
      </c>
      <c r="L273" s="24" t="s">
        <v>149</v>
      </c>
      <c r="M273" s="43" t="s">
        <v>2471</v>
      </c>
      <c r="N273" s="22" t="s">
        <v>2576</v>
      </c>
      <c r="O273" s="22"/>
      <c r="P273" s="24" t="s">
        <v>94</v>
      </c>
      <c r="Q273" s="28" t="s">
        <v>2577</v>
      </c>
      <c r="R273" s="29">
        <v>826</v>
      </c>
      <c r="S273" s="30">
        <f t="shared" si="5"/>
        <v>133812</v>
      </c>
      <c r="T273" s="21" t="s">
        <v>252</v>
      </c>
      <c r="U273" s="24"/>
      <c r="V273" s="30">
        <v>123900</v>
      </c>
      <c r="W273" s="45" t="s">
        <v>71</v>
      </c>
      <c r="X273" s="22"/>
      <c r="Y273" s="31"/>
      <c r="Z273" s="22">
        <v>3903885</v>
      </c>
      <c r="AA273" s="22"/>
      <c r="AB273" s="22"/>
      <c r="AC273" s="45">
        <v>5625645</v>
      </c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</row>
    <row r="274" spans="1:46" ht="45" customHeight="1">
      <c r="A274" s="40" t="s">
        <v>2578</v>
      </c>
      <c r="B274" s="33" t="s">
        <v>2579</v>
      </c>
      <c r="C274" s="34" t="s">
        <v>2580</v>
      </c>
      <c r="D274" s="35" t="s">
        <v>2581</v>
      </c>
      <c r="E274" s="35" t="s">
        <v>2582</v>
      </c>
      <c r="F274" s="35" t="s">
        <v>111</v>
      </c>
      <c r="G274" s="35" t="s">
        <v>2583</v>
      </c>
      <c r="H274" s="35"/>
      <c r="I274" s="35" t="s">
        <v>149</v>
      </c>
      <c r="J274" s="35" t="s">
        <v>2583</v>
      </c>
      <c r="K274" s="35"/>
      <c r="L274" s="35" t="s">
        <v>149</v>
      </c>
      <c r="M274" s="36" t="s">
        <v>2584</v>
      </c>
      <c r="N274" s="33">
        <v>4322566</v>
      </c>
      <c r="O274" s="33"/>
      <c r="P274" s="35" t="s">
        <v>44</v>
      </c>
      <c r="Q274" s="37" t="s">
        <v>2585</v>
      </c>
      <c r="R274" s="38">
        <v>46</v>
      </c>
      <c r="S274" s="39">
        <f t="shared" si="5"/>
        <v>7452</v>
      </c>
      <c r="T274" s="40" t="s">
        <v>46</v>
      </c>
      <c r="U274" s="35"/>
      <c r="V274" s="39">
        <v>44610</v>
      </c>
      <c r="W274" s="35"/>
      <c r="X274" s="33"/>
      <c r="Y274" s="41"/>
      <c r="Z274" s="33"/>
      <c r="AA274" s="33"/>
      <c r="AB274" s="33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</row>
    <row r="275" spans="1:46" ht="45" customHeight="1">
      <c r="A275" s="12" t="s">
        <v>2586</v>
      </c>
      <c r="B275" s="13" t="s">
        <v>2587</v>
      </c>
      <c r="C275" s="14" t="s">
        <v>2588</v>
      </c>
      <c r="D275" s="15" t="s">
        <v>2589</v>
      </c>
      <c r="E275" s="15" t="s">
        <v>1876</v>
      </c>
      <c r="F275" s="15" t="s">
        <v>111</v>
      </c>
      <c r="G275" s="15" t="s">
        <v>2590</v>
      </c>
      <c r="H275" s="15" t="s">
        <v>2591</v>
      </c>
      <c r="I275" s="15" t="s">
        <v>149</v>
      </c>
      <c r="J275" s="15" t="s">
        <v>2590</v>
      </c>
      <c r="K275" s="15" t="s">
        <v>2591</v>
      </c>
      <c r="L275" s="15" t="s">
        <v>149</v>
      </c>
      <c r="M275" s="46" t="s">
        <v>2592</v>
      </c>
      <c r="N275" s="13" t="s">
        <v>2593</v>
      </c>
      <c r="O275" s="13"/>
      <c r="P275" s="15" t="s">
        <v>44</v>
      </c>
      <c r="Q275" s="17" t="s">
        <v>2594</v>
      </c>
      <c r="R275" s="18">
        <v>37</v>
      </c>
      <c r="S275" s="19">
        <f t="shared" si="5"/>
        <v>5994</v>
      </c>
      <c r="T275" s="12" t="s">
        <v>46</v>
      </c>
      <c r="U275" s="15"/>
      <c r="V275" s="19">
        <v>44610</v>
      </c>
      <c r="W275" s="15" t="s">
        <v>71</v>
      </c>
      <c r="X275" s="13">
        <v>1042564</v>
      </c>
      <c r="Y275" s="20">
        <v>3113880</v>
      </c>
      <c r="Z275" s="13">
        <v>3896979</v>
      </c>
      <c r="AA275" s="13">
        <v>4753570</v>
      </c>
      <c r="AB275" s="13"/>
      <c r="AC275" s="15">
        <v>5609591</v>
      </c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</row>
    <row r="276" spans="1:46" ht="45" customHeight="1">
      <c r="A276" s="40" t="s">
        <v>2595</v>
      </c>
      <c r="B276" s="33" t="s">
        <v>2596</v>
      </c>
      <c r="C276" s="34" t="s">
        <v>2597</v>
      </c>
      <c r="D276" s="35" t="s">
        <v>2598</v>
      </c>
      <c r="E276" s="35" t="s">
        <v>2599</v>
      </c>
      <c r="F276" s="35" t="s">
        <v>204</v>
      </c>
      <c r="G276" s="35" t="s">
        <v>2600</v>
      </c>
      <c r="H276" s="35" t="s">
        <v>216</v>
      </c>
      <c r="I276" s="35" t="s">
        <v>149</v>
      </c>
      <c r="J276" s="35" t="s">
        <v>2600</v>
      </c>
      <c r="K276" s="35" t="s">
        <v>216</v>
      </c>
      <c r="L276" s="35" t="s">
        <v>149</v>
      </c>
      <c r="M276" s="36" t="s">
        <v>2601</v>
      </c>
      <c r="N276" s="33">
        <v>4321777</v>
      </c>
      <c r="O276" s="33"/>
      <c r="P276" s="35" t="s">
        <v>44</v>
      </c>
      <c r="Q276" s="37" t="s">
        <v>2602</v>
      </c>
      <c r="R276" s="38">
        <v>50</v>
      </c>
      <c r="S276" s="39">
        <f t="shared" si="5"/>
        <v>8100</v>
      </c>
      <c r="T276" s="40" t="s">
        <v>46</v>
      </c>
      <c r="U276" s="35"/>
      <c r="V276" s="39">
        <v>44610</v>
      </c>
      <c r="W276" s="35"/>
      <c r="X276" s="33"/>
      <c r="Y276" s="41"/>
      <c r="Z276" s="33"/>
      <c r="AA276" s="33"/>
      <c r="AB276" s="33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</row>
    <row r="277" spans="1:46" ht="45" customHeight="1">
      <c r="A277" s="12" t="s">
        <v>2603</v>
      </c>
      <c r="B277" s="13" t="s">
        <v>2604</v>
      </c>
      <c r="C277" s="14" t="s">
        <v>2605</v>
      </c>
      <c r="D277" s="15" t="s">
        <v>614</v>
      </c>
      <c r="E277" s="15" t="s">
        <v>615</v>
      </c>
      <c r="F277" s="15" t="s">
        <v>77</v>
      </c>
      <c r="G277" s="125" t="s">
        <v>2606</v>
      </c>
      <c r="H277" s="15" t="s">
        <v>2607</v>
      </c>
      <c r="I277" s="15" t="s">
        <v>38</v>
      </c>
      <c r="J277" s="15" t="s">
        <v>2608</v>
      </c>
      <c r="K277" s="15"/>
      <c r="L277" s="15" t="s">
        <v>1058</v>
      </c>
      <c r="M277" s="16" t="s">
        <v>2609</v>
      </c>
      <c r="N277" s="47" t="s">
        <v>2610</v>
      </c>
      <c r="O277" s="73">
        <v>46699</v>
      </c>
      <c r="P277" s="15" t="s">
        <v>1025</v>
      </c>
      <c r="Q277" s="17" t="s">
        <v>2611</v>
      </c>
      <c r="R277" s="18">
        <v>89</v>
      </c>
      <c r="S277" s="19">
        <f t="shared" si="5"/>
        <v>14418</v>
      </c>
      <c r="T277" s="12" t="s">
        <v>46</v>
      </c>
      <c r="U277" s="15"/>
      <c r="V277" s="19">
        <f>44610/2</f>
        <v>22305</v>
      </c>
      <c r="W277" s="15" t="s">
        <v>71</v>
      </c>
      <c r="X277" s="13"/>
      <c r="Y277" s="20"/>
      <c r="Z277" s="13">
        <v>3788952</v>
      </c>
      <c r="AA277" s="13">
        <v>4662920</v>
      </c>
      <c r="AB277" s="13"/>
      <c r="AC277" s="15">
        <v>5491697</v>
      </c>
      <c r="AD277" s="49">
        <v>6477252</v>
      </c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</row>
    <row r="278" spans="1:46" ht="45" customHeight="1">
      <c r="A278" s="12" t="s">
        <v>2612</v>
      </c>
      <c r="B278" s="13" t="s">
        <v>2613</v>
      </c>
      <c r="C278" s="14" t="s">
        <v>2614</v>
      </c>
      <c r="D278" s="15" t="s">
        <v>2536</v>
      </c>
      <c r="E278" s="15" t="s">
        <v>247</v>
      </c>
      <c r="F278" s="15" t="s">
        <v>181</v>
      </c>
      <c r="G278" s="15" t="s">
        <v>2615</v>
      </c>
      <c r="H278" s="15"/>
      <c r="I278" s="15" t="s">
        <v>149</v>
      </c>
      <c r="J278" s="15" t="s">
        <v>2615</v>
      </c>
      <c r="K278" s="15"/>
      <c r="L278" s="15" t="s">
        <v>149</v>
      </c>
      <c r="M278" s="16" t="s">
        <v>2616</v>
      </c>
      <c r="N278" s="13">
        <v>4243080</v>
      </c>
      <c r="O278" s="13"/>
      <c r="P278" s="15" t="s">
        <v>94</v>
      </c>
      <c r="Q278" s="17" t="s">
        <v>2617</v>
      </c>
      <c r="R278" s="18">
        <v>237</v>
      </c>
      <c r="S278" s="19">
        <f t="shared" si="5"/>
        <v>38394</v>
      </c>
      <c r="T278" s="12" t="s">
        <v>46</v>
      </c>
      <c r="U278" s="15"/>
      <c r="V278" s="19">
        <v>44610</v>
      </c>
      <c r="W278" s="15" t="s">
        <v>71</v>
      </c>
      <c r="X278" s="13">
        <v>1008679</v>
      </c>
      <c r="Y278" s="20">
        <v>3072742</v>
      </c>
      <c r="Z278" s="13"/>
      <c r="AA278" s="13">
        <v>4625088</v>
      </c>
      <c r="AB278" s="13"/>
      <c r="AC278" s="15">
        <v>5511615</v>
      </c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</row>
    <row r="279" spans="1:46" ht="45" customHeight="1">
      <c r="A279" s="12" t="s">
        <v>2618</v>
      </c>
      <c r="B279" s="13" t="s">
        <v>2619</v>
      </c>
      <c r="C279" s="14" t="s">
        <v>2620</v>
      </c>
      <c r="D279" s="15" t="s">
        <v>2621</v>
      </c>
      <c r="E279" s="15" t="s">
        <v>2622</v>
      </c>
      <c r="F279" s="15" t="s">
        <v>181</v>
      </c>
      <c r="G279" s="15" t="s">
        <v>2623</v>
      </c>
      <c r="H279" s="15" t="s">
        <v>114</v>
      </c>
      <c r="I279" s="15" t="s">
        <v>115</v>
      </c>
      <c r="J279" s="15" t="s">
        <v>2623</v>
      </c>
      <c r="K279" s="15" t="s">
        <v>114</v>
      </c>
      <c r="L279" s="15" t="s">
        <v>115</v>
      </c>
      <c r="M279" s="46" t="s">
        <v>2624</v>
      </c>
      <c r="N279" s="13" t="s">
        <v>2625</v>
      </c>
      <c r="O279" s="13"/>
      <c r="P279" s="15" t="s">
        <v>94</v>
      </c>
      <c r="Q279" s="17" t="s">
        <v>2626</v>
      </c>
      <c r="R279" s="18">
        <v>184</v>
      </c>
      <c r="S279" s="19">
        <f t="shared" si="5"/>
        <v>29808</v>
      </c>
      <c r="T279" s="12" t="s">
        <v>46</v>
      </c>
      <c r="U279" s="15"/>
      <c r="V279" s="19">
        <v>44610</v>
      </c>
      <c r="W279" s="49" t="s">
        <v>71</v>
      </c>
      <c r="X279" s="13">
        <v>1136400</v>
      </c>
      <c r="Y279" s="20">
        <v>3118243</v>
      </c>
      <c r="Z279" s="13">
        <v>3908332</v>
      </c>
      <c r="AA279" s="13">
        <v>4749638</v>
      </c>
      <c r="AB279" s="13"/>
      <c r="AC279" s="49">
        <v>5637450</v>
      </c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</row>
    <row r="280" spans="1:46" ht="45" customHeight="1">
      <c r="A280" s="12" t="s">
        <v>2627</v>
      </c>
      <c r="B280" s="13" t="s">
        <v>2628</v>
      </c>
      <c r="C280" s="14" t="s">
        <v>2629</v>
      </c>
      <c r="D280" s="15" t="s">
        <v>2630</v>
      </c>
      <c r="E280" s="15" t="s">
        <v>2573</v>
      </c>
      <c r="F280" s="15" t="s">
        <v>181</v>
      </c>
      <c r="G280" s="15" t="s">
        <v>2631</v>
      </c>
      <c r="H280" s="15" t="s">
        <v>671</v>
      </c>
      <c r="I280" s="15" t="s">
        <v>149</v>
      </c>
      <c r="J280" s="15" t="s">
        <v>2631</v>
      </c>
      <c r="K280" s="15" t="s">
        <v>671</v>
      </c>
      <c r="L280" s="15" t="s">
        <v>149</v>
      </c>
      <c r="M280" s="46" t="s">
        <v>2632</v>
      </c>
      <c r="N280" s="13">
        <v>4285362</v>
      </c>
      <c r="O280" s="13"/>
      <c r="P280" s="15" t="s">
        <v>94</v>
      </c>
      <c r="Q280" s="17" t="s">
        <v>2633</v>
      </c>
      <c r="R280" s="18">
        <v>552</v>
      </c>
      <c r="S280" s="19">
        <f t="shared" si="5"/>
        <v>89424</v>
      </c>
      <c r="T280" s="12" t="s">
        <v>46</v>
      </c>
      <c r="U280" s="15"/>
      <c r="V280" s="19">
        <v>44610</v>
      </c>
      <c r="W280" s="15" t="s">
        <v>71</v>
      </c>
      <c r="X280" s="13">
        <v>1044811</v>
      </c>
      <c r="Y280" s="20">
        <v>3071592</v>
      </c>
      <c r="Z280" s="13">
        <v>3790271</v>
      </c>
      <c r="AA280" s="13">
        <v>4738646</v>
      </c>
      <c r="AB280" s="13"/>
      <c r="AC280" s="15">
        <v>5584894</v>
      </c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</row>
    <row r="281" spans="1:46" ht="45" customHeight="1">
      <c r="A281" s="40" t="s">
        <v>2634</v>
      </c>
      <c r="B281" s="33" t="s">
        <v>2635</v>
      </c>
      <c r="C281" s="34" t="s">
        <v>2636</v>
      </c>
      <c r="D281" s="35" t="s">
        <v>2637</v>
      </c>
      <c r="E281" s="35" t="s">
        <v>1876</v>
      </c>
      <c r="F281" s="35" t="s">
        <v>111</v>
      </c>
      <c r="G281" s="35" t="s">
        <v>2638</v>
      </c>
      <c r="H281" s="35" t="s">
        <v>405</v>
      </c>
      <c r="I281" s="35" t="s">
        <v>115</v>
      </c>
      <c r="J281" s="35" t="s">
        <v>2638</v>
      </c>
      <c r="K281" s="35" t="s">
        <v>405</v>
      </c>
      <c r="L281" s="35" t="s">
        <v>115</v>
      </c>
      <c r="M281" s="36" t="s">
        <v>2639</v>
      </c>
      <c r="N281" s="33">
        <v>4910895</v>
      </c>
      <c r="O281" s="33"/>
      <c r="P281" s="35" t="s">
        <v>44</v>
      </c>
      <c r="Q281" s="37" t="s">
        <v>2640</v>
      </c>
      <c r="R281" s="38">
        <v>191</v>
      </c>
      <c r="S281" s="39">
        <f t="shared" si="5"/>
        <v>30942</v>
      </c>
      <c r="T281" s="40" t="s">
        <v>46</v>
      </c>
      <c r="U281" s="35"/>
      <c r="V281" s="39">
        <v>44610</v>
      </c>
      <c r="W281" s="35"/>
      <c r="X281" s="33"/>
      <c r="Y281" s="41"/>
      <c r="Z281" s="33"/>
      <c r="AA281" s="33"/>
      <c r="AB281" s="33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</row>
    <row r="282" spans="1:46" ht="45" customHeight="1">
      <c r="A282" s="12" t="s">
        <v>2641</v>
      </c>
      <c r="B282" s="13" t="s">
        <v>2642</v>
      </c>
      <c r="C282" s="14" t="s">
        <v>2643</v>
      </c>
      <c r="D282" s="15" t="s">
        <v>2466</v>
      </c>
      <c r="E282" s="15" t="s">
        <v>2467</v>
      </c>
      <c r="F282" s="15" t="s">
        <v>181</v>
      </c>
      <c r="G282" s="15" t="s">
        <v>2468</v>
      </c>
      <c r="H282" s="15" t="s">
        <v>114</v>
      </c>
      <c r="I282" s="15" t="s">
        <v>115</v>
      </c>
      <c r="J282" s="15" t="s">
        <v>2644</v>
      </c>
      <c r="K282" s="15" t="s">
        <v>544</v>
      </c>
      <c r="L282" s="15" t="s">
        <v>38</v>
      </c>
      <c r="M282" s="74" t="s">
        <v>2471</v>
      </c>
      <c r="N282" s="13" t="s">
        <v>2645</v>
      </c>
      <c r="O282" s="13"/>
      <c r="P282" s="15" t="s">
        <v>94</v>
      </c>
      <c r="Q282" s="17" t="s">
        <v>2646</v>
      </c>
      <c r="R282" s="18">
        <v>426</v>
      </c>
      <c r="S282" s="19">
        <f t="shared" si="5"/>
        <v>69012</v>
      </c>
      <c r="T282" s="12" t="s">
        <v>46</v>
      </c>
      <c r="U282" s="15"/>
      <c r="V282" s="19">
        <v>44610</v>
      </c>
      <c r="W282" s="49" t="s">
        <v>71</v>
      </c>
      <c r="X282" s="13"/>
      <c r="Y282" s="20"/>
      <c r="Z282" s="13">
        <v>3903881</v>
      </c>
      <c r="AA282" s="13"/>
      <c r="AB282" s="13"/>
      <c r="AC282" s="49">
        <v>5625363</v>
      </c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</row>
    <row r="283" spans="1:46" ht="45" customHeight="1">
      <c r="A283" s="126" t="s">
        <v>2647</v>
      </c>
      <c r="B283" s="127" t="s">
        <v>2648</v>
      </c>
      <c r="C283" s="14" t="s">
        <v>2649</v>
      </c>
      <c r="D283" s="128" t="s">
        <v>2650</v>
      </c>
      <c r="E283" s="128" t="s">
        <v>2622</v>
      </c>
      <c r="F283" s="128" t="s">
        <v>181</v>
      </c>
      <c r="G283" s="128" t="s">
        <v>2651</v>
      </c>
      <c r="H283" s="128" t="s">
        <v>2652</v>
      </c>
      <c r="I283" s="128" t="s">
        <v>321</v>
      </c>
      <c r="J283" s="128" t="s">
        <v>2651</v>
      </c>
      <c r="K283" s="128" t="s">
        <v>2652</v>
      </c>
      <c r="L283" s="128" t="s">
        <v>321</v>
      </c>
      <c r="M283" s="129" t="s">
        <v>2653</v>
      </c>
      <c r="N283" s="127" t="s">
        <v>2654</v>
      </c>
      <c r="O283" s="127"/>
      <c r="P283" s="128" t="s">
        <v>94</v>
      </c>
      <c r="Q283" s="130" t="s">
        <v>2655</v>
      </c>
      <c r="R283" s="131">
        <v>125</v>
      </c>
      <c r="S283" s="19">
        <f t="shared" si="5"/>
        <v>20250</v>
      </c>
      <c r="T283" s="126" t="s">
        <v>46</v>
      </c>
      <c r="U283" s="128"/>
      <c r="V283" s="19">
        <v>44610</v>
      </c>
      <c r="W283" s="128"/>
      <c r="X283" s="127">
        <v>1019744</v>
      </c>
      <c r="Y283" s="132">
        <v>3098514</v>
      </c>
      <c r="Z283" s="127">
        <v>3840974</v>
      </c>
      <c r="AA283" s="127"/>
      <c r="AB283" s="127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</row>
    <row r="284" spans="1:46" ht="45" customHeight="1">
      <c r="A284" s="21" t="s">
        <v>2656</v>
      </c>
      <c r="B284" s="22" t="s">
        <v>2657</v>
      </c>
      <c r="C284" s="23" t="s">
        <v>2658</v>
      </c>
      <c r="D284" s="24" t="s">
        <v>2659</v>
      </c>
      <c r="E284" s="24" t="s">
        <v>2467</v>
      </c>
      <c r="F284" s="24" t="s">
        <v>181</v>
      </c>
      <c r="G284" s="24" t="s">
        <v>2660</v>
      </c>
      <c r="H284" s="24" t="s">
        <v>52</v>
      </c>
      <c r="I284" s="24" t="s">
        <v>53</v>
      </c>
      <c r="J284" s="24" t="s">
        <v>2660</v>
      </c>
      <c r="K284" s="24"/>
      <c r="L284" s="24" t="s">
        <v>206</v>
      </c>
      <c r="M284" s="59" t="s">
        <v>2661</v>
      </c>
      <c r="N284" s="22">
        <v>4340202</v>
      </c>
      <c r="O284" s="22"/>
      <c r="P284" s="24" t="s">
        <v>94</v>
      </c>
      <c r="Q284" s="28" t="s">
        <v>2662</v>
      </c>
      <c r="R284" s="29">
        <v>657</v>
      </c>
      <c r="S284" s="30">
        <f t="shared" si="5"/>
        <v>106434</v>
      </c>
      <c r="T284" s="21" t="s">
        <v>252</v>
      </c>
      <c r="U284" s="24"/>
      <c r="V284" s="30">
        <v>123900</v>
      </c>
      <c r="W284" s="24" t="s">
        <v>71</v>
      </c>
      <c r="X284" s="22">
        <v>1037984</v>
      </c>
      <c r="Y284" s="31">
        <v>3088386</v>
      </c>
      <c r="Z284" s="22">
        <v>3820177</v>
      </c>
      <c r="AA284" s="22">
        <v>4652014</v>
      </c>
      <c r="AB284" s="22"/>
      <c r="AC284" s="24">
        <v>5534655</v>
      </c>
      <c r="AD284" s="45">
        <v>6477317</v>
      </c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</row>
    <row r="285" spans="1:46" ht="45" customHeight="1">
      <c r="A285" s="21" t="s">
        <v>2663</v>
      </c>
      <c r="B285" s="22" t="s">
        <v>2664</v>
      </c>
      <c r="C285" s="23" t="s">
        <v>2665</v>
      </c>
      <c r="D285" s="24" t="s">
        <v>2666</v>
      </c>
      <c r="E285" s="24" t="s">
        <v>2667</v>
      </c>
      <c r="F285" s="24" t="s">
        <v>2668</v>
      </c>
      <c r="G285" s="24" t="s">
        <v>2669</v>
      </c>
      <c r="H285" s="24" t="s">
        <v>291</v>
      </c>
      <c r="I285" s="24" t="s">
        <v>115</v>
      </c>
      <c r="J285" s="24" t="s">
        <v>2669</v>
      </c>
      <c r="K285" s="24" t="s">
        <v>291</v>
      </c>
      <c r="L285" s="24" t="s">
        <v>115</v>
      </c>
      <c r="M285" s="25" t="s">
        <v>2670</v>
      </c>
      <c r="N285" s="22" t="s">
        <v>2671</v>
      </c>
      <c r="O285" s="22"/>
      <c r="P285" s="24" t="s">
        <v>1381</v>
      </c>
      <c r="Q285" s="28" t="s">
        <v>2672</v>
      </c>
      <c r="R285" s="29">
        <v>5325</v>
      </c>
      <c r="S285" s="30">
        <f t="shared" si="5"/>
        <v>862650</v>
      </c>
      <c r="T285" s="21" t="s">
        <v>105</v>
      </c>
      <c r="U285" s="24"/>
      <c r="V285" s="30">
        <v>736320</v>
      </c>
      <c r="W285" s="24"/>
      <c r="X285" s="22"/>
      <c r="Y285" s="31">
        <v>3111677</v>
      </c>
      <c r="Z285" s="22">
        <v>3858097</v>
      </c>
      <c r="AA285" s="22">
        <v>4745079</v>
      </c>
      <c r="AB285" s="22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</row>
    <row r="286" spans="1:46" ht="45" customHeight="1">
      <c r="A286" s="21" t="s">
        <v>2673</v>
      </c>
      <c r="B286" s="22" t="s">
        <v>2674</v>
      </c>
      <c r="C286" s="23" t="s">
        <v>2675</v>
      </c>
      <c r="D286" s="24" t="s">
        <v>2466</v>
      </c>
      <c r="E286" s="24" t="s">
        <v>2467</v>
      </c>
      <c r="F286" s="24" t="s">
        <v>181</v>
      </c>
      <c r="G286" s="24" t="s">
        <v>2468</v>
      </c>
      <c r="H286" s="24" t="s">
        <v>114</v>
      </c>
      <c r="I286" s="24" t="s">
        <v>115</v>
      </c>
      <c r="J286" s="24" t="s">
        <v>2676</v>
      </c>
      <c r="K286" s="24" t="s">
        <v>544</v>
      </c>
      <c r="L286" s="24" t="s">
        <v>38</v>
      </c>
      <c r="M286" s="43" t="s">
        <v>2471</v>
      </c>
      <c r="N286" s="22" t="s">
        <v>2483</v>
      </c>
      <c r="O286" s="22"/>
      <c r="P286" s="24" t="s">
        <v>94</v>
      </c>
      <c r="Q286" s="28" t="s">
        <v>2677</v>
      </c>
      <c r="R286" s="29">
        <v>651</v>
      </c>
      <c r="S286" s="30">
        <f t="shared" si="5"/>
        <v>105462</v>
      </c>
      <c r="T286" s="21" t="s">
        <v>252</v>
      </c>
      <c r="U286" s="24"/>
      <c r="V286" s="30">
        <v>123900</v>
      </c>
      <c r="W286" s="45" t="s">
        <v>71</v>
      </c>
      <c r="X286" s="22"/>
      <c r="Y286" s="31"/>
      <c r="Z286" s="22">
        <v>3903873</v>
      </c>
      <c r="AA286" s="22"/>
      <c r="AB286" s="22"/>
      <c r="AC286" s="45">
        <v>5624608</v>
      </c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</row>
    <row r="287" spans="1:46" ht="45" customHeight="1">
      <c r="A287" s="21" t="s">
        <v>2678</v>
      </c>
      <c r="B287" s="22" t="s">
        <v>2679</v>
      </c>
      <c r="C287" s="23" t="s">
        <v>2680</v>
      </c>
      <c r="D287" s="24" t="s">
        <v>190</v>
      </c>
      <c r="E287" s="24" t="s">
        <v>191</v>
      </c>
      <c r="F287" s="24" t="s">
        <v>35</v>
      </c>
      <c r="G287" s="24" t="s">
        <v>2681</v>
      </c>
      <c r="H287" s="24" t="s">
        <v>405</v>
      </c>
      <c r="I287" s="24" t="s">
        <v>115</v>
      </c>
      <c r="J287" s="24" t="s">
        <v>2682</v>
      </c>
      <c r="K287" s="24" t="s">
        <v>2558</v>
      </c>
      <c r="L287" s="24" t="s">
        <v>80</v>
      </c>
      <c r="M287" s="59" t="s">
        <v>2683</v>
      </c>
      <c r="N287" s="22" t="s">
        <v>2684</v>
      </c>
      <c r="O287" s="62">
        <v>45974</v>
      </c>
      <c r="P287" s="24" t="s">
        <v>94</v>
      </c>
      <c r="Q287" s="28" t="s">
        <v>2685</v>
      </c>
      <c r="R287" s="29">
        <v>1610</v>
      </c>
      <c r="S287" s="30">
        <f t="shared" si="5"/>
        <v>260820</v>
      </c>
      <c r="T287" s="21" t="s">
        <v>198</v>
      </c>
      <c r="U287" s="24"/>
      <c r="V287" s="44">
        <v>107970</v>
      </c>
      <c r="W287" s="45" t="s">
        <v>71</v>
      </c>
      <c r="X287" s="22">
        <v>1121676</v>
      </c>
      <c r="Y287" s="31">
        <v>3114801</v>
      </c>
      <c r="Z287" s="22">
        <v>3899652</v>
      </c>
      <c r="AA287" s="22">
        <v>4720780</v>
      </c>
      <c r="AB287" s="22"/>
      <c r="AC287" s="45">
        <v>5633338</v>
      </c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</row>
    <row r="288" spans="1:46" ht="45" customHeight="1">
      <c r="A288" s="21" t="s">
        <v>2686</v>
      </c>
      <c r="B288" s="22" t="s">
        <v>2687</v>
      </c>
      <c r="C288" s="23" t="s">
        <v>2688</v>
      </c>
      <c r="D288" s="24" t="s">
        <v>2689</v>
      </c>
      <c r="E288" s="24" t="s">
        <v>2467</v>
      </c>
      <c r="F288" s="24" t="s">
        <v>181</v>
      </c>
      <c r="G288" s="24" t="s">
        <v>2690</v>
      </c>
      <c r="H288" s="24" t="s">
        <v>331</v>
      </c>
      <c r="I288" s="24" t="s">
        <v>2691</v>
      </c>
      <c r="J288" s="24" t="s">
        <v>2690</v>
      </c>
      <c r="K288" s="24" t="s">
        <v>331</v>
      </c>
      <c r="L288" s="24" t="s">
        <v>2691</v>
      </c>
      <c r="M288" s="59" t="s">
        <v>2692</v>
      </c>
      <c r="N288" s="22" t="s">
        <v>2693</v>
      </c>
      <c r="O288" s="22"/>
      <c r="P288" s="24" t="s">
        <v>94</v>
      </c>
      <c r="Q288" s="28" t="s">
        <v>2694</v>
      </c>
      <c r="R288" s="29">
        <v>738</v>
      </c>
      <c r="S288" s="30">
        <f t="shared" si="5"/>
        <v>119556</v>
      </c>
      <c r="T288" s="21" t="s">
        <v>252</v>
      </c>
      <c r="U288" s="24"/>
      <c r="V288" s="30">
        <v>123900</v>
      </c>
      <c r="W288" s="24" t="s">
        <v>47</v>
      </c>
      <c r="X288" s="22">
        <v>1139557</v>
      </c>
      <c r="Y288" s="31">
        <v>3073185</v>
      </c>
      <c r="Z288" s="22">
        <v>3885212</v>
      </c>
      <c r="AA288" s="22">
        <v>4740929</v>
      </c>
      <c r="AB288" s="22"/>
      <c r="AC288" s="24">
        <v>5548728</v>
      </c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</row>
    <row r="289" spans="1:46" ht="45" customHeight="1">
      <c r="A289" s="50" t="s">
        <v>2695</v>
      </c>
      <c r="B289" s="51" t="s">
        <v>2696</v>
      </c>
      <c r="C289" s="52" t="s">
        <v>2697</v>
      </c>
      <c r="D289" s="53" t="s">
        <v>614</v>
      </c>
      <c r="E289" s="53" t="s">
        <v>615</v>
      </c>
      <c r="F289" s="53" t="s">
        <v>77</v>
      </c>
      <c r="G289" s="53" t="s">
        <v>616</v>
      </c>
      <c r="H289" s="53" t="s">
        <v>2698</v>
      </c>
      <c r="I289" s="53" t="s">
        <v>38</v>
      </c>
      <c r="J289" s="53" t="s">
        <v>616</v>
      </c>
      <c r="K289" s="53" t="s">
        <v>2698</v>
      </c>
      <c r="L289" s="53" t="s">
        <v>38</v>
      </c>
      <c r="M289" s="68" t="s">
        <v>2609</v>
      </c>
      <c r="N289" s="51" t="s">
        <v>2699</v>
      </c>
      <c r="O289" s="97">
        <v>46699</v>
      </c>
      <c r="P289" s="53" t="s">
        <v>94</v>
      </c>
      <c r="Q289" s="55" t="s">
        <v>2700</v>
      </c>
      <c r="R289" s="56">
        <v>173</v>
      </c>
      <c r="S289" s="57">
        <f t="shared" si="5"/>
        <v>28026</v>
      </c>
      <c r="T289" s="50" t="s">
        <v>46</v>
      </c>
      <c r="U289" s="53"/>
      <c r="V289" s="57">
        <f>44610/2</f>
        <v>22305</v>
      </c>
      <c r="W289" s="53" t="s">
        <v>71</v>
      </c>
      <c r="X289" s="51"/>
      <c r="Y289" s="58"/>
      <c r="Z289" s="51">
        <v>3789301</v>
      </c>
      <c r="AA289" s="51">
        <v>4661738</v>
      </c>
      <c r="AB289" s="51"/>
      <c r="AC289" s="53">
        <v>5491454</v>
      </c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</row>
    <row r="290" spans="1:46" ht="45" customHeight="1">
      <c r="A290" s="72" t="s">
        <v>2701</v>
      </c>
      <c r="B290" s="22" t="s">
        <v>2702</v>
      </c>
      <c r="C290" s="23" t="s">
        <v>2703</v>
      </c>
      <c r="D290" s="24" t="s">
        <v>169</v>
      </c>
      <c r="E290" s="24" t="s">
        <v>2704</v>
      </c>
      <c r="F290" s="24" t="s">
        <v>77</v>
      </c>
      <c r="G290" s="24" t="s">
        <v>2705</v>
      </c>
      <c r="H290" s="24" t="s">
        <v>137</v>
      </c>
      <c r="I290" s="24" t="s">
        <v>38</v>
      </c>
      <c r="J290" s="24" t="s">
        <v>2705</v>
      </c>
      <c r="K290" s="24" t="s">
        <v>137</v>
      </c>
      <c r="L290" s="24" t="s">
        <v>38</v>
      </c>
      <c r="M290" s="70" t="s">
        <v>607</v>
      </c>
      <c r="N290" s="22" t="s">
        <v>2706</v>
      </c>
      <c r="O290" s="71">
        <v>46643</v>
      </c>
      <c r="P290" s="24" t="s">
        <v>230</v>
      </c>
      <c r="Q290" s="28" t="s">
        <v>2707</v>
      </c>
      <c r="R290" s="29">
        <v>55496</v>
      </c>
      <c r="S290" s="30">
        <f t="shared" si="5"/>
        <v>8990352</v>
      </c>
      <c r="T290" s="21" t="s">
        <v>70</v>
      </c>
      <c r="U290" s="24"/>
      <c r="V290" s="44">
        <v>4495176</v>
      </c>
      <c r="W290" s="45" t="s">
        <v>71</v>
      </c>
      <c r="X290" s="22">
        <v>1133659</v>
      </c>
      <c r="Y290" s="31">
        <v>3120574</v>
      </c>
      <c r="Z290" s="22">
        <v>3865889</v>
      </c>
      <c r="AA290" s="22"/>
      <c r="AB290" s="22"/>
      <c r="AC290" s="45">
        <v>5632164</v>
      </c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</row>
    <row r="291" spans="1:46" ht="45" customHeight="1">
      <c r="A291" s="12" t="s">
        <v>2708</v>
      </c>
      <c r="B291" s="13" t="s">
        <v>2709</v>
      </c>
      <c r="C291" s="14" t="s">
        <v>2710</v>
      </c>
      <c r="D291" s="15" t="s">
        <v>2711</v>
      </c>
      <c r="E291" s="15" t="s">
        <v>247</v>
      </c>
      <c r="F291" s="15" t="s">
        <v>181</v>
      </c>
      <c r="G291" s="15" t="s">
        <v>2712</v>
      </c>
      <c r="H291" s="15" t="s">
        <v>1482</v>
      </c>
      <c r="I291" s="15" t="s">
        <v>149</v>
      </c>
      <c r="J291" s="15" t="s">
        <v>2712</v>
      </c>
      <c r="K291" s="15" t="s">
        <v>1482</v>
      </c>
      <c r="L291" s="15" t="s">
        <v>149</v>
      </c>
      <c r="M291" s="46" t="s">
        <v>2713</v>
      </c>
      <c r="N291" s="13" t="s">
        <v>2714</v>
      </c>
      <c r="O291" s="13"/>
      <c r="P291" s="15" t="s">
        <v>94</v>
      </c>
      <c r="Q291" s="17" t="s">
        <v>2715</v>
      </c>
      <c r="R291" s="18">
        <v>29</v>
      </c>
      <c r="S291" s="19">
        <f t="shared" si="5"/>
        <v>4698</v>
      </c>
      <c r="T291" s="12" t="s">
        <v>46</v>
      </c>
      <c r="U291" s="15"/>
      <c r="V291" s="19">
        <v>44610</v>
      </c>
      <c r="W291" s="49" t="s">
        <v>71</v>
      </c>
      <c r="X291" s="13"/>
      <c r="Y291" s="20">
        <v>3097657</v>
      </c>
      <c r="Z291" s="13">
        <v>3903859</v>
      </c>
      <c r="AA291" s="13">
        <v>4749602</v>
      </c>
      <c r="AB291" s="13"/>
      <c r="AC291" s="15">
        <v>5499480</v>
      </c>
      <c r="AD291" s="49">
        <v>6480292</v>
      </c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</row>
    <row r="292" spans="1:46" ht="45" customHeight="1">
      <c r="A292" s="12" t="s">
        <v>2716</v>
      </c>
      <c r="B292" s="13" t="s">
        <v>2717</v>
      </c>
      <c r="C292" s="14" t="s">
        <v>2718</v>
      </c>
      <c r="D292" s="15" t="s">
        <v>2719</v>
      </c>
      <c r="E292" s="15" t="s">
        <v>928</v>
      </c>
      <c r="F292" s="15" t="s">
        <v>181</v>
      </c>
      <c r="G292" s="15" t="s">
        <v>2720</v>
      </c>
      <c r="H292" s="15" t="s">
        <v>2721</v>
      </c>
      <c r="I292" s="15" t="s">
        <v>321</v>
      </c>
      <c r="J292" s="15" t="s">
        <v>2720</v>
      </c>
      <c r="K292" s="15" t="s">
        <v>2721</v>
      </c>
      <c r="L292" s="15" t="s">
        <v>321</v>
      </c>
      <c r="M292" s="46" t="s">
        <v>2722</v>
      </c>
      <c r="N292" s="13" t="s">
        <v>2723</v>
      </c>
      <c r="O292" s="13"/>
      <c r="P292" s="15" t="s">
        <v>94</v>
      </c>
      <c r="Q292" s="17" t="s">
        <v>2724</v>
      </c>
      <c r="R292" s="18">
        <v>141</v>
      </c>
      <c r="S292" s="19">
        <f t="shared" si="5"/>
        <v>22842</v>
      </c>
      <c r="T292" s="12" t="s">
        <v>46</v>
      </c>
      <c r="U292" s="15"/>
      <c r="V292" s="19">
        <v>44610</v>
      </c>
      <c r="W292" s="15" t="s">
        <v>47</v>
      </c>
      <c r="X292" s="13"/>
      <c r="Y292" s="20">
        <v>3079247</v>
      </c>
      <c r="Z292" s="13">
        <v>3883784</v>
      </c>
      <c r="AA292" s="13">
        <v>4712908</v>
      </c>
      <c r="AB292" s="13"/>
      <c r="AC292" s="15">
        <v>5568093</v>
      </c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</row>
    <row r="293" spans="1:46" ht="45" customHeight="1">
      <c r="A293" s="12" t="s">
        <v>2725</v>
      </c>
      <c r="B293" s="13" t="s">
        <v>2726</v>
      </c>
      <c r="C293" s="14" t="s">
        <v>2727</v>
      </c>
      <c r="D293" s="15" t="s">
        <v>2728</v>
      </c>
      <c r="E293" s="15" t="s">
        <v>928</v>
      </c>
      <c r="F293" s="15" t="s">
        <v>181</v>
      </c>
      <c r="G293" s="15" t="s">
        <v>2729</v>
      </c>
      <c r="H293" s="15"/>
      <c r="I293" s="15" t="s">
        <v>65</v>
      </c>
      <c r="J293" s="15" t="s">
        <v>2729</v>
      </c>
      <c r="K293" s="15"/>
      <c r="L293" s="15" t="s">
        <v>65</v>
      </c>
      <c r="M293" s="46" t="s">
        <v>2730</v>
      </c>
      <c r="N293" s="13">
        <v>4483072</v>
      </c>
      <c r="O293" s="13"/>
      <c r="P293" s="15" t="s">
        <v>94</v>
      </c>
      <c r="Q293" s="17" t="s">
        <v>2731</v>
      </c>
      <c r="R293" s="18">
        <v>53</v>
      </c>
      <c r="S293" s="19">
        <f t="shared" si="5"/>
        <v>8586</v>
      </c>
      <c r="T293" s="12" t="s">
        <v>46</v>
      </c>
      <c r="U293" s="15"/>
      <c r="V293" s="19">
        <v>44610</v>
      </c>
      <c r="W293" s="15" t="s">
        <v>71</v>
      </c>
      <c r="X293" s="13">
        <v>1014047</v>
      </c>
      <c r="Y293" s="20"/>
      <c r="Z293" s="13">
        <v>3835010</v>
      </c>
      <c r="AA293" s="13"/>
      <c r="AB293" s="13"/>
      <c r="AC293" s="15">
        <v>5596444</v>
      </c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</row>
    <row r="294" spans="1:46" ht="45" customHeight="1">
      <c r="A294" s="12" t="s">
        <v>2732</v>
      </c>
      <c r="B294" s="13" t="s">
        <v>2733</v>
      </c>
      <c r="C294" s="14" t="s">
        <v>2734</v>
      </c>
      <c r="D294" s="15" t="s">
        <v>2735</v>
      </c>
      <c r="E294" s="15" t="s">
        <v>2736</v>
      </c>
      <c r="F294" s="15" t="s">
        <v>181</v>
      </c>
      <c r="G294" s="15" t="s">
        <v>2737</v>
      </c>
      <c r="H294" s="15" t="s">
        <v>52</v>
      </c>
      <c r="I294" s="15" t="s">
        <v>53</v>
      </c>
      <c r="J294" s="15" t="s">
        <v>2738</v>
      </c>
      <c r="K294" s="15" t="s">
        <v>2739</v>
      </c>
      <c r="L294" s="15" t="s">
        <v>41</v>
      </c>
      <c r="M294" s="46" t="s">
        <v>2740</v>
      </c>
      <c r="N294" s="13" t="s">
        <v>2741</v>
      </c>
      <c r="O294" s="13"/>
      <c r="P294" s="15" t="s">
        <v>94</v>
      </c>
      <c r="Q294" s="17" t="s">
        <v>2742</v>
      </c>
      <c r="R294" s="18">
        <v>69</v>
      </c>
      <c r="S294" s="19">
        <f t="shared" si="5"/>
        <v>11178</v>
      </c>
      <c r="T294" s="12" t="s">
        <v>46</v>
      </c>
      <c r="U294" s="15"/>
      <c r="V294" s="19">
        <v>44610</v>
      </c>
      <c r="W294" s="49" t="s">
        <v>71</v>
      </c>
      <c r="X294" s="13">
        <v>1121156</v>
      </c>
      <c r="Y294" s="20"/>
      <c r="Z294" s="13"/>
      <c r="AA294" s="13">
        <v>4754054</v>
      </c>
      <c r="AB294" s="13"/>
      <c r="AC294" s="49">
        <v>5634374</v>
      </c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</row>
    <row r="295" spans="1:46" ht="45" customHeight="1">
      <c r="A295" s="21" t="s">
        <v>2743</v>
      </c>
      <c r="B295" s="22" t="s">
        <v>2744</v>
      </c>
      <c r="C295" s="23" t="s">
        <v>2745</v>
      </c>
      <c r="D295" s="24" t="s">
        <v>2746</v>
      </c>
      <c r="E295" s="24" t="s">
        <v>2747</v>
      </c>
      <c r="F295" s="24" t="s">
        <v>181</v>
      </c>
      <c r="G295" s="24" t="s">
        <v>2748</v>
      </c>
      <c r="H295" s="24" t="s">
        <v>2749</v>
      </c>
      <c r="I295" s="24" t="s">
        <v>149</v>
      </c>
      <c r="J295" s="24" t="s">
        <v>2748</v>
      </c>
      <c r="K295" s="24" t="s">
        <v>2749</v>
      </c>
      <c r="L295" s="24" t="s">
        <v>149</v>
      </c>
      <c r="M295" s="25" t="s">
        <v>2750</v>
      </c>
      <c r="N295" s="22" t="s">
        <v>2751</v>
      </c>
      <c r="O295" s="22"/>
      <c r="P295" s="24" t="s">
        <v>94</v>
      </c>
      <c r="Q295" s="28" t="s">
        <v>2752</v>
      </c>
      <c r="R295" s="29">
        <v>706</v>
      </c>
      <c r="S295" s="30">
        <f t="shared" si="5"/>
        <v>114372</v>
      </c>
      <c r="T295" s="21" t="s">
        <v>252</v>
      </c>
      <c r="U295" s="24"/>
      <c r="V295" s="30">
        <v>123900</v>
      </c>
      <c r="W295" s="24" t="s">
        <v>71</v>
      </c>
      <c r="X295" s="22">
        <v>1139664</v>
      </c>
      <c r="Y295" s="31">
        <v>3058782</v>
      </c>
      <c r="Z295" s="22">
        <v>3822686</v>
      </c>
      <c r="AA295" s="22">
        <v>4740938</v>
      </c>
      <c r="AB295" s="22"/>
      <c r="AC295" s="24">
        <v>5549985</v>
      </c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</row>
    <row r="296" spans="1:46" ht="45" customHeight="1">
      <c r="A296" s="12" t="s">
        <v>2753</v>
      </c>
      <c r="B296" s="13" t="s">
        <v>2754</v>
      </c>
      <c r="C296" s="14" t="s">
        <v>2755</v>
      </c>
      <c r="D296" s="15" t="s">
        <v>2756</v>
      </c>
      <c r="E296" s="15" t="s">
        <v>2757</v>
      </c>
      <c r="F296" s="15" t="s">
        <v>181</v>
      </c>
      <c r="G296" s="15" t="s">
        <v>2758</v>
      </c>
      <c r="H296" s="15" t="s">
        <v>2147</v>
      </c>
      <c r="I296" s="15" t="s">
        <v>881</v>
      </c>
      <c r="J296" s="15" t="s">
        <v>2758</v>
      </c>
      <c r="K296" s="15" t="s">
        <v>2147</v>
      </c>
      <c r="L296" s="15" t="s">
        <v>881</v>
      </c>
      <c r="M296" s="46" t="s">
        <v>2759</v>
      </c>
      <c r="N296" s="13" t="s">
        <v>2760</v>
      </c>
      <c r="O296" s="13"/>
      <c r="P296" s="15" t="s">
        <v>94</v>
      </c>
      <c r="Q296" s="17" t="s">
        <v>2761</v>
      </c>
      <c r="R296" s="18">
        <v>178</v>
      </c>
      <c r="S296" s="19">
        <f t="shared" si="5"/>
        <v>28836</v>
      </c>
      <c r="T296" s="12" t="s">
        <v>46</v>
      </c>
      <c r="U296" s="15"/>
      <c r="V296" s="19">
        <v>44610</v>
      </c>
      <c r="W296" s="15" t="s">
        <v>71</v>
      </c>
      <c r="X296" s="13">
        <v>1027714</v>
      </c>
      <c r="Y296" s="20">
        <v>3061237</v>
      </c>
      <c r="Z296" s="13">
        <v>3836903</v>
      </c>
      <c r="AA296" s="13">
        <v>4722355</v>
      </c>
      <c r="AB296" s="13"/>
      <c r="AC296" s="15">
        <v>5499496</v>
      </c>
      <c r="AD296" s="49">
        <v>6481753</v>
      </c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</row>
    <row r="297" spans="1:46" ht="45" customHeight="1">
      <c r="A297" s="12" t="s">
        <v>2762</v>
      </c>
      <c r="B297" s="13" t="s">
        <v>2763</v>
      </c>
      <c r="C297" s="14" t="s">
        <v>2764</v>
      </c>
      <c r="D297" s="15" t="s">
        <v>2765</v>
      </c>
      <c r="E297" s="15" t="s">
        <v>2766</v>
      </c>
      <c r="F297" s="15" t="s">
        <v>111</v>
      </c>
      <c r="G297" s="15" t="s">
        <v>2767</v>
      </c>
      <c r="H297" s="15" t="s">
        <v>291</v>
      </c>
      <c r="I297" s="15" t="s">
        <v>115</v>
      </c>
      <c r="J297" s="15" t="s">
        <v>2767</v>
      </c>
      <c r="K297" s="15" t="s">
        <v>291</v>
      </c>
      <c r="L297" s="15" t="s">
        <v>115</v>
      </c>
      <c r="M297" s="46" t="s">
        <v>2768</v>
      </c>
      <c r="N297" s="13" t="s">
        <v>2769</v>
      </c>
      <c r="O297" s="13"/>
      <c r="P297" s="15" t="s">
        <v>1381</v>
      </c>
      <c r="Q297" s="17" t="s">
        <v>2770</v>
      </c>
      <c r="R297" s="18">
        <v>60</v>
      </c>
      <c r="S297" s="19">
        <f t="shared" si="5"/>
        <v>9720</v>
      </c>
      <c r="T297" s="12" t="s">
        <v>46</v>
      </c>
      <c r="U297" s="15"/>
      <c r="V297" s="19">
        <v>44610</v>
      </c>
      <c r="W297" s="15"/>
      <c r="X297" s="13">
        <v>1010942</v>
      </c>
      <c r="Y297" s="20"/>
      <c r="Z297" s="13"/>
      <c r="AA297" s="13"/>
      <c r="AB297" s="13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</row>
    <row r="298" spans="1:46" ht="45" customHeight="1">
      <c r="A298" s="12" t="s">
        <v>2771</v>
      </c>
      <c r="B298" s="13" t="s">
        <v>2772</v>
      </c>
      <c r="C298" s="14" t="s">
        <v>2773</v>
      </c>
      <c r="D298" s="15" t="s">
        <v>2774</v>
      </c>
      <c r="E298" s="15" t="s">
        <v>247</v>
      </c>
      <c r="F298" s="15" t="s">
        <v>181</v>
      </c>
      <c r="G298" s="15" t="s">
        <v>2775</v>
      </c>
      <c r="H298" s="15"/>
      <c r="I298" s="15" t="s">
        <v>1058</v>
      </c>
      <c r="J298" s="15" t="s">
        <v>2775</v>
      </c>
      <c r="K298" s="15"/>
      <c r="L298" s="15" t="s">
        <v>1058</v>
      </c>
      <c r="M298" s="46" t="s">
        <v>2776</v>
      </c>
      <c r="N298" s="13" t="s">
        <v>2777</v>
      </c>
      <c r="O298" s="13"/>
      <c r="P298" s="15" t="s">
        <v>94</v>
      </c>
      <c r="Q298" s="17" t="s">
        <v>2778</v>
      </c>
      <c r="R298" s="18">
        <v>236</v>
      </c>
      <c r="S298" s="19">
        <f t="shared" si="5"/>
        <v>38232</v>
      </c>
      <c r="T298" s="12" t="s">
        <v>46</v>
      </c>
      <c r="U298" s="15"/>
      <c r="V298" s="19">
        <v>44610</v>
      </c>
      <c r="W298" s="15"/>
      <c r="X298" s="13"/>
      <c r="Y298" s="20"/>
      <c r="Z298" s="13"/>
      <c r="AA298" s="13" t="s">
        <v>2779</v>
      </c>
      <c r="AB298" s="13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</row>
    <row r="299" spans="1:46" ht="45" customHeight="1">
      <c r="A299" s="12" t="s">
        <v>2780</v>
      </c>
      <c r="B299" s="13" t="s">
        <v>2781</v>
      </c>
      <c r="C299" s="14" t="s">
        <v>2782</v>
      </c>
      <c r="D299" s="15" t="s">
        <v>2783</v>
      </c>
      <c r="E299" s="15" t="s">
        <v>2784</v>
      </c>
      <c r="F299" s="15" t="s">
        <v>181</v>
      </c>
      <c r="G299" s="15" t="s">
        <v>2785</v>
      </c>
      <c r="H299" s="15" t="s">
        <v>597</v>
      </c>
      <c r="I299" s="15" t="s">
        <v>65</v>
      </c>
      <c r="J299" s="15" t="s">
        <v>2785</v>
      </c>
      <c r="K299" s="15" t="s">
        <v>597</v>
      </c>
      <c r="L299" s="15" t="s">
        <v>65</v>
      </c>
      <c r="M299" s="46" t="s">
        <v>2786</v>
      </c>
      <c r="N299" s="13">
        <v>4375077</v>
      </c>
      <c r="O299" s="13"/>
      <c r="P299" s="15" t="s">
        <v>94</v>
      </c>
      <c r="Q299" s="17" t="s">
        <v>2787</v>
      </c>
      <c r="R299" s="18">
        <v>134</v>
      </c>
      <c r="S299" s="19">
        <f t="shared" si="5"/>
        <v>21708</v>
      </c>
      <c r="T299" s="12" t="s">
        <v>46</v>
      </c>
      <c r="U299" s="15"/>
      <c r="V299" s="19">
        <v>44610</v>
      </c>
      <c r="W299" s="15"/>
      <c r="X299" s="13">
        <v>1044745</v>
      </c>
      <c r="Y299" s="20">
        <v>3083153</v>
      </c>
      <c r="Z299" s="13"/>
      <c r="AA299" s="13"/>
      <c r="AB299" s="13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</row>
    <row r="300" spans="1:46" ht="45" customHeight="1">
      <c r="A300" s="12" t="s">
        <v>2788</v>
      </c>
      <c r="B300" s="13" t="s">
        <v>2789</v>
      </c>
      <c r="C300" s="14" t="s">
        <v>2790</v>
      </c>
      <c r="D300" s="15" t="s">
        <v>2756</v>
      </c>
      <c r="E300" s="15" t="s">
        <v>2757</v>
      </c>
      <c r="F300" s="15" t="s">
        <v>181</v>
      </c>
      <c r="G300" s="15" t="s">
        <v>2791</v>
      </c>
      <c r="H300" s="15" t="s">
        <v>2792</v>
      </c>
      <c r="I300" s="15" t="s">
        <v>881</v>
      </c>
      <c r="J300" s="15" t="s">
        <v>2793</v>
      </c>
      <c r="K300" s="15"/>
      <c r="L300" s="15" t="s">
        <v>1927</v>
      </c>
      <c r="M300" s="46" t="s">
        <v>2759</v>
      </c>
      <c r="N300" s="13" t="s">
        <v>2794</v>
      </c>
      <c r="O300" s="13"/>
      <c r="P300" s="15" t="s">
        <v>94</v>
      </c>
      <c r="Q300" s="17" t="s">
        <v>2795</v>
      </c>
      <c r="R300" s="18">
        <v>566</v>
      </c>
      <c r="S300" s="19">
        <f t="shared" si="5"/>
        <v>91692</v>
      </c>
      <c r="T300" s="12" t="s">
        <v>46</v>
      </c>
      <c r="U300" s="15"/>
      <c r="V300" s="19">
        <v>44610</v>
      </c>
      <c r="W300" s="15" t="s">
        <v>71</v>
      </c>
      <c r="X300" s="13">
        <v>1028098</v>
      </c>
      <c r="Y300" s="20">
        <v>3062703</v>
      </c>
      <c r="Z300" s="13">
        <v>3836900</v>
      </c>
      <c r="AA300" s="13">
        <v>4723110</v>
      </c>
      <c r="AB300" s="13"/>
      <c r="AC300" s="15">
        <v>5536858</v>
      </c>
      <c r="AD300" s="49">
        <v>6481725</v>
      </c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</row>
    <row r="301" spans="1:46" ht="45" customHeight="1">
      <c r="A301" s="12" t="s">
        <v>2796</v>
      </c>
      <c r="B301" s="13" t="s">
        <v>2797</v>
      </c>
      <c r="C301" s="14" t="s">
        <v>2798</v>
      </c>
      <c r="D301" s="15" t="s">
        <v>2466</v>
      </c>
      <c r="E301" s="15" t="s">
        <v>2279</v>
      </c>
      <c r="F301" s="15" t="s">
        <v>181</v>
      </c>
      <c r="G301" s="15" t="s">
        <v>2468</v>
      </c>
      <c r="H301" s="15" t="s">
        <v>114</v>
      </c>
      <c r="I301" s="15" t="s">
        <v>115</v>
      </c>
      <c r="J301" s="15" t="s">
        <v>2799</v>
      </c>
      <c r="K301" s="15" t="s">
        <v>2800</v>
      </c>
      <c r="L301" s="15" t="s">
        <v>115</v>
      </c>
      <c r="M301" s="74" t="s">
        <v>2471</v>
      </c>
      <c r="N301" s="13" t="s">
        <v>2801</v>
      </c>
      <c r="O301" s="13"/>
      <c r="P301" s="15" t="s">
        <v>94</v>
      </c>
      <c r="Q301" s="17" t="s">
        <v>2802</v>
      </c>
      <c r="R301" s="18">
        <v>512</v>
      </c>
      <c r="S301" s="19">
        <f t="shared" si="5"/>
        <v>82944</v>
      </c>
      <c r="T301" s="12" t="s">
        <v>46</v>
      </c>
      <c r="U301" s="15"/>
      <c r="V301" s="19">
        <v>44610</v>
      </c>
      <c r="W301" s="49" t="s">
        <v>71</v>
      </c>
      <c r="X301" s="13"/>
      <c r="Y301" s="20"/>
      <c r="Z301" s="13">
        <v>3903872</v>
      </c>
      <c r="AA301" s="13"/>
      <c r="AB301" s="13"/>
      <c r="AC301" s="49">
        <v>5627323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</row>
    <row r="302" spans="1:46" ht="45" customHeight="1">
      <c r="A302" s="12" t="s">
        <v>2803</v>
      </c>
      <c r="B302" s="13" t="s">
        <v>2804</v>
      </c>
      <c r="C302" s="14" t="s">
        <v>2805</v>
      </c>
      <c r="D302" s="15" t="s">
        <v>2466</v>
      </c>
      <c r="E302" s="15" t="s">
        <v>2279</v>
      </c>
      <c r="F302" s="15" t="s">
        <v>181</v>
      </c>
      <c r="G302" s="15" t="s">
        <v>2468</v>
      </c>
      <c r="H302" s="15" t="s">
        <v>114</v>
      </c>
      <c r="I302" s="15" t="s">
        <v>115</v>
      </c>
      <c r="J302" s="15" t="s">
        <v>2806</v>
      </c>
      <c r="K302" s="15" t="s">
        <v>291</v>
      </c>
      <c r="L302" s="15" t="s">
        <v>115</v>
      </c>
      <c r="M302" s="74" t="s">
        <v>2471</v>
      </c>
      <c r="N302" s="13" t="s">
        <v>2508</v>
      </c>
      <c r="O302" s="13"/>
      <c r="P302" s="15" t="s">
        <v>94</v>
      </c>
      <c r="Q302" s="17" t="s">
        <v>2807</v>
      </c>
      <c r="R302" s="18">
        <v>442</v>
      </c>
      <c r="S302" s="19">
        <f t="shared" si="5"/>
        <v>71604</v>
      </c>
      <c r="T302" s="12" t="s">
        <v>46</v>
      </c>
      <c r="U302" s="15"/>
      <c r="V302" s="19">
        <v>44610</v>
      </c>
      <c r="W302" s="49" t="s">
        <v>71</v>
      </c>
      <c r="X302" s="13"/>
      <c r="Y302" s="20"/>
      <c r="Z302" s="13">
        <v>3903884</v>
      </c>
      <c r="AA302" s="13"/>
      <c r="AB302" s="13"/>
      <c r="AC302" s="49">
        <v>5626467</v>
      </c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</row>
    <row r="303" spans="1:46" ht="45" customHeight="1">
      <c r="A303" s="12" t="s">
        <v>2808</v>
      </c>
      <c r="B303" s="13" t="s">
        <v>2809</v>
      </c>
      <c r="C303" s="14" t="s">
        <v>2810</v>
      </c>
      <c r="D303" s="15" t="s">
        <v>2466</v>
      </c>
      <c r="E303" s="15" t="s">
        <v>2279</v>
      </c>
      <c r="F303" s="15" t="s">
        <v>181</v>
      </c>
      <c r="G303" s="15" t="s">
        <v>2468</v>
      </c>
      <c r="H303" s="15" t="s">
        <v>114</v>
      </c>
      <c r="I303" s="15" t="s">
        <v>115</v>
      </c>
      <c r="J303" s="15" t="s">
        <v>2811</v>
      </c>
      <c r="K303" s="15" t="s">
        <v>2812</v>
      </c>
      <c r="L303" s="15" t="s">
        <v>115</v>
      </c>
      <c r="M303" s="74" t="s">
        <v>2471</v>
      </c>
      <c r="N303" s="13" t="s">
        <v>2813</v>
      </c>
      <c r="O303" s="13"/>
      <c r="P303" s="15" t="s">
        <v>94</v>
      </c>
      <c r="Q303" s="17" t="s">
        <v>2814</v>
      </c>
      <c r="R303" s="18">
        <v>466</v>
      </c>
      <c r="S303" s="19">
        <f t="shared" si="5"/>
        <v>75492</v>
      </c>
      <c r="T303" s="12" t="s">
        <v>46</v>
      </c>
      <c r="U303" s="15"/>
      <c r="V303" s="19">
        <v>44610</v>
      </c>
      <c r="W303" s="49" t="s">
        <v>71</v>
      </c>
      <c r="X303" s="13"/>
      <c r="Y303" s="20"/>
      <c r="Z303" s="13">
        <v>3903871</v>
      </c>
      <c r="AA303" s="13"/>
      <c r="AB303" s="13"/>
      <c r="AC303" s="49">
        <v>5627792</v>
      </c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</row>
    <row r="304" spans="1:46" ht="45" customHeight="1">
      <c r="A304" s="40" t="s">
        <v>2815</v>
      </c>
      <c r="B304" s="33" t="s">
        <v>2816</v>
      </c>
      <c r="C304" s="34" t="s">
        <v>2817</v>
      </c>
      <c r="D304" s="35" t="s">
        <v>832</v>
      </c>
      <c r="E304" s="35" t="s">
        <v>533</v>
      </c>
      <c r="F304" s="35" t="s">
        <v>287</v>
      </c>
      <c r="G304" s="35" t="s">
        <v>833</v>
      </c>
      <c r="H304" s="35" t="s">
        <v>52</v>
      </c>
      <c r="I304" s="35" t="s">
        <v>53</v>
      </c>
      <c r="J304" s="35" t="s">
        <v>833</v>
      </c>
      <c r="K304" s="35" t="s">
        <v>52</v>
      </c>
      <c r="L304" s="35" t="s">
        <v>53</v>
      </c>
      <c r="M304" s="36" t="s">
        <v>835</v>
      </c>
      <c r="N304" s="33">
        <v>5243409</v>
      </c>
      <c r="O304" s="33"/>
      <c r="P304" s="35" t="s">
        <v>305</v>
      </c>
      <c r="Q304" s="37" t="s">
        <v>2818</v>
      </c>
      <c r="R304" s="38">
        <v>17</v>
      </c>
      <c r="S304" s="39">
        <f t="shared" si="5"/>
        <v>2754</v>
      </c>
      <c r="T304" s="40" t="s">
        <v>46</v>
      </c>
      <c r="U304" s="35"/>
      <c r="V304" s="39">
        <v>44610</v>
      </c>
      <c r="W304" s="35"/>
      <c r="X304" s="33"/>
      <c r="Y304" s="41"/>
      <c r="Z304" s="33"/>
      <c r="AA304" s="33"/>
      <c r="AB304" s="33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</row>
    <row r="305" spans="1:46" ht="45" customHeight="1">
      <c r="A305" s="21" t="s">
        <v>2819</v>
      </c>
      <c r="B305" s="22" t="s">
        <v>2820</v>
      </c>
      <c r="C305" s="23" t="s">
        <v>2821</v>
      </c>
      <c r="D305" s="24" t="s">
        <v>2822</v>
      </c>
      <c r="E305" s="24" t="s">
        <v>2823</v>
      </c>
      <c r="F305" s="24" t="s">
        <v>111</v>
      </c>
      <c r="G305" s="24" t="s">
        <v>2824</v>
      </c>
      <c r="H305" s="24" t="s">
        <v>216</v>
      </c>
      <c r="I305" s="24" t="s">
        <v>115</v>
      </c>
      <c r="J305" s="24" t="s">
        <v>2824</v>
      </c>
      <c r="K305" s="24" t="s">
        <v>216</v>
      </c>
      <c r="L305" s="24" t="s">
        <v>115</v>
      </c>
      <c r="M305" s="59" t="s">
        <v>2825</v>
      </c>
      <c r="N305" s="22">
        <v>4327600</v>
      </c>
      <c r="O305" s="22"/>
      <c r="P305" s="24" t="s">
        <v>1224</v>
      </c>
      <c r="Q305" s="28" t="s">
        <v>2826</v>
      </c>
      <c r="R305" s="29">
        <v>1432</v>
      </c>
      <c r="S305" s="30">
        <f t="shared" si="5"/>
        <v>231984</v>
      </c>
      <c r="T305" s="21" t="s">
        <v>198</v>
      </c>
      <c r="U305" s="24"/>
      <c r="V305" s="30">
        <v>215940</v>
      </c>
      <c r="W305" s="24" t="s">
        <v>71</v>
      </c>
      <c r="X305" s="22">
        <v>1036567</v>
      </c>
      <c r="Y305" s="31">
        <v>3118421</v>
      </c>
      <c r="Z305" s="22">
        <v>3897237</v>
      </c>
      <c r="AA305" s="22">
        <v>4726803</v>
      </c>
      <c r="AB305" s="22"/>
      <c r="AC305" s="24">
        <v>5617920</v>
      </c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</row>
    <row r="306" spans="1:46" ht="45" customHeight="1">
      <c r="A306" s="12" t="s">
        <v>2827</v>
      </c>
      <c r="B306" s="13" t="s">
        <v>2828</v>
      </c>
      <c r="C306" s="14" t="s">
        <v>2829</v>
      </c>
      <c r="D306" s="15" t="s">
        <v>2830</v>
      </c>
      <c r="E306" s="15" t="s">
        <v>2831</v>
      </c>
      <c r="F306" s="15" t="s">
        <v>111</v>
      </c>
      <c r="G306" s="15" t="s">
        <v>2832</v>
      </c>
      <c r="H306" s="15" t="s">
        <v>114</v>
      </c>
      <c r="I306" s="15" t="s">
        <v>115</v>
      </c>
      <c r="J306" s="15" t="s">
        <v>2832</v>
      </c>
      <c r="K306" s="15" t="s">
        <v>114</v>
      </c>
      <c r="L306" s="15" t="s">
        <v>115</v>
      </c>
      <c r="M306" s="46" t="s">
        <v>2833</v>
      </c>
      <c r="N306" s="13">
        <v>2613416867</v>
      </c>
      <c r="O306" s="13"/>
      <c r="P306" s="15" t="s">
        <v>44</v>
      </c>
      <c r="Q306" s="17" t="s">
        <v>2834</v>
      </c>
      <c r="R306" s="18">
        <v>30</v>
      </c>
      <c r="S306" s="19">
        <f t="shared" si="5"/>
        <v>4860</v>
      </c>
      <c r="T306" s="12" t="s">
        <v>46</v>
      </c>
      <c r="U306" s="15"/>
      <c r="V306" s="19">
        <v>44610</v>
      </c>
      <c r="W306" s="15"/>
      <c r="X306" s="13"/>
      <c r="Y306" s="20"/>
      <c r="Z306" s="13"/>
      <c r="AA306" s="13"/>
      <c r="AB306" s="13">
        <v>4895647</v>
      </c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</row>
    <row r="307" spans="1:46" ht="45" customHeight="1">
      <c r="A307" s="21" t="s">
        <v>2835</v>
      </c>
      <c r="B307" s="22" t="s">
        <v>2836</v>
      </c>
      <c r="C307" s="23" t="s">
        <v>2837</v>
      </c>
      <c r="D307" s="24" t="s">
        <v>2689</v>
      </c>
      <c r="E307" s="24" t="s">
        <v>2467</v>
      </c>
      <c r="F307" s="24" t="s">
        <v>181</v>
      </c>
      <c r="G307" s="24" t="s">
        <v>2838</v>
      </c>
      <c r="H307" s="24" t="s">
        <v>331</v>
      </c>
      <c r="I307" s="24" t="s">
        <v>332</v>
      </c>
      <c r="J307" s="24" t="s">
        <v>2838</v>
      </c>
      <c r="K307" s="24" t="s">
        <v>331</v>
      </c>
      <c r="L307" s="24" t="s">
        <v>332</v>
      </c>
      <c r="M307" s="59" t="s">
        <v>2692</v>
      </c>
      <c r="N307" s="22" t="s">
        <v>2839</v>
      </c>
      <c r="O307" s="22"/>
      <c r="P307" s="24" t="s">
        <v>94</v>
      </c>
      <c r="Q307" s="28" t="s">
        <v>2840</v>
      </c>
      <c r="R307" s="29">
        <v>654</v>
      </c>
      <c r="S307" s="30">
        <f t="shared" si="5"/>
        <v>105948</v>
      </c>
      <c r="T307" s="21" t="s">
        <v>252</v>
      </c>
      <c r="U307" s="24"/>
      <c r="V307" s="30">
        <v>123900</v>
      </c>
      <c r="W307" s="24" t="s">
        <v>47</v>
      </c>
      <c r="X307" s="22">
        <v>1139460</v>
      </c>
      <c r="Y307" s="31">
        <v>3073168</v>
      </c>
      <c r="Z307" s="22">
        <v>3885178</v>
      </c>
      <c r="AA307" s="22">
        <v>4740919</v>
      </c>
      <c r="AB307" s="22"/>
      <c r="AC307" s="24">
        <v>5548726</v>
      </c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</row>
    <row r="308" spans="1:46" ht="45" customHeight="1">
      <c r="A308" s="12" t="s">
        <v>2841</v>
      </c>
      <c r="B308" s="13" t="s">
        <v>2842</v>
      </c>
      <c r="C308" s="14" t="s">
        <v>2843</v>
      </c>
      <c r="D308" s="15" t="s">
        <v>2844</v>
      </c>
      <c r="E308" s="15" t="s">
        <v>2845</v>
      </c>
      <c r="F308" s="15" t="s">
        <v>181</v>
      </c>
      <c r="G308" s="15" t="s">
        <v>2846</v>
      </c>
      <c r="H308" s="15" t="s">
        <v>2847</v>
      </c>
      <c r="I308" s="15" t="s">
        <v>332</v>
      </c>
      <c r="J308" s="15" t="s">
        <v>2846</v>
      </c>
      <c r="K308" s="15" t="s">
        <v>2847</v>
      </c>
      <c r="L308" s="15" t="s">
        <v>332</v>
      </c>
      <c r="M308" s="46" t="s">
        <v>2848</v>
      </c>
      <c r="N308" s="13" t="s">
        <v>2849</v>
      </c>
      <c r="O308" s="13"/>
      <c r="P308" s="15" t="s">
        <v>94</v>
      </c>
      <c r="Q308" s="17" t="s">
        <v>2850</v>
      </c>
      <c r="R308" s="18">
        <v>81</v>
      </c>
      <c r="S308" s="19">
        <f t="shared" si="5"/>
        <v>13122</v>
      </c>
      <c r="T308" s="12" t="s">
        <v>46</v>
      </c>
      <c r="U308" s="15"/>
      <c r="V308" s="19">
        <v>44610</v>
      </c>
      <c r="W308" s="15" t="s">
        <v>47</v>
      </c>
      <c r="X308" s="13">
        <v>1044820</v>
      </c>
      <c r="Y308" s="20">
        <v>3094776</v>
      </c>
      <c r="Z308" s="13">
        <v>3885262</v>
      </c>
      <c r="AA308" s="13">
        <v>4740930</v>
      </c>
      <c r="AB308" s="13"/>
      <c r="AC308" s="15">
        <v>5548734</v>
      </c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</row>
    <row r="309" spans="1:46" ht="45" customHeight="1">
      <c r="A309" s="12" t="s">
        <v>2851</v>
      </c>
      <c r="B309" s="13" t="s">
        <v>2852</v>
      </c>
      <c r="C309" s="14" t="s">
        <v>2853</v>
      </c>
      <c r="D309" s="15" t="s">
        <v>2854</v>
      </c>
      <c r="E309" s="15" t="s">
        <v>928</v>
      </c>
      <c r="F309" s="15" t="s">
        <v>181</v>
      </c>
      <c r="G309" s="15" t="s">
        <v>2855</v>
      </c>
      <c r="H309" s="15" t="s">
        <v>1345</v>
      </c>
      <c r="I309" s="15" t="s">
        <v>65</v>
      </c>
      <c r="J309" s="15" t="s">
        <v>2855</v>
      </c>
      <c r="K309" s="15" t="s">
        <v>1345</v>
      </c>
      <c r="L309" s="15" t="s">
        <v>65</v>
      </c>
      <c r="M309" s="46" t="s">
        <v>2856</v>
      </c>
      <c r="N309" s="13" t="s">
        <v>2857</v>
      </c>
      <c r="O309" s="13"/>
      <c r="P309" s="15" t="s">
        <v>117</v>
      </c>
      <c r="Q309" s="17" t="s">
        <v>2858</v>
      </c>
      <c r="R309" s="18">
        <v>366</v>
      </c>
      <c r="S309" s="19">
        <f t="shared" si="5"/>
        <v>59292</v>
      </c>
      <c r="T309" s="12" t="s">
        <v>46</v>
      </c>
      <c r="U309" s="15"/>
      <c r="V309" s="19">
        <v>44610</v>
      </c>
      <c r="W309" s="15" t="s">
        <v>71</v>
      </c>
      <c r="X309" s="13">
        <v>1010316</v>
      </c>
      <c r="Y309" s="20">
        <v>3088198</v>
      </c>
      <c r="Z309" s="13"/>
      <c r="AA309" s="13">
        <v>4743436</v>
      </c>
      <c r="AB309" s="13"/>
      <c r="AC309" s="15">
        <v>5601612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</row>
    <row r="310" spans="1:46" ht="45" customHeight="1">
      <c r="A310" s="12" t="s">
        <v>2859</v>
      </c>
      <c r="B310" s="13" t="s">
        <v>2860</v>
      </c>
      <c r="C310" s="14" t="s">
        <v>2861</v>
      </c>
      <c r="D310" s="15" t="s">
        <v>487</v>
      </c>
      <c r="E310" s="15" t="s">
        <v>928</v>
      </c>
      <c r="F310" s="15" t="s">
        <v>181</v>
      </c>
      <c r="G310" s="15" t="s">
        <v>2862</v>
      </c>
      <c r="H310" s="15" t="s">
        <v>2863</v>
      </c>
      <c r="I310" s="15" t="s">
        <v>80</v>
      </c>
      <c r="J310" s="15" t="s">
        <v>2862</v>
      </c>
      <c r="K310" s="15" t="s">
        <v>2863</v>
      </c>
      <c r="L310" s="15" t="s">
        <v>80</v>
      </c>
      <c r="M310" s="67" t="s">
        <v>491</v>
      </c>
      <c r="N310" s="13" t="s">
        <v>2864</v>
      </c>
      <c r="O310" s="13"/>
      <c r="P310" s="15" t="s">
        <v>94</v>
      </c>
      <c r="Q310" s="17" t="s">
        <v>2865</v>
      </c>
      <c r="R310" s="18">
        <v>478</v>
      </c>
      <c r="S310" s="19">
        <f t="shared" si="5"/>
        <v>77436</v>
      </c>
      <c r="T310" s="12" t="s">
        <v>46</v>
      </c>
      <c r="U310" s="15"/>
      <c r="V310" s="19">
        <v>44610</v>
      </c>
      <c r="W310" s="49" t="s">
        <v>71</v>
      </c>
      <c r="X310" s="13">
        <v>1012405</v>
      </c>
      <c r="Y310" s="20">
        <v>3099771</v>
      </c>
      <c r="Z310" s="13">
        <v>3850831</v>
      </c>
      <c r="AA310" s="13">
        <v>4896522</v>
      </c>
      <c r="AB310" s="13"/>
      <c r="AC310" s="49">
        <v>5629901</v>
      </c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</row>
    <row r="311" spans="1:46" ht="45" customHeight="1">
      <c r="A311" s="12" t="s">
        <v>2866</v>
      </c>
      <c r="B311" s="13" t="s">
        <v>2867</v>
      </c>
      <c r="C311" s="14" t="s">
        <v>2868</v>
      </c>
      <c r="D311" s="15" t="s">
        <v>2869</v>
      </c>
      <c r="E311" s="15" t="s">
        <v>2870</v>
      </c>
      <c r="F311" s="15" t="s">
        <v>62</v>
      </c>
      <c r="G311" s="15" t="s">
        <v>2871</v>
      </c>
      <c r="H311" s="15"/>
      <c r="I311" s="15" t="s">
        <v>65</v>
      </c>
      <c r="J311" s="15" t="s">
        <v>2872</v>
      </c>
      <c r="K311" s="15" t="s">
        <v>1262</v>
      </c>
      <c r="L311" s="15" t="s">
        <v>115</v>
      </c>
      <c r="M311" s="114" t="s">
        <v>2873</v>
      </c>
      <c r="N311" s="13" t="s">
        <v>2874</v>
      </c>
      <c r="O311" s="13"/>
      <c r="P311" s="15" t="s">
        <v>2875</v>
      </c>
      <c r="Q311" s="17" t="s">
        <v>2876</v>
      </c>
      <c r="R311" s="18">
        <v>60</v>
      </c>
      <c r="S311" s="19">
        <f t="shared" si="5"/>
        <v>9720</v>
      </c>
      <c r="T311" s="12" t="s">
        <v>46</v>
      </c>
      <c r="U311" s="15"/>
      <c r="V311" s="19">
        <v>44610</v>
      </c>
      <c r="W311" s="49" t="s">
        <v>71</v>
      </c>
      <c r="X311" s="13"/>
      <c r="Y311" s="20"/>
      <c r="Z311" s="13">
        <v>3893217</v>
      </c>
      <c r="AA311" s="13">
        <v>4753666</v>
      </c>
      <c r="AB311" s="13"/>
      <c r="AC311" s="49">
        <v>5633094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</row>
    <row r="312" spans="1:46" ht="45" customHeight="1">
      <c r="A312" s="12" t="s">
        <v>2877</v>
      </c>
      <c r="B312" s="13" t="s">
        <v>2878</v>
      </c>
      <c r="C312" s="66" t="s">
        <v>2879</v>
      </c>
      <c r="D312" s="15" t="s">
        <v>2880</v>
      </c>
      <c r="E312" s="15" t="s">
        <v>2881</v>
      </c>
      <c r="F312" s="15" t="s">
        <v>158</v>
      </c>
      <c r="G312" s="15" t="s">
        <v>2882</v>
      </c>
      <c r="H312" s="15" t="s">
        <v>778</v>
      </c>
      <c r="I312" s="15" t="s">
        <v>321</v>
      </c>
      <c r="J312" s="15" t="s">
        <v>2882</v>
      </c>
      <c r="K312" s="15" t="s">
        <v>778</v>
      </c>
      <c r="L312" s="15" t="s">
        <v>321</v>
      </c>
      <c r="M312" s="16" t="s">
        <v>2883</v>
      </c>
      <c r="N312" s="13" t="s">
        <v>2884</v>
      </c>
      <c r="O312" s="13"/>
      <c r="P312" s="49" t="s">
        <v>1381</v>
      </c>
      <c r="Q312" s="17" t="s">
        <v>2885</v>
      </c>
      <c r="R312" s="75">
        <v>492.48</v>
      </c>
      <c r="S312" s="19">
        <f t="shared" si="5"/>
        <v>79781.760000000009</v>
      </c>
      <c r="T312" s="12" t="s">
        <v>46</v>
      </c>
      <c r="U312" s="15"/>
      <c r="V312" s="19">
        <v>44610</v>
      </c>
      <c r="W312" s="15"/>
      <c r="X312" s="13"/>
      <c r="Y312" s="20"/>
      <c r="Z312" s="13"/>
      <c r="AA312" s="13"/>
      <c r="AB312" s="13">
        <v>4849641</v>
      </c>
      <c r="AC312" s="133" t="s">
        <v>130</v>
      </c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</row>
    <row r="313" spans="1:46" ht="45" customHeight="1">
      <c r="A313" s="12" t="s">
        <v>2886</v>
      </c>
      <c r="B313" s="13" t="s">
        <v>2887</v>
      </c>
      <c r="C313" s="14" t="s">
        <v>2888</v>
      </c>
      <c r="D313" s="15" t="s">
        <v>2889</v>
      </c>
      <c r="E313" s="15" t="s">
        <v>1154</v>
      </c>
      <c r="F313" s="15" t="s">
        <v>181</v>
      </c>
      <c r="G313" s="15" t="s">
        <v>2890</v>
      </c>
      <c r="H313" s="15"/>
      <c r="I313" s="15" t="s">
        <v>1279</v>
      </c>
      <c r="J313" s="15" t="s">
        <v>2890</v>
      </c>
      <c r="K313" s="15"/>
      <c r="L313" s="15" t="s">
        <v>1279</v>
      </c>
      <c r="M313" s="16" t="s">
        <v>2891</v>
      </c>
      <c r="N313" s="13" t="s">
        <v>2892</v>
      </c>
      <c r="O313" s="13"/>
      <c r="P313" s="15" t="s">
        <v>94</v>
      </c>
      <c r="Q313" s="17" t="s">
        <v>2893</v>
      </c>
      <c r="R313" s="18">
        <v>478</v>
      </c>
      <c r="S313" s="19">
        <f t="shared" si="5"/>
        <v>77436</v>
      </c>
      <c r="T313" s="12" t="s">
        <v>46</v>
      </c>
      <c r="U313" s="15"/>
      <c r="V313" s="19">
        <v>44610</v>
      </c>
      <c r="W313" s="15" t="s">
        <v>71</v>
      </c>
      <c r="X313" s="13"/>
      <c r="Y313" s="20"/>
      <c r="Z313" s="13"/>
      <c r="AA313" s="13"/>
      <c r="AB313" s="134"/>
      <c r="AC313" s="15">
        <v>5620733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</row>
    <row r="314" spans="1:46" ht="45" customHeight="1">
      <c r="A314" s="12" t="s">
        <v>2894</v>
      </c>
      <c r="B314" s="13" t="s">
        <v>2895</v>
      </c>
      <c r="C314" s="14" t="s">
        <v>2896</v>
      </c>
      <c r="D314" s="15" t="s">
        <v>2897</v>
      </c>
      <c r="E314" s="15" t="s">
        <v>1363</v>
      </c>
      <c r="F314" s="15" t="s">
        <v>111</v>
      </c>
      <c r="G314" s="15" t="s">
        <v>2898</v>
      </c>
      <c r="H314" s="15"/>
      <c r="I314" s="15" t="s">
        <v>149</v>
      </c>
      <c r="J314" s="15" t="s">
        <v>2898</v>
      </c>
      <c r="K314" s="15"/>
      <c r="L314" s="15" t="s">
        <v>149</v>
      </c>
      <c r="M314" s="16" t="s">
        <v>2899</v>
      </c>
      <c r="N314" s="13" t="s">
        <v>2900</v>
      </c>
      <c r="O314" s="13"/>
      <c r="P314" s="15" t="s">
        <v>94</v>
      </c>
      <c r="Q314" s="17" t="s">
        <v>2901</v>
      </c>
      <c r="R314" s="18">
        <v>38</v>
      </c>
      <c r="S314" s="19">
        <f t="shared" si="5"/>
        <v>6156</v>
      </c>
      <c r="T314" s="12" t="s">
        <v>46</v>
      </c>
      <c r="U314" s="15"/>
      <c r="V314" s="19">
        <v>44610</v>
      </c>
      <c r="W314" s="15" t="s">
        <v>71</v>
      </c>
      <c r="X314" s="13"/>
      <c r="Y314" s="20"/>
      <c r="Z314" s="13"/>
      <c r="AA314" s="135"/>
      <c r="AB314" s="13">
        <v>4887379</v>
      </c>
      <c r="AC314" s="15">
        <v>5571169</v>
      </c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</row>
    <row r="315" spans="1:46" ht="45" customHeight="1">
      <c r="A315" s="40" t="s">
        <v>2902</v>
      </c>
      <c r="B315" s="33" t="s">
        <v>2903</v>
      </c>
      <c r="C315" s="90" t="s">
        <v>2904</v>
      </c>
      <c r="D315" s="35" t="s">
        <v>2905</v>
      </c>
      <c r="E315" s="35" t="s">
        <v>2387</v>
      </c>
      <c r="F315" s="35" t="s">
        <v>147</v>
      </c>
      <c r="G315" s="35" t="s">
        <v>2906</v>
      </c>
      <c r="H315" s="35" t="s">
        <v>52</v>
      </c>
      <c r="I315" s="35" t="s">
        <v>53</v>
      </c>
      <c r="J315" s="35" t="s">
        <v>2906</v>
      </c>
      <c r="K315" s="35" t="s">
        <v>2088</v>
      </c>
      <c r="L315" s="35" t="s">
        <v>206</v>
      </c>
      <c r="M315" s="36" t="s">
        <v>2907</v>
      </c>
      <c r="N315" s="33">
        <v>4202500</v>
      </c>
      <c r="O315" s="33"/>
      <c r="P315" s="35" t="s">
        <v>44</v>
      </c>
      <c r="Q315" s="37" t="s">
        <v>2908</v>
      </c>
      <c r="R315" s="38">
        <v>6</v>
      </c>
      <c r="S315" s="39">
        <f t="shared" si="5"/>
        <v>972</v>
      </c>
      <c r="T315" s="40" t="s">
        <v>46</v>
      </c>
      <c r="U315" s="35"/>
      <c r="V315" s="39">
        <v>44610</v>
      </c>
      <c r="W315" s="35"/>
      <c r="X315" s="33"/>
      <c r="Y315" s="41"/>
      <c r="Z315" s="33"/>
      <c r="AA315" s="33"/>
      <c r="AB315" s="33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</row>
    <row r="316" spans="1:46" ht="45" customHeight="1">
      <c r="A316" s="12" t="s">
        <v>2909</v>
      </c>
      <c r="B316" s="13" t="s">
        <v>2910</v>
      </c>
      <c r="C316" s="14" t="s">
        <v>2911</v>
      </c>
      <c r="D316" s="15" t="s">
        <v>2912</v>
      </c>
      <c r="E316" s="15" t="s">
        <v>1363</v>
      </c>
      <c r="F316" s="15" t="s">
        <v>111</v>
      </c>
      <c r="G316" s="15" t="s">
        <v>2913</v>
      </c>
      <c r="H316" s="15"/>
      <c r="I316" s="15" t="s">
        <v>149</v>
      </c>
      <c r="J316" s="15" t="s">
        <v>2913</v>
      </c>
      <c r="K316" s="15"/>
      <c r="L316" s="15" t="s">
        <v>149</v>
      </c>
      <c r="M316" s="74" t="s">
        <v>2914</v>
      </c>
      <c r="N316" s="13" t="s">
        <v>2915</v>
      </c>
      <c r="O316" s="13"/>
      <c r="P316" s="15" t="s">
        <v>44</v>
      </c>
      <c r="Q316" s="17" t="s">
        <v>2916</v>
      </c>
      <c r="R316" s="18">
        <v>24</v>
      </c>
      <c r="S316" s="19">
        <f t="shared" si="5"/>
        <v>3888</v>
      </c>
      <c r="T316" s="12" t="s">
        <v>46</v>
      </c>
      <c r="U316" s="15"/>
      <c r="V316" s="19">
        <v>44610</v>
      </c>
      <c r="W316" s="15"/>
      <c r="X316" s="13"/>
      <c r="Y316" s="20"/>
      <c r="Z316" s="13"/>
      <c r="AA316" s="13">
        <v>4747832</v>
      </c>
      <c r="AB316" s="13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</row>
    <row r="317" spans="1:46" ht="45" customHeight="1">
      <c r="A317" s="12" t="s">
        <v>2917</v>
      </c>
      <c r="B317" s="13" t="s">
        <v>2918</v>
      </c>
      <c r="C317" s="14" t="s">
        <v>2919</v>
      </c>
      <c r="D317" s="15" t="s">
        <v>2920</v>
      </c>
      <c r="E317" s="15" t="s">
        <v>928</v>
      </c>
      <c r="F317" s="15" t="s">
        <v>111</v>
      </c>
      <c r="G317" s="15" t="s">
        <v>2921</v>
      </c>
      <c r="H317" s="15" t="s">
        <v>52</v>
      </c>
      <c r="I317" s="15" t="s">
        <v>53</v>
      </c>
      <c r="J317" s="15" t="s">
        <v>2922</v>
      </c>
      <c r="K317" s="15" t="s">
        <v>52</v>
      </c>
      <c r="L317" s="15" t="s">
        <v>53</v>
      </c>
      <c r="M317" s="46" t="s">
        <v>2923</v>
      </c>
      <c r="N317" s="13" t="s">
        <v>2924</v>
      </c>
      <c r="O317" s="13"/>
      <c r="P317" s="15" t="s">
        <v>117</v>
      </c>
      <c r="Q317" s="17" t="s">
        <v>2925</v>
      </c>
      <c r="R317" s="18">
        <v>61</v>
      </c>
      <c r="S317" s="19">
        <f t="shared" si="5"/>
        <v>9882</v>
      </c>
      <c r="T317" s="12" t="s">
        <v>46</v>
      </c>
      <c r="U317" s="15"/>
      <c r="V317" s="19">
        <v>44610</v>
      </c>
      <c r="W317" s="15" t="s">
        <v>71</v>
      </c>
      <c r="X317" s="13">
        <v>1010123</v>
      </c>
      <c r="Y317" s="20">
        <v>3099959</v>
      </c>
      <c r="Z317" s="13">
        <v>3881808</v>
      </c>
      <c r="AA317" s="13">
        <v>4715222</v>
      </c>
      <c r="AB317" s="13"/>
      <c r="AC317" s="15">
        <v>5610551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</row>
    <row r="318" spans="1:46" ht="45" customHeight="1">
      <c r="A318" s="12" t="s">
        <v>2926</v>
      </c>
      <c r="B318" s="13" t="s">
        <v>2927</v>
      </c>
      <c r="C318" s="14" t="s">
        <v>2928</v>
      </c>
      <c r="D318" s="15" t="s">
        <v>2929</v>
      </c>
      <c r="E318" s="15" t="s">
        <v>2930</v>
      </c>
      <c r="F318" s="15" t="s">
        <v>542</v>
      </c>
      <c r="G318" s="15" t="s">
        <v>2931</v>
      </c>
      <c r="H318" s="15" t="s">
        <v>2932</v>
      </c>
      <c r="I318" s="15" t="s">
        <v>149</v>
      </c>
      <c r="J318" s="15" t="s">
        <v>2931</v>
      </c>
      <c r="K318" s="15" t="s">
        <v>2932</v>
      </c>
      <c r="L318" s="15" t="s">
        <v>149</v>
      </c>
      <c r="M318" s="46" t="s">
        <v>2933</v>
      </c>
      <c r="N318" s="13" t="s">
        <v>2934</v>
      </c>
      <c r="O318" s="13"/>
      <c r="P318" s="15" t="s">
        <v>94</v>
      </c>
      <c r="Q318" s="17" t="s">
        <v>2935</v>
      </c>
      <c r="R318" s="18">
        <v>83</v>
      </c>
      <c r="S318" s="19">
        <f t="shared" si="5"/>
        <v>13446</v>
      </c>
      <c r="T318" s="12" t="s">
        <v>46</v>
      </c>
      <c r="U318" s="15"/>
      <c r="V318" s="19">
        <v>44610</v>
      </c>
      <c r="W318" s="15" t="s">
        <v>71</v>
      </c>
      <c r="X318" s="13">
        <v>1023494</v>
      </c>
      <c r="Y318" s="20">
        <v>3098833</v>
      </c>
      <c r="Z318" s="13">
        <v>3887905</v>
      </c>
      <c r="AA318" s="13">
        <v>4711512</v>
      </c>
      <c r="AB318" s="13"/>
      <c r="AC318" s="15">
        <v>5566162</v>
      </c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</row>
    <row r="319" spans="1:46" ht="40.5" customHeight="1">
      <c r="A319" s="21" t="s">
        <v>2936</v>
      </c>
      <c r="B319" s="22" t="s">
        <v>2937</v>
      </c>
      <c r="C319" s="23" t="s">
        <v>2938</v>
      </c>
      <c r="D319" s="24" t="s">
        <v>2939</v>
      </c>
      <c r="E319" s="24" t="s">
        <v>2940</v>
      </c>
      <c r="F319" s="24" t="s">
        <v>111</v>
      </c>
      <c r="G319" s="24" t="s">
        <v>2941</v>
      </c>
      <c r="H319" s="24"/>
      <c r="I319" s="24" t="s">
        <v>149</v>
      </c>
      <c r="J319" s="24" t="s">
        <v>2941</v>
      </c>
      <c r="K319" s="24"/>
      <c r="L319" s="24" t="s">
        <v>149</v>
      </c>
      <c r="M319" s="25" t="s">
        <v>2942</v>
      </c>
      <c r="N319" s="22">
        <v>4222848</v>
      </c>
      <c r="O319" s="22"/>
      <c r="P319" s="24" t="s">
        <v>2943</v>
      </c>
      <c r="Q319" s="28" t="s">
        <v>2944</v>
      </c>
      <c r="R319" s="29">
        <v>2227</v>
      </c>
      <c r="S319" s="30">
        <f t="shared" si="5"/>
        <v>360774</v>
      </c>
      <c r="T319" s="21" t="s">
        <v>96</v>
      </c>
      <c r="U319" s="24"/>
      <c r="V319" s="30">
        <v>368160</v>
      </c>
      <c r="W319" s="24" t="s">
        <v>71</v>
      </c>
      <c r="X319" s="22">
        <v>1029853</v>
      </c>
      <c r="Y319" s="31">
        <v>3121040</v>
      </c>
      <c r="Z319" s="22">
        <v>3899519</v>
      </c>
      <c r="AA319" s="22">
        <v>4757840</v>
      </c>
      <c r="AB319" s="22"/>
      <c r="AC319" s="24">
        <v>5607064</v>
      </c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</row>
    <row r="320" spans="1:46" ht="45" customHeight="1">
      <c r="A320" s="12" t="s">
        <v>2945</v>
      </c>
      <c r="B320" s="13" t="s">
        <v>2946</v>
      </c>
      <c r="C320" s="14" t="s">
        <v>2947</v>
      </c>
      <c r="D320" s="15" t="s">
        <v>2948</v>
      </c>
      <c r="E320" s="15" t="s">
        <v>2949</v>
      </c>
      <c r="F320" s="15" t="s">
        <v>2950</v>
      </c>
      <c r="G320" s="15" t="s">
        <v>2951</v>
      </c>
      <c r="H320" s="15" t="s">
        <v>2379</v>
      </c>
      <c r="I320" s="15" t="s">
        <v>80</v>
      </c>
      <c r="J320" s="15" t="s">
        <v>2951</v>
      </c>
      <c r="K320" s="15" t="s">
        <v>2379</v>
      </c>
      <c r="L320" s="15" t="s">
        <v>80</v>
      </c>
      <c r="M320" s="46" t="s">
        <v>2952</v>
      </c>
      <c r="N320" s="13" t="s">
        <v>2953</v>
      </c>
      <c r="O320" s="13"/>
      <c r="P320" s="15" t="s">
        <v>94</v>
      </c>
      <c r="Q320" s="17" t="s">
        <v>2954</v>
      </c>
      <c r="R320" s="18">
        <v>32</v>
      </c>
      <c r="S320" s="19">
        <f t="shared" si="5"/>
        <v>5184</v>
      </c>
      <c r="T320" s="12" t="s">
        <v>46</v>
      </c>
      <c r="U320" s="15"/>
      <c r="V320" s="19">
        <v>44610</v>
      </c>
      <c r="W320" s="15" t="s">
        <v>71</v>
      </c>
      <c r="X320" s="13">
        <v>1022382</v>
      </c>
      <c r="Y320" s="20">
        <v>3082042</v>
      </c>
      <c r="Z320" s="13">
        <v>3859408</v>
      </c>
      <c r="AA320" s="13">
        <v>4755914</v>
      </c>
      <c r="AB320" s="13"/>
      <c r="AC320" s="15">
        <v>5566116</v>
      </c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</row>
    <row r="321" spans="1:46" ht="45" customHeight="1">
      <c r="A321" s="12" t="s">
        <v>2955</v>
      </c>
      <c r="B321" s="13" t="s">
        <v>2956</v>
      </c>
      <c r="C321" s="14" t="s">
        <v>2957</v>
      </c>
      <c r="D321" s="15" t="s">
        <v>2958</v>
      </c>
      <c r="E321" s="15" t="s">
        <v>2959</v>
      </c>
      <c r="F321" s="15" t="s">
        <v>181</v>
      </c>
      <c r="G321" s="15" t="s">
        <v>2960</v>
      </c>
      <c r="H321" s="15" t="s">
        <v>2961</v>
      </c>
      <c r="I321" s="15" t="s">
        <v>80</v>
      </c>
      <c r="J321" s="15" t="s">
        <v>2960</v>
      </c>
      <c r="K321" s="15" t="s">
        <v>2961</v>
      </c>
      <c r="L321" s="15" t="s">
        <v>80</v>
      </c>
      <c r="M321" s="114" t="s">
        <v>2962</v>
      </c>
      <c r="N321" s="13" t="s">
        <v>2963</v>
      </c>
      <c r="O321" s="13"/>
      <c r="P321" s="15" t="s">
        <v>117</v>
      </c>
      <c r="Q321" s="17" t="s">
        <v>2964</v>
      </c>
      <c r="R321" s="18">
        <v>310</v>
      </c>
      <c r="S321" s="19">
        <f t="shared" si="5"/>
        <v>50220</v>
      </c>
      <c r="T321" s="12" t="s">
        <v>46</v>
      </c>
      <c r="U321" s="15"/>
      <c r="V321" s="19">
        <v>44610</v>
      </c>
      <c r="W321" s="15" t="s">
        <v>71</v>
      </c>
      <c r="X321" s="13">
        <v>1010874</v>
      </c>
      <c r="Y321" s="20">
        <v>3088263</v>
      </c>
      <c r="Z321" s="13">
        <v>3879323</v>
      </c>
      <c r="AA321" s="13">
        <v>4744711</v>
      </c>
      <c r="AB321" s="13"/>
      <c r="AC321" s="15">
        <v>5606442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</row>
    <row r="322" spans="1:46" ht="45" customHeight="1">
      <c r="A322" s="21" t="s">
        <v>2965</v>
      </c>
      <c r="B322" s="22" t="s">
        <v>2966</v>
      </c>
      <c r="C322" s="23" t="s">
        <v>2967</v>
      </c>
      <c r="D322" s="24" t="s">
        <v>2968</v>
      </c>
      <c r="E322" s="24" t="s">
        <v>2969</v>
      </c>
      <c r="F322" s="24" t="s">
        <v>2970</v>
      </c>
      <c r="G322" s="24" t="s">
        <v>2971</v>
      </c>
      <c r="H322" s="24" t="s">
        <v>52</v>
      </c>
      <c r="I322" s="24" t="s">
        <v>53</v>
      </c>
      <c r="J322" s="24" t="s">
        <v>2971</v>
      </c>
      <c r="K322" s="24"/>
      <c r="L322" s="24" t="s">
        <v>206</v>
      </c>
      <c r="M322" s="25" t="s">
        <v>2972</v>
      </c>
      <c r="N322" s="22" t="s">
        <v>2973</v>
      </c>
      <c r="O322" s="22"/>
      <c r="P322" s="24" t="s">
        <v>2974</v>
      </c>
      <c r="Q322" s="28" t="s">
        <v>2975</v>
      </c>
      <c r="R322" s="29">
        <v>8949</v>
      </c>
      <c r="S322" s="30">
        <f t="shared" si="5"/>
        <v>1449738</v>
      </c>
      <c r="T322" s="21" t="s">
        <v>70</v>
      </c>
      <c r="U322" s="24"/>
      <c r="V322" s="30">
        <f>S322</f>
        <v>1449738</v>
      </c>
      <c r="W322" s="24" t="s">
        <v>71</v>
      </c>
      <c r="X322" s="22">
        <v>1022201</v>
      </c>
      <c r="Y322" s="31">
        <v>3113679</v>
      </c>
      <c r="Z322" s="22">
        <v>3904926</v>
      </c>
      <c r="AA322" s="22">
        <v>4745348</v>
      </c>
      <c r="AB322" s="22"/>
      <c r="AC322" s="111">
        <v>5600295</v>
      </c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</row>
    <row r="323" spans="1:46" ht="45" customHeight="1">
      <c r="A323" s="12" t="s">
        <v>2976</v>
      </c>
      <c r="B323" s="13" t="s">
        <v>2977</v>
      </c>
      <c r="C323" s="14" t="s">
        <v>2978</v>
      </c>
      <c r="D323" s="15" t="s">
        <v>2979</v>
      </c>
      <c r="E323" s="15" t="s">
        <v>1363</v>
      </c>
      <c r="F323" s="15" t="s">
        <v>111</v>
      </c>
      <c r="G323" s="15" t="s">
        <v>2980</v>
      </c>
      <c r="H323" s="15"/>
      <c r="I323" s="15" t="s">
        <v>149</v>
      </c>
      <c r="J323" s="15" t="s">
        <v>2980</v>
      </c>
      <c r="K323" s="15"/>
      <c r="L323" s="15" t="s">
        <v>149</v>
      </c>
      <c r="M323" s="16" t="s">
        <v>2981</v>
      </c>
      <c r="N323" s="13">
        <v>2614853772</v>
      </c>
      <c r="O323" s="13"/>
      <c r="P323" s="15" t="s">
        <v>44</v>
      </c>
      <c r="Q323" s="17" t="s">
        <v>2982</v>
      </c>
      <c r="R323" s="18">
        <v>8</v>
      </c>
      <c r="S323" s="19">
        <f t="shared" si="5"/>
        <v>1296</v>
      </c>
      <c r="T323" s="12" t="s">
        <v>46</v>
      </c>
      <c r="U323" s="15"/>
      <c r="V323" s="19">
        <v>44610</v>
      </c>
      <c r="W323" s="15" t="s">
        <v>71</v>
      </c>
      <c r="X323" s="13">
        <v>1019714</v>
      </c>
      <c r="Y323" s="20">
        <v>3113869</v>
      </c>
      <c r="Z323" s="13">
        <v>3852436</v>
      </c>
      <c r="AA323" s="13">
        <v>4721315</v>
      </c>
      <c r="AB323" s="13"/>
      <c r="AC323" s="15">
        <v>5608676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</row>
    <row r="324" spans="1:46" ht="45" customHeight="1">
      <c r="A324" s="12" t="s">
        <v>2983</v>
      </c>
      <c r="B324" s="13" t="s">
        <v>2984</v>
      </c>
      <c r="C324" s="14" t="s">
        <v>2985</v>
      </c>
      <c r="D324" s="15" t="s">
        <v>2221</v>
      </c>
      <c r="E324" s="15" t="s">
        <v>2986</v>
      </c>
      <c r="F324" s="15" t="s">
        <v>181</v>
      </c>
      <c r="G324" s="15" t="s">
        <v>2224</v>
      </c>
      <c r="H324" s="15"/>
      <c r="I324" s="15" t="s">
        <v>80</v>
      </c>
      <c r="J324" s="15" t="s">
        <v>2987</v>
      </c>
      <c r="K324" s="15"/>
      <c r="L324" s="15" t="s">
        <v>80</v>
      </c>
      <c r="M324" s="46" t="s">
        <v>2988</v>
      </c>
      <c r="N324" s="13" t="s">
        <v>2989</v>
      </c>
      <c r="O324" s="13"/>
      <c r="P324" s="15" t="s">
        <v>94</v>
      </c>
      <c r="Q324" s="17" t="s">
        <v>2990</v>
      </c>
      <c r="R324" s="18">
        <v>264</v>
      </c>
      <c r="S324" s="19">
        <f t="shared" si="5"/>
        <v>42768</v>
      </c>
      <c r="T324" s="12" t="s">
        <v>46</v>
      </c>
      <c r="U324" s="15"/>
      <c r="V324" s="19">
        <v>44610</v>
      </c>
      <c r="W324" s="15" t="s">
        <v>47</v>
      </c>
      <c r="X324" s="13">
        <v>1132741</v>
      </c>
      <c r="Y324" s="20">
        <v>3060201</v>
      </c>
      <c r="Z324" s="13">
        <v>3807119</v>
      </c>
      <c r="AA324" s="13">
        <v>4740808</v>
      </c>
      <c r="AB324" s="13"/>
      <c r="AC324" s="15">
        <v>5548675</v>
      </c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</row>
    <row r="325" spans="1:46" ht="45" customHeight="1">
      <c r="A325" s="21" t="s">
        <v>2991</v>
      </c>
      <c r="B325" s="22" t="s">
        <v>2992</v>
      </c>
      <c r="C325" s="23" t="s">
        <v>2993</v>
      </c>
      <c r="D325" s="24" t="s">
        <v>2994</v>
      </c>
      <c r="E325" s="24" t="s">
        <v>2995</v>
      </c>
      <c r="F325" s="24" t="s">
        <v>776</v>
      </c>
      <c r="G325" s="24" t="s">
        <v>2996</v>
      </c>
      <c r="H325" s="24" t="s">
        <v>79</v>
      </c>
      <c r="I325" s="24" t="s">
        <v>80</v>
      </c>
      <c r="J325" s="24" t="s">
        <v>2996</v>
      </c>
      <c r="K325" s="24" t="s">
        <v>79</v>
      </c>
      <c r="L325" s="24" t="s">
        <v>80</v>
      </c>
      <c r="M325" s="70" t="s">
        <v>2997</v>
      </c>
      <c r="N325" s="22" t="s">
        <v>2998</v>
      </c>
      <c r="O325" s="26">
        <v>45927</v>
      </c>
      <c r="P325" s="24" t="s">
        <v>2999</v>
      </c>
      <c r="Q325" s="28" t="s">
        <v>3000</v>
      </c>
      <c r="R325" s="29">
        <v>10367.5</v>
      </c>
      <c r="S325" s="30">
        <f t="shared" si="5"/>
        <v>1679535</v>
      </c>
      <c r="T325" s="21" t="s">
        <v>70</v>
      </c>
      <c r="U325" s="24"/>
      <c r="V325" s="30">
        <f>+S325/2</f>
        <v>839767.5</v>
      </c>
      <c r="W325" s="24"/>
      <c r="X325" s="22">
        <v>1130468</v>
      </c>
      <c r="Y325" s="31">
        <v>3110605</v>
      </c>
      <c r="Z325" s="22"/>
      <c r="AA325" s="22">
        <v>4679305</v>
      </c>
      <c r="AB325" s="22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</row>
    <row r="326" spans="1:46" ht="45" customHeight="1">
      <c r="A326" s="12" t="s">
        <v>3001</v>
      </c>
      <c r="B326" s="13" t="s">
        <v>3002</v>
      </c>
      <c r="C326" s="14" t="s">
        <v>3003</v>
      </c>
      <c r="D326" s="15" t="s">
        <v>2719</v>
      </c>
      <c r="E326" s="15" t="s">
        <v>247</v>
      </c>
      <c r="F326" s="15" t="s">
        <v>181</v>
      </c>
      <c r="G326" s="15" t="s">
        <v>3004</v>
      </c>
      <c r="H326" s="15" t="s">
        <v>3005</v>
      </c>
      <c r="I326" s="15" t="s">
        <v>321</v>
      </c>
      <c r="J326" s="15" t="s">
        <v>3004</v>
      </c>
      <c r="K326" s="15" t="s">
        <v>3005</v>
      </c>
      <c r="L326" s="15" t="s">
        <v>321</v>
      </c>
      <c r="M326" s="16" t="s">
        <v>3006</v>
      </c>
      <c r="N326" s="13" t="s">
        <v>3007</v>
      </c>
      <c r="O326" s="13"/>
      <c r="P326" s="15" t="s">
        <v>94</v>
      </c>
      <c r="Q326" s="17" t="s">
        <v>3008</v>
      </c>
      <c r="R326" s="18">
        <v>164</v>
      </c>
      <c r="S326" s="19">
        <f t="shared" si="5"/>
        <v>26568</v>
      </c>
      <c r="T326" s="12" t="s">
        <v>46</v>
      </c>
      <c r="U326" s="15"/>
      <c r="V326" s="19">
        <v>44610</v>
      </c>
      <c r="W326" s="15" t="s">
        <v>71</v>
      </c>
      <c r="X326" s="13"/>
      <c r="Y326" s="20">
        <v>3088400</v>
      </c>
      <c r="Z326" s="13">
        <v>3883644</v>
      </c>
      <c r="AA326" s="13">
        <v>4712698</v>
      </c>
      <c r="AB326" s="13"/>
      <c r="AC326" s="15">
        <v>5567924</v>
      </c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</row>
    <row r="327" spans="1:46" ht="45" customHeight="1">
      <c r="A327" s="40" t="s">
        <v>3009</v>
      </c>
      <c r="B327" s="33" t="s">
        <v>3010</v>
      </c>
      <c r="C327" s="34" t="s">
        <v>3011</v>
      </c>
      <c r="D327" s="35" t="s">
        <v>3012</v>
      </c>
      <c r="E327" s="35" t="s">
        <v>2094</v>
      </c>
      <c r="F327" s="35" t="s">
        <v>181</v>
      </c>
      <c r="G327" s="35" t="s">
        <v>3013</v>
      </c>
      <c r="H327" s="35" t="s">
        <v>52</v>
      </c>
      <c r="I327" s="35" t="s">
        <v>53</v>
      </c>
      <c r="J327" s="35" t="s">
        <v>3013</v>
      </c>
      <c r="K327" s="35"/>
      <c r="L327" s="35" t="s">
        <v>206</v>
      </c>
      <c r="M327" s="136"/>
      <c r="N327" s="33">
        <v>4308321</v>
      </c>
      <c r="O327" s="33"/>
      <c r="P327" s="35" t="s">
        <v>3014</v>
      </c>
      <c r="Q327" s="37" t="s">
        <v>3015</v>
      </c>
      <c r="R327" s="38">
        <v>8</v>
      </c>
      <c r="S327" s="39">
        <f t="shared" si="5"/>
        <v>1296</v>
      </c>
      <c r="T327" s="40" t="s">
        <v>46</v>
      </c>
      <c r="U327" s="35"/>
      <c r="V327" s="39">
        <v>44610</v>
      </c>
      <c r="W327" s="35"/>
      <c r="X327" s="33"/>
      <c r="Y327" s="41"/>
      <c r="Z327" s="33"/>
      <c r="AA327" s="33"/>
      <c r="AB327" s="33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</row>
    <row r="328" spans="1:46" ht="45" customHeight="1">
      <c r="A328" s="21" t="s">
        <v>3016</v>
      </c>
      <c r="B328" s="22" t="s">
        <v>3017</v>
      </c>
      <c r="C328" s="23" t="s">
        <v>3018</v>
      </c>
      <c r="D328" s="24" t="s">
        <v>3019</v>
      </c>
      <c r="E328" s="24" t="s">
        <v>3020</v>
      </c>
      <c r="F328" s="24" t="s">
        <v>776</v>
      </c>
      <c r="G328" s="24" t="s">
        <v>3021</v>
      </c>
      <c r="H328" s="24" t="s">
        <v>52</v>
      </c>
      <c r="I328" s="24" t="s">
        <v>53</v>
      </c>
      <c r="J328" s="24" t="s">
        <v>3022</v>
      </c>
      <c r="K328" s="24" t="s">
        <v>3023</v>
      </c>
      <c r="L328" s="24" t="s">
        <v>1927</v>
      </c>
      <c r="M328" s="25" t="s">
        <v>3024</v>
      </c>
      <c r="N328" s="22" t="s">
        <v>3025</v>
      </c>
      <c r="O328" s="26">
        <v>46764</v>
      </c>
      <c r="P328" s="24" t="s">
        <v>3026</v>
      </c>
      <c r="Q328" s="28" t="s">
        <v>3027</v>
      </c>
      <c r="R328" s="29">
        <v>3193</v>
      </c>
      <c r="S328" s="30">
        <f t="shared" si="5"/>
        <v>517266</v>
      </c>
      <c r="T328" s="21" t="s">
        <v>129</v>
      </c>
      <c r="U328" s="24"/>
      <c r="V328" s="30">
        <v>545160</v>
      </c>
      <c r="W328" s="24" t="s">
        <v>71</v>
      </c>
      <c r="X328" s="22">
        <v>1006106</v>
      </c>
      <c r="Y328" s="31">
        <v>3112357</v>
      </c>
      <c r="Z328" s="22">
        <v>3830040</v>
      </c>
      <c r="AA328" s="22">
        <v>4679245</v>
      </c>
      <c r="AB328" s="22"/>
      <c r="AC328" s="24">
        <v>5493413</v>
      </c>
      <c r="AD328" s="45">
        <v>6467717</v>
      </c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</row>
    <row r="329" spans="1:46" ht="45" customHeight="1">
      <c r="A329" s="12" t="s">
        <v>3028</v>
      </c>
      <c r="B329" s="13" t="s">
        <v>3029</v>
      </c>
      <c r="C329" s="14" t="s">
        <v>3030</v>
      </c>
      <c r="D329" s="15" t="s">
        <v>2221</v>
      </c>
      <c r="E329" s="15" t="s">
        <v>3031</v>
      </c>
      <c r="F329" s="15" t="s">
        <v>181</v>
      </c>
      <c r="G329" s="15" t="s">
        <v>2224</v>
      </c>
      <c r="H329" s="15"/>
      <c r="I329" s="15" t="s">
        <v>80</v>
      </c>
      <c r="J329" s="15" t="s">
        <v>3032</v>
      </c>
      <c r="K329" s="15"/>
      <c r="L329" s="15" t="s">
        <v>80</v>
      </c>
      <c r="M329" s="46" t="s">
        <v>2988</v>
      </c>
      <c r="N329" s="13" t="s">
        <v>3033</v>
      </c>
      <c r="O329" s="13"/>
      <c r="P329" s="15" t="s">
        <v>94</v>
      </c>
      <c r="Q329" s="17" t="s">
        <v>3034</v>
      </c>
      <c r="R329" s="18">
        <v>175</v>
      </c>
      <c r="S329" s="19">
        <f t="shared" si="5"/>
        <v>28350</v>
      </c>
      <c r="T329" s="12" t="s">
        <v>46</v>
      </c>
      <c r="U329" s="15"/>
      <c r="V329" s="19">
        <v>44610</v>
      </c>
      <c r="W329" s="15" t="s">
        <v>47</v>
      </c>
      <c r="X329" s="13">
        <v>1132712</v>
      </c>
      <c r="Y329" s="20">
        <v>3071930</v>
      </c>
      <c r="Z329" s="13">
        <v>3805489</v>
      </c>
      <c r="AA329" s="13">
        <v>4740778</v>
      </c>
      <c r="AB329" s="13"/>
      <c r="AC329" s="15">
        <v>5548672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</row>
    <row r="330" spans="1:46" ht="45" customHeight="1">
      <c r="A330" s="12" t="s">
        <v>3035</v>
      </c>
      <c r="B330" s="13" t="s">
        <v>3036</v>
      </c>
      <c r="C330" s="14" t="s">
        <v>3037</v>
      </c>
      <c r="D330" s="15" t="s">
        <v>3038</v>
      </c>
      <c r="E330" s="15" t="s">
        <v>3039</v>
      </c>
      <c r="F330" s="15" t="s">
        <v>181</v>
      </c>
      <c r="G330" s="15" t="s">
        <v>3040</v>
      </c>
      <c r="H330" s="15" t="s">
        <v>3041</v>
      </c>
      <c r="I330" s="15" t="s">
        <v>41</v>
      </c>
      <c r="J330" s="15" t="s">
        <v>3042</v>
      </c>
      <c r="K330" s="15" t="s">
        <v>3041</v>
      </c>
      <c r="L330" s="15" t="s">
        <v>41</v>
      </c>
      <c r="M330" s="16" t="s">
        <v>3043</v>
      </c>
      <c r="N330" s="13" t="s">
        <v>3044</v>
      </c>
      <c r="O330" s="13"/>
      <c r="P330" s="15" t="s">
        <v>94</v>
      </c>
      <c r="Q330" s="17" t="s">
        <v>3045</v>
      </c>
      <c r="R330" s="18">
        <v>328</v>
      </c>
      <c r="S330" s="19">
        <f t="shared" si="5"/>
        <v>53136</v>
      </c>
      <c r="T330" s="12" t="s">
        <v>46</v>
      </c>
      <c r="U330" s="15"/>
      <c r="V330" s="19">
        <v>44610</v>
      </c>
      <c r="W330" s="15" t="s">
        <v>71</v>
      </c>
      <c r="X330" s="13">
        <v>1036369</v>
      </c>
      <c r="Y330" s="20"/>
      <c r="Z330" s="13">
        <v>3896947</v>
      </c>
      <c r="AA330" s="13"/>
      <c r="AB330" s="13"/>
      <c r="AC330" s="15">
        <v>5564342</v>
      </c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</row>
    <row r="331" spans="1:46" ht="45" customHeight="1">
      <c r="A331" s="12" t="s">
        <v>3046</v>
      </c>
      <c r="B331" s="13" t="s">
        <v>3047</v>
      </c>
      <c r="C331" s="14" t="s">
        <v>3048</v>
      </c>
      <c r="D331" s="15" t="s">
        <v>3049</v>
      </c>
      <c r="E331" s="15" t="s">
        <v>488</v>
      </c>
      <c r="F331" s="15" t="s">
        <v>181</v>
      </c>
      <c r="G331" s="15" t="s">
        <v>3050</v>
      </c>
      <c r="H331" s="15" t="s">
        <v>798</v>
      </c>
      <c r="I331" s="15" t="s">
        <v>41</v>
      </c>
      <c r="J331" s="15" t="s">
        <v>3050</v>
      </c>
      <c r="K331" s="15" t="s">
        <v>798</v>
      </c>
      <c r="L331" s="15" t="s">
        <v>41</v>
      </c>
      <c r="M331" s="46" t="s">
        <v>3051</v>
      </c>
      <c r="N331" s="13" t="s">
        <v>3052</v>
      </c>
      <c r="O331" s="13"/>
      <c r="P331" s="15" t="s">
        <v>94</v>
      </c>
      <c r="Q331" s="17" t="s">
        <v>3053</v>
      </c>
      <c r="R331" s="18">
        <v>359</v>
      </c>
      <c r="S331" s="19">
        <f t="shared" si="5"/>
        <v>58158</v>
      </c>
      <c r="T331" s="12" t="s">
        <v>46</v>
      </c>
      <c r="U331" s="15"/>
      <c r="V331" s="19">
        <v>44610</v>
      </c>
      <c r="W331" s="15" t="s">
        <v>71</v>
      </c>
      <c r="X331" s="13">
        <v>1106629</v>
      </c>
      <c r="Y331" s="20">
        <v>3104142</v>
      </c>
      <c r="Z331" s="13">
        <v>3832681</v>
      </c>
      <c r="AA331" s="13">
        <v>4671499</v>
      </c>
      <c r="AB331" s="13"/>
      <c r="AC331" s="15">
        <v>5580684</v>
      </c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</row>
    <row r="332" spans="1:46" ht="45" customHeight="1">
      <c r="A332" s="79" t="s">
        <v>3054</v>
      </c>
      <c r="B332" s="80" t="s">
        <v>3055</v>
      </c>
      <c r="C332" s="81" t="s">
        <v>3056</v>
      </c>
      <c r="D332" s="82" t="s">
        <v>3057</v>
      </c>
      <c r="E332" s="82" t="s">
        <v>3058</v>
      </c>
      <c r="F332" s="82" t="s">
        <v>762</v>
      </c>
      <c r="G332" s="82" t="s">
        <v>3059</v>
      </c>
      <c r="H332" s="82"/>
      <c r="I332" s="82" t="s">
        <v>80</v>
      </c>
      <c r="J332" s="82" t="s">
        <v>3060</v>
      </c>
      <c r="K332" s="82"/>
      <c r="L332" s="82" t="s">
        <v>80</v>
      </c>
      <c r="M332" s="83" t="s">
        <v>3061</v>
      </c>
      <c r="N332" s="80" t="s">
        <v>3062</v>
      </c>
      <c r="O332" s="80"/>
      <c r="P332" s="82" t="s">
        <v>94</v>
      </c>
      <c r="Q332" s="84" t="s">
        <v>3063</v>
      </c>
      <c r="R332" s="85" t="s">
        <v>770</v>
      </c>
      <c r="S332" s="86" t="e">
        <f t="shared" si="5"/>
        <v>#VALUE!</v>
      </c>
      <c r="T332" s="87" t="s">
        <v>770</v>
      </c>
      <c r="U332" s="82"/>
      <c r="V332" s="86">
        <v>0</v>
      </c>
      <c r="W332" s="82"/>
      <c r="X332" s="80"/>
      <c r="Y332" s="88"/>
      <c r="Z332" s="80"/>
      <c r="AA332" s="80"/>
      <c r="AB332" s="80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</row>
    <row r="333" spans="1:46" ht="45" customHeight="1">
      <c r="A333" s="21" t="s">
        <v>3064</v>
      </c>
      <c r="B333" s="22" t="s">
        <v>3065</v>
      </c>
      <c r="C333" s="23" t="s">
        <v>3066</v>
      </c>
      <c r="D333" s="24" t="s">
        <v>3067</v>
      </c>
      <c r="E333" s="24" t="s">
        <v>3068</v>
      </c>
      <c r="F333" s="24" t="s">
        <v>776</v>
      </c>
      <c r="G333" s="24" t="s">
        <v>3069</v>
      </c>
      <c r="H333" s="24" t="s">
        <v>125</v>
      </c>
      <c r="I333" s="24" t="s">
        <v>115</v>
      </c>
      <c r="J333" s="24" t="s">
        <v>3069</v>
      </c>
      <c r="K333" s="24" t="s">
        <v>125</v>
      </c>
      <c r="L333" s="24" t="s">
        <v>115</v>
      </c>
      <c r="M333" s="59" t="s">
        <v>3070</v>
      </c>
      <c r="N333" s="22" t="s">
        <v>3071</v>
      </c>
      <c r="O333" s="22"/>
      <c r="P333" s="24" t="s">
        <v>600</v>
      </c>
      <c r="Q333" s="28" t="s">
        <v>3072</v>
      </c>
      <c r="R333" s="29">
        <v>1396</v>
      </c>
      <c r="S333" s="30">
        <f t="shared" si="5"/>
        <v>226152</v>
      </c>
      <c r="T333" s="21" t="s">
        <v>198</v>
      </c>
      <c r="U333" s="24"/>
      <c r="V333" s="30">
        <v>215940</v>
      </c>
      <c r="W333" s="24" t="s">
        <v>71</v>
      </c>
      <c r="X333" s="22">
        <v>1026478</v>
      </c>
      <c r="Y333" s="31">
        <v>3086091</v>
      </c>
      <c r="Z333" s="22">
        <v>3844284</v>
      </c>
      <c r="AA333" s="22">
        <v>4685415</v>
      </c>
      <c r="AB333" s="22"/>
      <c r="AC333" s="24">
        <v>5570950</v>
      </c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</row>
    <row r="334" spans="1:46" ht="45" customHeight="1">
      <c r="A334" s="12" t="s">
        <v>3073</v>
      </c>
      <c r="B334" s="13" t="s">
        <v>3074</v>
      </c>
      <c r="C334" s="14" t="s">
        <v>3075</v>
      </c>
      <c r="D334" s="15" t="s">
        <v>3076</v>
      </c>
      <c r="E334" s="15" t="s">
        <v>3077</v>
      </c>
      <c r="F334" s="15" t="s">
        <v>147</v>
      </c>
      <c r="G334" s="15" t="s">
        <v>3078</v>
      </c>
      <c r="H334" s="15" t="s">
        <v>52</v>
      </c>
      <c r="I334" s="15" t="s">
        <v>53</v>
      </c>
      <c r="J334" s="15" t="s">
        <v>3078</v>
      </c>
      <c r="K334" s="15" t="s">
        <v>3079</v>
      </c>
      <c r="L334" s="15" t="s">
        <v>206</v>
      </c>
      <c r="M334" s="16" t="s">
        <v>3080</v>
      </c>
      <c r="N334" s="13" t="s">
        <v>3081</v>
      </c>
      <c r="O334" s="13"/>
      <c r="P334" s="15" t="s">
        <v>151</v>
      </c>
      <c r="Q334" s="17" t="s">
        <v>3082</v>
      </c>
      <c r="R334" s="18">
        <v>318</v>
      </c>
      <c r="S334" s="19">
        <f t="shared" si="5"/>
        <v>51516</v>
      </c>
      <c r="T334" s="12" t="s">
        <v>46</v>
      </c>
      <c r="U334" s="15"/>
      <c r="V334" s="19">
        <v>44610</v>
      </c>
      <c r="W334" s="15"/>
      <c r="X334" s="13"/>
      <c r="Y334" s="20"/>
      <c r="Z334" s="13"/>
      <c r="AA334" s="13"/>
      <c r="AB334" s="13">
        <v>4841791</v>
      </c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</row>
    <row r="335" spans="1:46" ht="45" customHeight="1">
      <c r="A335" s="12" t="s">
        <v>3083</v>
      </c>
      <c r="B335" s="13" t="s">
        <v>3084</v>
      </c>
      <c r="C335" s="14" t="s">
        <v>3085</v>
      </c>
      <c r="D335" s="15" t="s">
        <v>3086</v>
      </c>
      <c r="E335" s="15" t="s">
        <v>3087</v>
      </c>
      <c r="F335" s="15" t="s">
        <v>909</v>
      </c>
      <c r="G335" s="15" t="s">
        <v>3088</v>
      </c>
      <c r="H335" s="15" t="s">
        <v>52</v>
      </c>
      <c r="I335" s="15" t="s">
        <v>53</v>
      </c>
      <c r="J335" s="15" t="s">
        <v>3089</v>
      </c>
      <c r="K335" s="15" t="s">
        <v>2379</v>
      </c>
      <c r="L335" s="15" t="s">
        <v>80</v>
      </c>
      <c r="M335" s="16" t="s">
        <v>3090</v>
      </c>
      <c r="N335" s="13" t="s">
        <v>3091</v>
      </c>
      <c r="O335" s="13"/>
      <c r="P335" s="15" t="s">
        <v>94</v>
      </c>
      <c r="Q335" s="17" t="s">
        <v>3092</v>
      </c>
      <c r="R335" s="18">
        <v>575.1</v>
      </c>
      <c r="S335" s="19">
        <f t="shared" si="5"/>
        <v>93166.2</v>
      </c>
      <c r="T335" s="12" t="s">
        <v>46</v>
      </c>
      <c r="U335" s="15"/>
      <c r="V335" s="19">
        <v>44610</v>
      </c>
      <c r="W335" s="15"/>
      <c r="X335" s="13"/>
      <c r="Y335" s="20">
        <v>3084824</v>
      </c>
      <c r="Z335" s="13"/>
      <c r="AA335" s="13">
        <v>4734339</v>
      </c>
      <c r="AB335" s="13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</row>
    <row r="336" spans="1:46" ht="45" customHeight="1">
      <c r="A336" s="12" t="s">
        <v>3093</v>
      </c>
      <c r="B336" s="13" t="s">
        <v>3094</v>
      </c>
      <c r="C336" s="14" t="s">
        <v>3095</v>
      </c>
      <c r="D336" s="15" t="s">
        <v>3096</v>
      </c>
      <c r="E336" s="15" t="s">
        <v>3097</v>
      </c>
      <c r="F336" s="15" t="s">
        <v>62</v>
      </c>
      <c r="G336" s="15" t="s">
        <v>3098</v>
      </c>
      <c r="H336" s="15" t="s">
        <v>3099</v>
      </c>
      <c r="I336" s="15" t="s">
        <v>38</v>
      </c>
      <c r="J336" s="15" t="s">
        <v>3098</v>
      </c>
      <c r="K336" s="15" t="s">
        <v>3099</v>
      </c>
      <c r="L336" s="15" t="s">
        <v>38</v>
      </c>
      <c r="M336" s="46" t="s">
        <v>3100</v>
      </c>
      <c r="N336" s="13" t="s">
        <v>3101</v>
      </c>
      <c r="O336" s="13"/>
      <c r="P336" s="15" t="s">
        <v>44</v>
      </c>
      <c r="Q336" s="17" t="s">
        <v>3102</v>
      </c>
      <c r="R336" s="18">
        <v>405</v>
      </c>
      <c r="S336" s="19">
        <f t="shared" si="5"/>
        <v>65610</v>
      </c>
      <c r="T336" s="12" t="s">
        <v>46</v>
      </c>
      <c r="U336" s="15"/>
      <c r="V336" s="19">
        <v>44610</v>
      </c>
      <c r="W336" s="15" t="s">
        <v>71</v>
      </c>
      <c r="X336" s="13">
        <v>1131132</v>
      </c>
      <c r="Y336" s="20">
        <v>3115767</v>
      </c>
      <c r="Z336" s="13">
        <v>3908159</v>
      </c>
      <c r="AA336" s="13">
        <v>4683152</v>
      </c>
      <c r="AB336" s="13"/>
      <c r="AC336" s="15">
        <v>5594764</v>
      </c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</row>
    <row r="337" spans="1:46" ht="45" customHeight="1">
      <c r="A337" s="12" t="s">
        <v>3103</v>
      </c>
      <c r="B337" s="13" t="s">
        <v>3104</v>
      </c>
      <c r="C337" s="14" t="s">
        <v>3105</v>
      </c>
      <c r="D337" s="15" t="s">
        <v>3106</v>
      </c>
      <c r="E337" s="15" t="s">
        <v>928</v>
      </c>
      <c r="F337" s="15" t="s">
        <v>181</v>
      </c>
      <c r="G337" s="15" t="s">
        <v>3107</v>
      </c>
      <c r="H337" s="15" t="s">
        <v>79</v>
      </c>
      <c r="I337" s="15" t="s">
        <v>80</v>
      </c>
      <c r="J337" s="15" t="s">
        <v>3107</v>
      </c>
      <c r="K337" s="15" t="s">
        <v>79</v>
      </c>
      <c r="L337" s="15" t="s">
        <v>80</v>
      </c>
      <c r="M337" s="46" t="s">
        <v>3108</v>
      </c>
      <c r="N337" s="13" t="s">
        <v>3109</v>
      </c>
      <c r="O337" s="13"/>
      <c r="P337" s="15" t="s">
        <v>94</v>
      </c>
      <c r="Q337" s="17" t="s">
        <v>3110</v>
      </c>
      <c r="R337" s="18">
        <v>114</v>
      </c>
      <c r="S337" s="19">
        <f t="shared" si="5"/>
        <v>18468</v>
      </c>
      <c r="T337" s="12" t="s">
        <v>46</v>
      </c>
      <c r="U337" s="15"/>
      <c r="V337" s="19">
        <v>44610</v>
      </c>
      <c r="W337" s="15" t="s">
        <v>71</v>
      </c>
      <c r="X337" s="13">
        <v>1028110</v>
      </c>
      <c r="Y337" s="20">
        <v>3111200</v>
      </c>
      <c r="Z337" s="13">
        <v>3868336</v>
      </c>
      <c r="AA337" s="13">
        <v>4704528</v>
      </c>
      <c r="AB337" s="13"/>
      <c r="AC337" s="15">
        <v>5612653</v>
      </c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</row>
    <row r="338" spans="1:46" ht="45" customHeight="1">
      <c r="A338" s="21" t="s">
        <v>3111</v>
      </c>
      <c r="B338" s="22" t="s">
        <v>3112</v>
      </c>
      <c r="C338" s="23" t="s">
        <v>3113</v>
      </c>
      <c r="D338" s="24" t="s">
        <v>3114</v>
      </c>
      <c r="E338" s="24" t="s">
        <v>3115</v>
      </c>
      <c r="F338" s="24" t="s">
        <v>704</v>
      </c>
      <c r="G338" s="24" t="s">
        <v>3116</v>
      </c>
      <c r="H338" s="24" t="s">
        <v>3117</v>
      </c>
      <c r="I338" s="24" t="s">
        <v>80</v>
      </c>
      <c r="J338" s="24" t="s">
        <v>3116</v>
      </c>
      <c r="K338" s="24" t="s">
        <v>3117</v>
      </c>
      <c r="L338" s="24" t="s">
        <v>80</v>
      </c>
      <c r="M338" s="25" t="s">
        <v>3118</v>
      </c>
      <c r="N338" s="22" t="s">
        <v>3119</v>
      </c>
      <c r="O338" s="137">
        <v>46718</v>
      </c>
      <c r="P338" s="45" t="s">
        <v>3120</v>
      </c>
      <c r="Q338" s="28" t="s">
        <v>3121</v>
      </c>
      <c r="R338" s="60">
        <v>4690</v>
      </c>
      <c r="S338" s="30">
        <f t="shared" si="5"/>
        <v>759780</v>
      </c>
      <c r="T338" s="21" t="s">
        <v>105</v>
      </c>
      <c r="U338" s="24"/>
      <c r="V338" s="30">
        <v>736320</v>
      </c>
      <c r="W338" s="45" t="s">
        <v>71</v>
      </c>
      <c r="X338" s="22">
        <v>1041907</v>
      </c>
      <c r="Y338" s="31">
        <v>3087548</v>
      </c>
      <c r="Z338" s="22">
        <v>3889346</v>
      </c>
      <c r="AA338" s="22">
        <v>4745109</v>
      </c>
      <c r="AB338" s="22"/>
      <c r="AC338" s="45">
        <v>5636214</v>
      </c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</row>
    <row r="339" spans="1:46" ht="45" customHeight="1">
      <c r="A339" s="21" t="s">
        <v>3122</v>
      </c>
      <c r="B339" s="22" t="s">
        <v>3123</v>
      </c>
      <c r="C339" s="23" t="s">
        <v>3124</v>
      </c>
      <c r="D339" s="24" t="s">
        <v>3125</v>
      </c>
      <c r="E339" s="24" t="s">
        <v>3126</v>
      </c>
      <c r="F339" s="24" t="s">
        <v>2970</v>
      </c>
      <c r="G339" s="24" t="s">
        <v>3127</v>
      </c>
      <c r="H339" s="24" t="s">
        <v>3128</v>
      </c>
      <c r="I339" s="24" t="s">
        <v>53</v>
      </c>
      <c r="J339" s="24" t="s">
        <v>3129</v>
      </c>
      <c r="K339" s="24" t="s">
        <v>3130</v>
      </c>
      <c r="L339" s="24" t="s">
        <v>1058</v>
      </c>
      <c r="M339" s="76" t="s">
        <v>3131</v>
      </c>
      <c r="N339" s="22" t="s">
        <v>3132</v>
      </c>
      <c r="O339" s="22"/>
      <c r="P339" s="24" t="s">
        <v>117</v>
      </c>
      <c r="Q339" s="28" t="s">
        <v>3133</v>
      </c>
      <c r="R339" s="29">
        <v>2331</v>
      </c>
      <c r="S339" s="30">
        <f t="shared" si="5"/>
        <v>377622</v>
      </c>
      <c r="T339" s="21" t="s">
        <v>96</v>
      </c>
      <c r="U339" s="24"/>
      <c r="V339" s="30">
        <v>368160</v>
      </c>
      <c r="W339" s="45" t="s">
        <v>71</v>
      </c>
      <c r="X339" s="22"/>
      <c r="Y339" s="31"/>
      <c r="Z339" s="22"/>
      <c r="AA339" s="22">
        <v>4628168</v>
      </c>
      <c r="AB339" s="22"/>
      <c r="AC339" s="45">
        <v>5623076</v>
      </c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</row>
    <row r="340" spans="1:46" ht="45" customHeight="1">
      <c r="A340" s="12" t="s">
        <v>3134</v>
      </c>
      <c r="B340" s="13" t="s">
        <v>3135</v>
      </c>
      <c r="C340" s="66" t="s">
        <v>3136</v>
      </c>
      <c r="D340" s="15" t="s">
        <v>3137</v>
      </c>
      <c r="E340" s="15" t="s">
        <v>1809</v>
      </c>
      <c r="F340" s="15" t="s">
        <v>181</v>
      </c>
      <c r="G340" s="15" t="s">
        <v>3138</v>
      </c>
      <c r="H340" s="15" t="s">
        <v>1202</v>
      </c>
      <c r="I340" s="15" t="s">
        <v>115</v>
      </c>
      <c r="J340" s="15" t="s">
        <v>3138</v>
      </c>
      <c r="K340" s="15" t="s">
        <v>1202</v>
      </c>
      <c r="L340" s="15" t="s">
        <v>115</v>
      </c>
      <c r="M340" s="46" t="s">
        <v>3139</v>
      </c>
      <c r="N340" s="13">
        <v>4318248</v>
      </c>
      <c r="O340" s="13"/>
      <c r="P340" s="15" t="s">
        <v>44</v>
      </c>
      <c r="Q340" s="17" t="s">
        <v>3140</v>
      </c>
      <c r="R340" s="18">
        <v>150</v>
      </c>
      <c r="S340" s="19">
        <f t="shared" si="5"/>
        <v>24300</v>
      </c>
      <c r="T340" s="12" t="s">
        <v>46</v>
      </c>
      <c r="U340" s="15"/>
      <c r="V340" s="19">
        <v>44610</v>
      </c>
      <c r="W340" s="15"/>
      <c r="X340" s="13">
        <v>1032667</v>
      </c>
      <c r="Y340" s="20">
        <v>3091024</v>
      </c>
      <c r="Z340" s="13"/>
      <c r="AA340" s="13"/>
      <c r="AB340" s="13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</row>
    <row r="341" spans="1:46" ht="45" customHeight="1">
      <c r="A341" s="12" t="s">
        <v>3141</v>
      </c>
      <c r="B341" s="138" t="s">
        <v>3142</v>
      </c>
      <c r="C341" s="139" t="s">
        <v>3143</v>
      </c>
      <c r="D341" s="140" t="s">
        <v>3144</v>
      </c>
      <c r="E341" s="15" t="s">
        <v>3145</v>
      </c>
      <c r="F341" s="15" t="s">
        <v>181</v>
      </c>
      <c r="G341" s="15" t="s">
        <v>3146</v>
      </c>
      <c r="H341" s="15" t="s">
        <v>405</v>
      </c>
      <c r="I341" s="15" t="s">
        <v>115</v>
      </c>
      <c r="J341" s="15" t="s">
        <v>3146</v>
      </c>
      <c r="K341" s="15" t="s">
        <v>405</v>
      </c>
      <c r="L341" s="15" t="s">
        <v>115</v>
      </c>
      <c r="M341" s="114" t="s">
        <v>3147</v>
      </c>
      <c r="N341" s="13" t="s">
        <v>3148</v>
      </c>
      <c r="O341" s="13"/>
      <c r="P341" s="15" t="s">
        <v>94</v>
      </c>
      <c r="Q341" s="17" t="s">
        <v>3149</v>
      </c>
      <c r="R341" s="18">
        <v>230</v>
      </c>
      <c r="S341" s="19">
        <f t="shared" si="5"/>
        <v>37260</v>
      </c>
      <c r="T341" s="12" t="s">
        <v>46</v>
      </c>
      <c r="U341" s="15"/>
      <c r="V341" s="19">
        <v>44610</v>
      </c>
      <c r="W341" s="15"/>
      <c r="X341" s="13">
        <v>1140184</v>
      </c>
      <c r="Y341" s="20">
        <v>3087423</v>
      </c>
      <c r="Z341" s="13">
        <v>3887778</v>
      </c>
      <c r="AA341" s="13">
        <v>4745351</v>
      </c>
      <c r="AB341" s="13"/>
      <c r="AC341" s="15">
        <v>5548656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</row>
    <row r="342" spans="1:46" ht="45" customHeight="1">
      <c r="A342" s="12" t="s">
        <v>3150</v>
      </c>
      <c r="B342" s="13" t="s">
        <v>3151</v>
      </c>
      <c r="C342" s="14" t="s">
        <v>3152</v>
      </c>
      <c r="D342" s="15" t="s">
        <v>3153</v>
      </c>
      <c r="E342" s="15" t="s">
        <v>3154</v>
      </c>
      <c r="F342" s="15" t="s">
        <v>181</v>
      </c>
      <c r="G342" s="15" t="s">
        <v>3155</v>
      </c>
      <c r="H342" s="15"/>
      <c r="I342" s="15" t="s">
        <v>65</v>
      </c>
      <c r="J342" s="15" t="s">
        <v>3155</v>
      </c>
      <c r="K342" s="15"/>
      <c r="L342" s="15" t="s">
        <v>65</v>
      </c>
      <c r="M342" s="46" t="s">
        <v>3156</v>
      </c>
      <c r="N342" s="13">
        <v>4308403</v>
      </c>
      <c r="O342" s="13"/>
      <c r="P342" s="15" t="s">
        <v>94</v>
      </c>
      <c r="Q342" s="17" t="s">
        <v>3157</v>
      </c>
      <c r="R342" s="18">
        <v>240</v>
      </c>
      <c r="S342" s="19">
        <f t="shared" si="5"/>
        <v>38880</v>
      </c>
      <c r="T342" s="12" t="s">
        <v>46</v>
      </c>
      <c r="U342" s="15"/>
      <c r="V342" s="19">
        <v>44610</v>
      </c>
      <c r="W342" s="15" t="s">
        <v>71</v>
      </c>
      <c r="X342" s="13">
        <v>1038020</v>
      </c>
      <c r="Y342" s="20"/>
      <c r="Z342" s="13">
        <v>3834178</v>
      </c>
      <c r="AA342" s="13">
        <v>4658265</v>
      </c>
      <c r="AB342" s="13"/>
      <c r="AC342" s="15">
        <v>5596395</v>
      </c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</row>
    <row r="343" spans="1:46" ht="45" customHeight="1">
      <c r="A343" s="21" t="s">
        <v>3158</v>
      </c>
      <c r="B343" s="22" t="s">
        <v>3159</v>
      </c>
      <c r="C343" s="23" t="s">
        <v>3160</v>
      </c>
      <c r="D343" s="24" t="s">
        <v>2659</v>
      </c>
      <c r="E343" s="24" t="s">
        <v>2467</v>
      </c>
      <c r="F343" s="24" t="s">
        <v>181</v>
      </c>
      <c r="G343" s="24" t="s">
        <v>2660</v>
      </c>
      <c r="H343" s="24" t="s">
        <v>52</v>
      </c>
      <c r="I343" s="24" t="s">
        <v>53</v>
      </c>
      <c r="J343" s="24" t="s">
        <v>3161</v>
      </c>
      <c r="K343" s="24"/>
      <c r="L343" s="24" t="s">
        <v>115</v>
      </c>
      <c r="M343" s="59" t="s">
        <v>2661</v>
      </c>
      <c r="N343" s="22">
        <v>4340202</v>
      </c>
      <c r="O343" s="22"/>
      <c r="P343" s="24" t="s">
        <v>94</v>
      </c>
      <c r="Q343" s="28" t="s">
        <v>3162</v>
      </c>
      <c r="R343" s="29">
        <v>959</v>
      </c>
      <c r="S343" s="30">
        <f t="shared" si="5"/>
        <v>155358</v>
      </c>
      <c r="T343" s="21" t="s">
        <v>252</v>
      </c>
      <c r="U343" s="24"/>
      <c r="V343" s="30">
        <v>123900</v>
      </c>
      <c r="W343" s="24" t="s">
        <v>71</v>
      </c>
      <c r="X343" s="22">
        <v>1037984</v>
      </c>
      <c r="Y343" s="31">
        <v>3088403</v>
      </c>
      <c r="Z343" s="22">
        <v>3820185</v>
      </c>
      <c r="AA343" s="22">
        <v>4652021</v>
      </c>
      <c r="AB343" s="22"/>
      <c r="AC343" s="24">
        <v>5536904</v>
      </c>
      <c r="AD343" s="45">
        <v>6477315</v>
      </c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</row>
    <row r="344" spans="1:46" ht="45" customHeight="1">
      <c r="A344" s="12" t="s">
        <v>3163</v>
      </c>
      <c r="B344" s="13" t="s">
        <v>3164</v>
      </c>
      <c r="C344" s="66" t="s">
        <v>3165</v>
      </c>
      <c r="D344" s="15" t="s">
        <v>3166</v>
      </c>
      <c r="E344" s="15" t="s">
        <v>3167</v>
      </c>
      <c r="F344" s="15" t="s">
        <v>181</v>
      </c>
      <c r="G344" s="15" t="s">
        <v>3168</v>
      </c>
      <c r="H344" s="15"/>
      <c r="I344" s="15" t="s">
        <v>149</v>
      </c>
      <c r="J344" s="15" t="s">
        <v>3169</v>
      </c>
      <c r="K344" s="15"/>
      <c r="L344" s="15" t="s">
        <v>149</v>
      </c>
      <c r="M344" s="46" t="s">
        <v>3170</v>
      </c>
      <c r="N344" s="13">
        <v>4242845</v>
      </c>
      <c r="O344" s="13"/>
      <c r="P344" s="15" t="s">
        <v>94</v>
      </c>
      <c r="Q344" s="17" t="s">
        <v>3171</v>
      </c>
      <c r="R344" s="18">
        <v>225</v>
      </c>
      <c r="S344" s="19">
        <f t="shared" si="5"/>
        <v>36450</v>
      </c>
      <c r="T344" s="12" t="s">
        <v>46</v>
      </c>
      <c r="U344" s="15"/>
      <c r="V344" s="19">
        <v>44610</v>
      </c>
      <c r="W344" s="15"/>
      <c r="X344" s="13"/>
      <c r="Y344" s="20"/>
      <c r="Z344" s="13"/>
      <c r="AA344" s="13"/>
      <c r="AB344" s="13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</row>
    <row r="345" spans="1:46" ht="45" customHeight="1">
      <c r="A345" s="21" t="s">
        <v>3172</v>
      </c>
      <c r="B345" s="22" t="s">
        <v>3173</v>
      </c>
      <c r="C345" s="23" t="s">
        <v>3174</v>
      </c>
      <c r="D345" s="24" t="s">
        <v>3175</v>
      </c>
      <c r="E345" s="24" t="s">
        <v>3176</v>
      </c>
      <c r="F345" s="24" t="s">
        <v>147</v>
      </c>
      <c r="G345" s="24" t="s">
        <v>3177</v>
      </c>
      <c r="H345" s="24" t="s">
        <v>125</v>
      </c>
      <c r="I345" s="24" t="s">
        <v>115</v>
      </c>
      <c r="J345" s="24" t="s">
        <v>3177</v>
      </c>
      <c r="K345" s="24" t="s">
        <v>125</v>
      </c>
      <c r="L345" s="24" t="s">
        <v>115</v>
      </c>
      <c r="M345" s="25" t="s">
        <v>3178</v>
      </c>
      <c r="N345" s="22">
        <v>2616177879</v>
      </c>
      <c r="O345" s="22"/>
      <c r="P345" s="24" t="s">
        <v>151</v>
      </c>
      <c r="Q345" s="28" t="s">
        <v>3179</v>
      </c>
      <c r="R345" s="29">
        <v>1921</v>
      </c>
      <c r="S345" s="30">
        <f t="shared" si="5"/>
        <v>311202</v>
      </c>
      <c r="T345" s="21" t="s">
        <v>198</v>
      </c>
      <c r="U345" s="24"/>
      <c r="V345" s="30">
        <v>215940</v>
      </c>
      <c r="W345" s="24" t="s">
        <v>71</v>
      </c>
      <c r="X345" s="22"/>
      <c r="Y345" s="31"/>
      <c r="Z345" s="22">
        <v>3903806</v>
      </c>
      <c r="AA345" s="22">
        <v>4692457</v>
      </c>
      <c r="AB345" s="22"/>
      <c r="AC345" s="24">
        <v>5596723</v>
      </c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</row>
    <row r="346" spans="1:46" ht="45" customHeight="1">
      <c r="A346" s="21" t="s">
        <v>3180</v>
      </c>
      <c r="B346" s="22" t="s">
        <v>3181</v>
      </c>
      <c r="C346" s="23" t="s">
        <v>3182</v>
      </c>
      <c r="D346" s="24" t="s">
        <v>591</v>
      </c>
      <c r="E346" s="24" t="s">
        <v>3183</v>
      </c>
      <c r="F346" s="24" t="s">
        <v>593</v>
      </c>
      <c r="G346" s="24" t="s">
        <v>594</v>
      </c>
      <c r="H346" s="24" t="s">
        <v>597</v>
      </c>
      <c r="I346" s="24" t="s">
        <v>65</v>
      </c>
      <c r="J346" s="24" t="s">
        <v>3184</v>
      </c>
      <c r="K346" s="24"/>
      <c r="L346" s="24" t="s">
        <v>65</v>
      </c>
      <c r="M346" s="76" t="s">
        <v>598</v>
      </c>
      <c r="N346" s="22" t="s">
        <v>3185</v>
      </c>
      <c r="O346" s="22"/>
      <c r="P346" s="24" t="s">
        <v>44</v>
      </c>
      <c r="Q346" s="28" t="s">
        <v>3186</v>
      </c>
      <c r="R346" s="29">
        <v>671.45500000000004</v>
      </c>
      <c r="S346" s="30">
        <f t="shared" si="5"/>
        <v>108775.71</v>
      </c>
      <c r="T346" s="21" t="s">
        <v>252</v>
      </c>
      <c r="U346" s="24"/>
      <c r="V346" s="30">
        <v>123900</v>
      </c>
      <c r="W346" s="45" t="s">
        <v>71</v>
      </c>
      <c r="X346" s="22">
        <v>1136691</v>
      </c>
      <c r="Y346" s="31">
        <v>3120655</v>
      </c>
      <c r="Z346" s="22">
        <v>3899034</v>
      </c>
      <c r="AA346" s="22">
        <v>4749409</v>
      </c>
      <c r="AB346" s="22"/>
      <c r="AC346" s="45">
        <v>5628340</v>
      </c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</row>
    <row r="347" spans="1:46" ht="45" customHeight="1">
      <c r="A347" s="21" t="s">
        <v>3187</v>
      </c>
      <c r="B347" s="22" t="s">
        <v>3188</v>
      </c>
      <c r="C347" s="23" t="s">
        <v>3189</v>
      </c>
      <c r="D347" s="24" t="s">
        <v>591</v>
      </c>
      <c r="E347" s="24" t="s">
        <v>3190</v>
      </c>
      <c r="F347" s="24" t="s">
        <v>593</v>
      </c>
      <c r="G347" s="24" t="s">
        <v>594</v>
      </c>
      <c r="H347" s="24" t="s">
        <v>1345</v>
      </c>
      <c r="I347" s="24" t="s">
        <v>65</v>
      </c>
      <c r="J347" s="24" t="s">
        <v>594</v>
      </c>
      <c r="K347" s="24" t="s">
        <v>1345</v>
      </c>
      <c r="L347" s="24" t="s">
        <v>65</v>
      </c>
      <c r="M347" s="70" t="s">
        <v>598</v>
      </c>
      <c r="N347" s="22" t="s">
        <v>3191</v>
      </c>
      <c r="O347" s="22"/>
      <c r="P347" s="24" t="s">
        <v>3192</v>
      </c>
      <c r="Q347" s="21" t="s">
        <v>3193</v>
      </c>
      <c r="R347" s="29">
        <v>2950</v>
      </c>
      <c r="S347" s="30">
        <f t="shared" si="5"/>
        <v>477900</v>
      </c>
      <c r="T347" s="21" t="s">
        <v>96</v>
      </c>
      <c r="U347" s="24"/>
      <c r="V347" s="30">
        <v>368160</v>
      </c>
      <c r="W347" s="24" t="s">
        <v>71</v>
      </c>
      <c r="X347" s="22">
        <v>1130499</v>
      </c>
      <c r="Y347" s="31">
        <v>3118703</v>
      </c>
      <c r="Z347" s="22">
        <v>3905617</v>
      </c>
      <c r="AA347" s="22">
        <v>4752589</v>
      </c>
      <c r="AB347" s="22"/>
      <c r="AC347" s="24">
        <v>5633270</v>
      </c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</row>
    <row r="348" spans="1:46" ht="45" customHeight="1">
      <c r="A348" s="12" t="s">
        <v>3194</v>
      </c>
      <c r="B348" s="13" t="s">
        <v>3195</v>
      </c>
      <c r="C348" s="14" t="s">
        <v>3196</v>
      </c>
      <c r="D348" s="15" t="s">
        <v>3106</v>
      </c>
      <c r="E348" s="15" t="s">
        <v>3197</v>
      </c>
      <c r="F348" s="15" t="s">
        <v>181</v>
      </c>
      <c r="G348" s="15" t="s">
        <v>3107</v>
      </c>
      <c r="H348" s="15" t="s">
        <v>79</v>
      </c>
      <c r="I348" s="15" t="s">
        <v>80</v>
      </c>
      <c r="J348" s="15" t="s">
        <v>3198</v>
      </c>
      <c r="K348" s="15" t="s">
        <v>3199</v>
      </c>
      <c r="L348" s="15" t="s">
        <v>383</v>
      </c>
      <c r="M348" s="46" t="s">
        <v>3108</v>
      </c>
      <c r="N348" s="13" t="s">
        <v>3200</v>
      </c>
      <c r="O348" s="13"/>
      <c r="P348" s="15" t="s">
        <v>94</v>
      </c>
      <c r="Q348" s="17" t="s">
        <v>3201</v>
      </c>
      <c r="R348" s="18">
        <v>117</v>
      </c>
      <c r="S348" s="19">
        <f t="shared" si="5"/>
        <v>18954</v>
      </c>
      <c r="T348" s="12" t="s">
        <v>46</v>
      </c>
      <c r="U348" s="15"/>
      <c r="V348" s="19">
        <v>44610</v>
      </c>
      <c r="W348" s="15" t="s">
        <v>71</v>
      </c>
      <c r="X348" s="13">
        <v>1030007</v>
      </c>
      <c r="Y348" s="20">
        <v>3111357</v>
      </c>
      <c r="Z348" s="13">
        <v>3865425</v>
      </c>
      <c r="AA348" s="13">
        <v>4707573</v>
      </c>
      <c r="AB348" s="13"/>
      <c r="AC348" s="15">
        <v>5612656</v>
      </c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</row>
    <row r="349" spans="1:46" ht="45" customHeight="1">
      <c r="A349" s="12" t="s">
        <v>3202</v>
      </c>
      <c r="B349" s="13" t="s">
        <v>3203</v>
      </c>
      <c r="C349" s="14" t="s">
        <v>3204</v>
      </c>
      <c r="D349" s="15" t="s">
        <v>3205</v>
      </c>
      <c r="E349" s="15" t="s">
        <v>1824</v>
      </c>
      <c r="F349" s="15" t="s">
        <v>181</v>
      </c>
      <c r="G349" s="15" t="s">
        <v>3206</v>
      </c>
      <c r="H349" s="15"/>
      <c r="I349" s="15" t="s">
        <v>2691</v>
      </c>
      <c r="J349" s="15" t="s">
        <v>3207</v>
      </c>
      <c r="K349" s="15" t="s">
        <v>778</v>
      </c>
      <c r="L349" s="15" t="s">
        <v>321</v>
      </c>
      <c r="M349" s="46" t="s">
        <v>3208</v>
      </c>
      <c r="N349" s="13" t="s">
        <v>3209</v>
      </c>
      <c r="O349" s="13"/>
      <c r="P349" s="15" t="s">
        <v>117</v>
      </c>
      <c r="Q349" s="17" t="s">
        <v>3210</v>
      </c>
      <c r="R349" s="18">
        <v>204</v>
      </c>
      <c r="S349" s="19">
        <f t="shared" si="5"/>
        <v>33048</v>
      </c>
      <c r="T349" s="12" t="s">
        <v>46</v>
      </c>
      <c r="U349" s="15"/>
      <c r="V349" s="19">
        <v>44610</v>
      </c>
      <c r="W349" s="15" t="s">
        <v>71</v>
      </c>
      <c r="X349" s="13">
        <v>1010064</v>
      </c>
      <c r="Y349" s="20">
        <v>3087746</v>
      </c>
      <c r="Z349" s="13">
        <v>3873426</v>
      </c>
      <c r="AA349" s="13">
        <v>4740986</v>
      </c>
      <c r="AB349" s="13"/>
      <c r="AC349" s="15">
        <v>5601558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</row>
    <row r="350" spans="1:46" ht="45" customHeight="1">
      <c r="A350" s="12" t="s">
        <v>3211</v>
      </c>
      <c r="B350" s="13" t="s">
        <v>3212</v>
      </c>
      <c r="C350" s="14" t="s">
        <v>3213</v>
      </c>
      <c r="D350" s="15" t="s">
        <v>3214</v>
      </c>
      <c r="E350" s="15" t="s">
        <v>1824</v>
      </c>
      <c r="F350" s="15" t="s">
        <v>181</v>
      </c>
      <c r="G350" s="15" t="s">
        <v>3215</v>
      </c>
      <c r="H350" s="15" t="s">
        <v>331</v>
      </c>
      <c r="I350" s="15" t="s">
        <v>53</v>
      </c>
      <c r="J350" s="15" t="s">
        <v>3216</v>
      </c>
      <c r="K350" s="15" t="s">
        <v>778</v>
      </c>
      <c r="L350" s="15" t="s">
        <v>321</v>
      </c>
      <c r="M350" s="46" t="s">
        <v>3217</v>
      </c>
      <c r="N350" s="13" t="s">
        <v>3218</v>
      </c>
      <c r="O350" s="13"/>
      <c r="P350" s="15" t="s">
        <v>94</v>
      </c>
      <c r="Q350" s="17" t="s">
        <v>3219</v>
      </c>
      <c r="R350" s="18">
        <v>62</v>
      </c>
      <c r="S350" s="19">
        <f t="shared" si="5"/>
        <v>10044</v>
      </c>
      <c r="T350" s="12" t="s">
        <v>46</v>
      </c>
      <c r="U350" s="15"/>
      <c r="V350" s="19">
        <v>44610</v>
      </c>
      <c r="W350" s="15" t="s">
        <v>71</v>
      </c>
      <c r="X350" s="13">
        <v>1030114</v>
      </c>
      <c r="Y350" s="20">
        <v>3114866</v>
      </c>
      <c r="Z350" s="13">
        <v>3869635</v>
      </c>
      <c r="AA350" s="13">
        <v>4707346</v>
      </c>
      <c r="AB350" s="13"/>
      <c r="AC350" s="15">
        <v>5612659</v>
      </c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</row>
    <row r="351" spans="1:46" ht="45" customHeight="1">
      <c r="A351" s="12" t="s">
        <v>3220</v>
      </c>
      <c r="B351" s="13" t="s">
        <v>3221</v>
      </c>
      <c r="C351" s="14" t="s">
        <v>3222</v>
      </c>
      <c r="D351" s="15" t="s">
        <v>3223</v>
      </c>
      <c r="E351" s="15" t="s">
        <v>3224</v>
      </c>
      <c r="F351" s="15" t="s">
        <v>204</v>
      </c>
      <c r="G351" s="15" t="s">
        <v>3225</v>
      </c>
      <c r="H351" s="15" t="s">
        <v>3226</v>
      </c>
      <c r="I351" s="15" t="s">
        <v>38</v>
      </c>
      <c r="J351" s="15" t="s">
        <v>3227</v>
      </c>
      <c r="K351" s="15" t="s">
        <v>3226</v>
      </c>
      <c r="L351" s="15" t="s">
        <v>38</v>
      </c>
      <c r="M351" s="114" t="s">
        <v>3228</v>
      </c>
      <c r="N351" s="13" t="s">
        <v>3229</v>
      </c>
      <c r="O351" s="13"/>
      <c r="P351" s="15" t="s">
        <v>117</v>
      </c>
      <c r="Q351" s="17" t="s">
        <v>3230</v>
      </c>
      <c r="R351" s="18">
        <v>262</v>
      </c>
      <c r="S351" s="19">
        <f t="shared" si="5"/>
        <v>42444</v>
      </c>
      <c r="T351" s="12" t="s">
        <v>46</v>
      </c>
      <c r="U351" s="15"/>
      <c r="V351" s="19">
        <v>44610</v>
      </c>
      <c r="W351" s="15"/>
      <c r="X351" s="13"/>
      <c r="Y351" s="20"/>
      <c r="Z351" s="13">
        <v>3908309</v>
      </c>
      <c r="AA351" s="13"/>
      <c r="AB351" s="13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</row>
    <row r="352" spans="1:46" ht="45" customHeight="1">
      <c r="A352" s="12" t="s">
        <v>3231</v>
      </c>
      <c r="B352" s="13" t="s">
        <v>3232</v>
      </c>
      <c r="C352" s="14" t="s">
        <v>3233</v>
      </c>
      <c r="D352" s="15" t="s">
        <v>2303</v>
      </c>
      <c r="E352" s="15" t="s">
        <v>247</v>
      </c>
      <c r="F352" s="15" t="s">
        <v>181</v>
      </c>
      <c r="G352" s="15" t="s">
        <v>3234</v>
      </c>
      <c r="H352" s="15"/>
      <c r="I352" s="15" t="s">
        <v>38</v>
      </c>
      <c r="J352" s="15" t="s">
        <v>3234</v>
      </c>
      <c r="K352" s="15"/>
      <c r="L352" s="15" t="s">
        <v>38</v>
      </c>
      <c r="M352" s="114" t="s">
        <v>2305</v>
      </c>
      <c r="N352" s="47" t="s">
        <v>2306</v>
      </c>
      <c r="O352" s="15"/>
      <c r="P352" s="15" t="s">
        <v>94</v>
      </c>
      <c r="Q352" s="118" t="s">
        <v>3235</v>
      </c>
      <c r="R352" s="18">
        <v>110</v>
      </c>
      <c r="S352" s="19">
        <f t="shared" si="5"/>
        <v>17820</v>
      </c>
      <c r="T352" s="12" t="s">
        <v>46</v>
      </c>
      <c r="U352" s="15"/>
      <c r="V352" s="19">
        <v>44610</v>
      </c>
      <c r="W352" s="49" t="s">
        <v>71</v>
      </c>
      <c r="X352" s="13"/>
      <c r="Y352" s="20"/>
      <c r="Z352" s="13"/>
      <c r="AA352" s="13"/>
      <c r="AB352" s="13">
        <v>4860372</v>
      </c>
      <c r="AC352" s="15"/>
      <c r="AD352" s="49">
        <v>6477209</v>
      </c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</row>
    <row r="353" spans="1:46" ht="45" customHeight="1">
      <c r="A353" s="50" t="s">
        <v>3236</v>
      </c>
      <c r="B353" s="51" t="s">
        <v>3237</v>
      </c>
      <c r="C353" s="52" t="s">
        <v>3238</v>
      </c>
      <c r="D353" s="53" t="s">
        <v>3239</v>
      </c>
      <c r="E353" s="53" t="s">
        <v>890</v>
      </c>
      <c r="F353" s="53" t="s">
        <v>181</v>
      </c>
      <c r="G353" s="53" t="s">
        <v>3240</v>
      </c>
      <c r="H353" s="53" t="s">
        <v>52</v>
      </c>
      <c r="I353" s="53" t="s">
        <v>53</v>
      </c>
      <c r="J353" s="53" t="s">
        <v>3240</v>
      </c>
      <c r="K353" s="53"/>
      <c r="L353" s="53" t="s">
        <v>206</v>
      </c>
      <c r="M353" s="68"/>
      <c r="N353" s="51">
        <v>154546007</v>
      </c>
      <c r="O353" s="51"/>
      <c r="P353" s="53" t="s">
        <v>3014</v>
      </c>
      <c r="Q353" s="55" t="s">
        <v>3241</v>
      </c>
      <c r="R353" s="56">
        <v>14</v>
      </c>
      <c r="S353" s="57">
        <f t="shared" si="5"/>
        <v>2268</v>
      </c>
      <c r="T353" s="50" t="s">
        <v>46</v>
      </c>
      <c r="U353" s="53"/>
      <c r="V353" s="57">
        <v>44610</v>
      </c>
      <c r="W353" s="53"/>
      <c r="X353" s="51"/>
      <c r="Y353" s="58"/>
      <c r="Z353" s="51"/>
      <c r="AA353" s="51"/>
      <c r="AB353" s="51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</row>
    <row r="354" spans="1:46" ht="45" customHeight="1">
      <c r="A354" s="12" t="s">
        <v>3242</v>
      </c>
      <c r="B354" s="13" t="s">
        <v>3243</v>
      </c>
      <c r="C354" s="14" t="s">
        <v>3244</v>
      </c>
      <c r="D354" s="15" t="s">
        <v>3245</v>
      </c>
      <c r="E354" s="15" t="s">
        <v>928</v>
      </c>
      <c r="F354" s="15" t="s">
        <v>181</v>
      </c>
      <c r="G354" s="15" t="s">
        <v>3246</v>
      </c>
      <c r="H354" s="15" t="s">
        <v>331</v>
      </c>
      <c r="I354" s="15" t="s">
        <v>2691</v>
      </c>
      <c r="J354" s="15" t="s">
        <v>3246</v>
      </c>
      <c r="K354" s="15" t="s">
        <v>331</v>
      </c>
      <c r="L354" s="15" t="s">
        <v>2691</v>
      </c>
      <c r="M354" s="46" t="s">
        <v>3247</v>
      </c>
      <c r="N354" s="13" t="s">
        <v>3248</v>
      </c>
      <c r="O354" s="13"/>
      <c r="P354" s="15" t="s">
        <v>94</v>
      </c>
      <c r="Q354" s="17" t="s">
        <v>3249</v>
      </c>
      <c r="R354" s="18">
        <v>138</v>
      </c>
      <c r="S354" s="19">
        <f t="shared" si="5"/>
        <v>22356</v>
      </c>
      <c r="T354" s="12" t="s">
        <v>46</v>
      </c>
      <c r="U354" s="15"/>
      <c r="V354" s="19">
        <v>44610</v>
      </c>
      <c r="W354" s="15" t="s">
        <v>47</v>
      </c>
      <c r="X354" s="13">
        <v>1044796</v>
      </c>
      <c r="Y354" s="20">
        <v>3094740</v>
      </c>
      <c r="Z354" s="13">
        <v>3877620</v>
      </c>
      <c r="AA354" s="13">
        <v>4738615</v>
      </c>
      <c r="AB354" s="13"/>
      <c r="AC354" s="15">
        <v>5548162</v>
      </c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</row>
    <row r="355" spans="1:46" ht="45" customHeight="1">
      <c r="A355" s="12" t="s">
        <v>3250</v>
      </c>
      <c r="B355" s="13" t="s">
        <v>3251</v>
      </c>
      <c r="C355" s="14" t="s">
        <v>3252</v>
      </c>
      <c r="D355" s="15" t="s">
        <v>3253</v>
      </c>
      <c r="E355" s="15" t="s">
        <v>1849</v>
      </c>
      <c r="F355" s="15" t="s">
        <v>181</v>
      </c>
      <c r="G355" s="15" t="s">
        <v>3254</v>
      </c>
      <c r="H355" s="15"/>
      <c r="I355" s="15" t="s">
        <v>149</v>
      </c>
      <c r="J355" s="15" t="s">
        <v>3254</v>
      </c>
      <c r="K355" s="15"/>
      <c r="L355" s="15" t="s">
        <v>149</v>
      </c>
      <c r="M355" s="16" t="s">
        <v>3255</v>
      </c>
      <c r="N355" s="13">
        <v>2615256118</v>
      </c>
      <c r="O355" s="13"/>
      <c r="P355" s="15" t="s">
        <v>94</v>
      </c>
      <c r="Q355" s="17" t="s">
        <v>3256</v>
      </c>
      <c r="R355" s="18">
        <v>33</v>
      </c>
      <c r="S355" s="19">
        <f t="shared" si="5"/>
        <v>5346</v>
      </c>
      <c r="T355" s="12" t="s">
        <v>46</v>
      </c>
      <c r="U355" s="15"/>
      <c r="V355" s="19">
        <v>44610</v>
      </c>
      <c r="W355" s="15" t="s">
        <v>71</v>
      </c>
      <c r="X355" s="13"/>
      <c r="Y355" s="20"/>
      <c r="Z355" s="13"/>
      <c r="AA355" s="13">
        <v>4756317</v>
      </c>
      <c r="AB355" s="13"/>
      <c r="AC355" s="15">
        <v>5497325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</row>
    <row r="356" spans="1:46" ht="45" customHeight="1">
      <c r="A356" s="12" t="s">
        <v>3257</v>
      </c>
      <c r="B356" s="13" t="s">
        <v>3258</v>
      </c>
      <c r="C356" s="14" t="s">
        <v>3259</v>
      </c>
      <c r="D356" s="15" t="s">
        <v>3260</v>
      </c>
      <c r="E356" s="15" t="s">
        <v>3261</v>
      </c>
      <c r="F356" s="15" t="s">
        <v>402</v>
      </c>
      <c r="G356" s="15" t="s">
        <v>3262</v>
      </c>
      <c r="H356" s="15" t="s">
        <v>52</v>
      </c>
      <c r="I356" s="15" t="s">
        <v>53</v>
      </c>
      <c r="J356" s="15" t="s">
        <v>3263</v>
      </c>
      <c r="K356" s="15" t="s">
        <v>1262</v>
      </c>
      <c r="L356" s="15" t="s">
        <v>115</v>
      </c>
      <c r="M356" s="16" t="s">
        <v>3264</v>
      </c>
      <c r="N356" s="13" t="s">
        <v>3265</v>
      </c>
      <c r="O356" s="13"/>
      <c r="P356" s="15" t="s">
        <v>94</v>
      </c>
      <c r="Q356" s="17" t="s">
        <v>3266</v>
      </c>
      <c r="R356" s="18">
        <v>269</v>
      </c>
      <c r="S356" s="19">
        <f t="shared" si="5"/>
        <v>43578</v>
      </c>
      <c r="T356" s="12" t="s">
        <v>46</v>
      </c>
      <c r="U356" s="15"/>
      <c r="V356" s="19">
        <v>44610</v>
      </c>
      <c r="W356" s="15" t="s">
        <v>71</v>
      </c>
      <c r="X356" s="13">
        <v>1018183</v>
      </c>
      <c r="Y356" s="20">
        <v>3071690</v>
      </c>
      <c r="Z356" s="13">
        <v>3835366</v>
      </c>
      <c r="AA356" s="13">
        <v>4668983</v>
      </c>
      <c r="AB356" s="13"/>
      <c r="AC356" s="15">
        <v>5531158</v>
      </c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</row>
    <row r="357" spans="1:46" ht="45" customHeight="1">
      <c r="A357" s="21" t="s">
        <v>3267</v>
      </c>
      <c r="B357" s="22" t="s">
        <v>3268</v>
      </c>
      <c r="C357" s="23" t="s">
        <v>3269</v>
      </c>
      <c r="D357" s="24" t="s">
        <v>3270</v>
      </c>
      <c r="E357" s="24" t="s">
        <v>3271</v>
      </c>
      <c r="F357" s="24" t="s">
        <v>147</v>
      </c>
      <c r="G357" s="24" t="s">
        <v>3272</v>
      </c>
      <c r="H357" s="24" t="s">
        <v>52</v>
      </c>
      <c r="I357" s="24" t="s">
        <v>53</v>
      </c>
      <c r="J357" s="24" t="s">
        <v>3272</v>
      </c>
      <c r="K357" s="24"/>
      <c r="L357" s="24" t="s">
        <v>206</v>
      </c>
      <c r="M357" s="76" t="s">
        <v>3273</v>
      </c>
      <c r="N357" s="22">
        <v>4249001</v>
      </c>
      <c r="O357" s="22"/>
      <c r="P357" s="24" t="s">
        <v>3274</v>
      </c>
      <c r="Q357" s="28" t="s">
        <v>3275</v>
      </c>
      <c r="R357" s="29">
        <v>1622</v>
      </c>
      <c r="S357" s="30">
        <f t="shared" si="5"/>
        <v>262764</v>
      </c>
      <c r="T357" s="21" t="s">
        <v>198</v>
      </c>
      <c r="U357" s="24"/>
      <c r="V357" s="30">
        <v>215940</v>
      </c>
      <c r="W357" s="45" t="s">
        <v>71</v>
      </c>
      <c r="X357" s="22">
        <v>1135871</v>
      </c>
      <c r="Y357" s="31">
        <v>3111651</v>
      </c>
      <c r="Z357" s="22">
        <v>3869584</v>
      </c>
      <c r="AA357" s="22"/>
      <c r="AB357" s="22"/>
      <c r="AC357" s="45">
        <v>5623062</v>
      </c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</row>
    <row r="358" spans="1:46" ht="45" customHeight="1">
      <c r="A358" s="12" t="s">
        <v>3276</v>
      </c>
      <c r="B358" s="13" t="s">
        <v>3277</v>
      </c>
      <c r="C358" s="14" t="s">
        <v>3278</v>
      </c>
      <c r="D358" s="15" t="s">
        <v>3279</v>
      </c>
      <c r="E358" s="15" t="s">
        <v>3280</v>
      </c>
      <c r="F358" s="15" t="s">
        <v>181</v>
      </c>
      <c r="G358" s="15" t="s">
        <v>3281</v>
      </c>
      <c r="H358" s="15"/>
      <c r="I358" s="15" t="s">
        <v>149</v>
      </c>
      <c r="J358" s="15" t="s">
        <v>3282</v>
      </c>
      <c r="K358" s="15"/>
      <c r="L358" s="15" t="s">
        <v>149</v>
      </c>
      <c r="M358" s="46" t="s">
        <v>3283</v>
      </c>
      <c r="N358" s="13" t="s">
        <v>3284</v>
      </c>
      <c r="O358" s="13"/>
      <c r="P358" s="15" t="s">
        <v>94</v>
      </c>
      <c r="Q358" s="17" t="s">
        <v>3285</v>
      </c>
      <c r="R358" s="18">
        <v>26</v>
      </c>
      <c r="S358" s="19">
        <f t="shared" si="5"/>
        <v>4212</v>
      </c>
      <c r="T358" s="12" t="s">
        <v>46</v>
      </c>
      <c r="U358" s="15"/>
      <c r="V358" s="19">
        <v>44610</v>
      </c>
      <c r="W358" s="15" t="s">
        <v>71</v>
      </c>
      <c r="X358" s="13">
        <v>1006341</v>
      </c>
      <c r="Y358" s="20">
        <v>3067031</v>
      </c>
      <c r="Z358" s="13">
        <v>3832913</v>
      </c>
      <c r="AA358" s="13">
        <v>4666268</v>
      </c>
      <c r="AB358" s="13"/>
      <c r="AC358" s="15">
        <v>5596885</v>
      </c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</row>
    <row r="359" spans="1:46" ht="45" customHeight="1">
      <c r="A359" s="40" t="s">
        <v>3286</v>
      </c>
      <c r="B359" s="33" t="s">
        <v>3287</v>
      </c>
      <c r="C359" s="34" t="s">
        <v>3288</v>
      </c>
      <c r="D359" s="35" t="s">
        <v>3289</v>
      </c>
      <c r="E359" s="35" t="s">
        <v>3290</v>
      </c>
      <c r="F359" s="35" t="s">
        <v>909</v>
      </c>
      <c r="G359" s="35" t="s">
        <v>3291</v>
      </c>
      <c r="H359" s="35" t="s">
        <v>2800</v>
      </c>
      <c r="I359" s="35" t="s">
        <v>115</v>
      </c>
      <c r="J359" s="35" t="s">
        <v>3291</v>
      </c>
      <c r="K359" s="35" t="s">
        <v>2800</v>
      </c>
      <c r="L359" s="35" t="s">
        <v>115</v>
      </c>
      <c r="M359" s="36" t="s">
        <v>3292</v>
      </c>
      <c r="N359" s="33">
        <v>4057550</v>
      </c>
      <c r="O359" s="33"/>
      <c r="P359" s="35" t="s">
        <v>94</v>
      </c>
      <c r="Q359" s="37" t="s">
        <v>3293</v>
      </c>
      <c r="R359" s="38">
        <v>403</v>
      </c>
      <c r="S359" s="39">
        <f t="shared" si="5"/>
        <v>65286</v>
      </c>
      <c r="T359" s="40" t="s">
        <v>46</v>
      </c>
      <c r="U359" s="35"/>
      <c r="V359" s="39">
        <v>44610</v>
      </c>
      <c r="W359" s="35"/>
      <c r="X359" s="33"/>
      <c r="Y359" s="41"/>
      <c r="Z359" s="33"/>
      <c r="AA359" s="33"/>
      <c r="AB359" s="33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</row>
    <row r="360" spans="1:46" ht="45" customHeight="1">
      <c r="A360" s="21" t="s">
        <v>3294</v>
      </c>
      <c r="B360" s="22" t="s">
        <v>3295</v>
      </c>
      <c r="C360" s="23" t="s">
        <v>3296</v>
      </c>
      <c r="D360" s="24" t="s">
        <v>3297</v>
      </c>
      <c r="E360" s="24" t="s">
        <v>3298</v>
      </c>
      <c r="F360" s="24" t="s">
        <v>776</v>
      </c>
      <c r="G360" s="24" t="s">
        <v>3299</v>
      </c>
      <c r="H360" s="24" t="s">
        <v>544</v>
      </c>
      <c r="I360" s="24" t="s">
        <v>38</v>
      </c>
      <c r="J360" s="24" t="s">
        <v>3299</v>
      </c>
      <c r="K360" s="24" t="s">
        <v>544</v>
      </c>
      <c r="L360" s="24" t="s">
        <v>38</v>
      </c>
      <c r="M360" s="63" t="s">
        <v>3300</v>
      </c>
      <c r="N360" s="22" t="s">
        <v>3301</v>
      </c>
      <c r="O360" s="22"/>
      <c r="P360" s="24" t="s">
        <v>685</v>
      </c>
      <c r="Q360" s="28" t="s">
        <v>3302</v>
      </c>
      <c r="R360" s="29">
        <v>3351</v>
      </c>
      <c r="S360" s="30">
        <f t="shared" si="5"/>
        <v>542862</v>
      </c>
      <c r="T360" s="21" t="s">
        <v>129</v>
      </c>
      <c r="U360" s="24"/>
      <c r="V360" s="30">
        <v>545160</v>
      </c>
      <c r="W360" s="24"/>
      <c r="X360" s="22"/>
      <c r="Y360" s="31">
        <v>3111606</v>
      </c>
      <c r="Z360" s="22">
        <v>3907346</v>
      </c>
      <c r="AA360" s="22">
        <v>4664100</v>
      </c>
      <c r="AB360" s="22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</row>
    <row r="361" spans="1:46" ht="45" customHeight="1">
      <c r="A361" s="12" t="s">
        <v>3303</v>
      </c>
      <c r="B361" s="13" t="s">
        <v>3304</v>
      </c>
      <c r="C361" s="14" t="s">
        <v>3305</v>
      </c>
      <c r="D361" s="15" t="s">
        <v>3306</v>
      </c>
      <c r="E361" s="15" t="s">
        <v>1876</v>
      </c>
      <c r="F361" s="15" t="s">
        <v>111</v>
      </c>
      <c r="G361" s="15" t="s">
        <v>3307</v>
      </c>
      <c r="H361" s="15" t="s">
        <v>331</v>
      </c>
      <c r="I361" s="15" t="s">
        <v>65</v>
      </c>
      <c r="J361" s="15" t="s">
        <v>3307</v>
      </c>
      <c r="K361" s="15" t="s">
        <v>331</v>
      </c>
      <c r="L361" s="15" t="s">
        <v>65</v>
      </c>
      <c r="M361" s="46" t="s">
        <v>3308</v>
      </c>
      <c r="N361" s="13" t="s">
        <v>3309</v>
      </c>
      <c r="O361" s="13"/>
      <c r="P361" s="15" t="s">
        <v>44</v>
      </c>
      <c r="Q361" s="17" t="s">
        <v>3310</v>
      </c>
      <c r="R361" s="18">
        <v>28</v>
      </c>
      <c r="S361" s="19">
        <f t="shared" si="5"/>
        <v>4536</v>
      </c>
      <c r="T361" s="12" t="s">
        <v>46</v>
      </c>
      <c r="U361" s="15"/>
      <c r="V361" s="19">
        <v>44610</v>
      </c>
      <c r="W361" s="49" t="s">
        <v>71</v>
      </c>
      <c r="X361" s="13">
        <v>1042575</v>
      </c>
      <c r="Y361" s="20"/>
      <c r="Z361" s="13">
        <v>3908300</v>
      </c>
      <c r="AA361" s="13">
        <v>4753645</v>
      </c>
      <c r="AB361" s="13"/>
      <c r="AC361" s="49">
        <v>5632949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</row>
    <row r="362" spans="1:46" ht="45" customHeight="1">
      <c r="A362" s="12" t="s">
        <v>3311</v>
      </c>
      <c r="B362" s="13" t="s">
        <v>3312</v>
      </c>
      <c r="C362" s="14" t="s">
        <v>3313</v>
      </c>
      <c r="D362" s="15" t="s">
        <v>3314</v>
      </c>
      <c r="E362" s="15" t="s">
        <v>3315</v>
      </c>
      <c r="F362" s="15" t="s">
        <v>181</v>
      </c>
      <c r="G362" s="15" t="s">
        <v>3316</v>
      </c>
      <c r="H362" s="15"/>
      <c r="I362" s="15" t="s">
        <v>65</v>
      </c>
      <c r="J362" s="15" t="s">
        <v>3316</v>
      </c>
      <c r="K362" s="15"/>
      <c r="L362" s="15" t="s">
        <v>65</v>
      </c>
      <c r="M362" s="46" t="s">
        <v>3317</v>
      </c>
      <c r="N362" s="13" t="s">
        <v>3318</v>
      </c>
      <c r="O362" s="13"/>
      <c r="P362" s="15" t="s">
        <v>94</v>
      </c>
      <c r="Q362" s="17" t="s">
        <v>3319</v>
      </c>
      <c r="R362" s="18">
        <v>124</v>
      </c>
      <c r="S362" s="19">
        <f t="shared" si="5"/>
        <v>20088</v>
      </c>
      <c r="T362" s="12" t="s">
        <v>46</v>
      </c>
      <c r="U362" s="15"/>
      <c r="V362" s="19">
        <v>44610</v>
      </c>
      <c r="W362" s="49" t="s">
        <v>71</v>
      </c>
      <c r="X362" s="13">
        <v>1013709</v>
      </c>
      <c r="Y362" s="20">
        <v>3083109</v>
      </c>
      <c r="Z362" s="13">
        <v>3908327</v>
      </c>
      <c r="AA362" s="13">
        <v>4757492</v>
      </c>
      <c r="AB362" s="13"/>
      <c r="AC362" s="49">
        <v>5628180</v>
      </c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</row>
    <row r="363" spans="1:46" ht="45" customHeight="1">
      <c r="A363" s="12" t="s">
        <v>3320</v>
      </c>
      <c r="B363" s="13" t="s">
        <v>3321</v>
      </c>
      <c r="C363" s="14" t="s">
        <v>3322</v>
      </c>
      <c r="D363" s="15" t="s">
        <v>3323</v>
      </c>
      <c r="E363" s="15" t="s">
        <v>3324</v>
      </c>
      <c r="F363" s="15" t="s">
        <v>181</v>
      </c>
      <c r="G363" s="15" t="s">
        <v>3325</v>
      </c>
      <c r="H363" s="15" t="s">
        <v>447</v>
      </c>
      <c r="I363" s="15" t="s">
        <v>38</v>
      </c>
      <c r="J363" s="15" t="s">
        <v>3325</v>
      </c>
      <c r="K363" s="15" t="s">
        <v>447</v>
      </c>
      <c r="L363" s="15" t="s">
        <v>38</v>
      </c>
      <c r="M363" s="16" t="s">
        <v>3326</v>
      </c>
      <c r="N363" s="13" t="s">
        <v>3327</v>
      </c>
      <c r="O363" s="13"/>
      <c r="P363" s="15" t="s">
        <v>94</v>
      </c>
      <c r="Q363" s="17" t="s">
        <v>3328</v>
      </c>
      <c r="R363" s="18">
        <v>321</v>
      </c>
      <c r="S363" s="19">
        <f t="shared" si="5"/>
        <v>52002</v>
      </c>
      <c r="T363" s="12" t="s">
        <v>46</v>
      </c>
      <c r="U363" s="15"/>
      <c r="V363" s="19">
        <v>44610</v>
      </c>
      <c r="W363" s="15" t="s">
        <v>47</v>
      </c>
      <c r="X363" s="13">
        <v>1044814</v>
      </c>
      <c r="Y363" s="20"/>
      <c r="Z363" s="13"/>
      <c r="AA363" s="13">
        <v>4738655</v>
      </c>
      <c r="AB363" s="13"/>
      <c r="AC363" s="15">
        <v>5548666</v>
      </c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</row>
    <row r="364" spans="1:46" ht="45" customHeight="1">
      <c r="A364" s="12" t="s">
        <v>3329</v>
      </c>
      <c r="B364" s="13" t="s">
        <v>3330</v>
      </c>
      <c r="C364" s="14" t="s">
        <v>3331</v>
      </c>
      <c r="D364" s="15" t="s">
        <v>3332</v>
      </c>
      <c r="E364" s="15" t="s">
        <v>3333</v>
      </c>
      <c r="F364" s="15" t="s">
        <v>181</v>
      </c>
      <c r="G364" s="15" t="s">
        <v>3334</v>
      </c>
      <c r="H364" s="15" t="s">
        <v>2262</v>
      </c>
      <c r="I364" s="15" t="s">
        <v>80</v>
      </c>
      <c r="J364" s="15" t="s">
        <v>3335</v>
      </c>
      <c r="K364" s="15" t="s">
        <v>405</v>
      </c>
      <c r="L364" s="15" t="s">
        <v>115</v>
      </c>
      <c r="M364" s="46" t="s">
        <v>3336</v>
      </c>
      <c r="N364" s="13" t="s">
        <v>3337</v>
      </c>
      <c r="O364" s="13"/>
      <c r="P364" s="15" t="s">
        <v>94</v>
      </c>
      <c r="Q364" s="17" t="s">
        <v>3338</v>
      </c>
      <c r="R364" s="18">
        <v>257</v>
      </c>
      <c r="S364" s="19">
        <f t="shared" si="5"/>
        <v>41634</v>
      </c>
      <c r="T364" s="12" t="s">
        <v>46</v>
      </c>
      <c r="U364" s="15"/>
      <c r="V364" s="19">
        <v>44610</v>
      </c>
      <c r="W364" s="49" t="s">
        <v>71</v>
      </c>
      <c r="X364" s="13">
        <v>1133279</v>
      </c>
      <c r="Y364" s="20"/>
      <c r="Z364" s="13"/>
      <c r="AA364" s="13">
        <v>4754331</v>
      </c>
      <c r="AB364" s="13"/>
      <c r="AC364" s="49">
        <v>5634374</v>
      </c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</row>
    <row r="365" spans="1:46" ht="45" customHeight="1">
      <c r="A365" s="12" t="s">
        <v>3339</v>
      </c>
      <c r="B365" s="13" t="s">
        <v>3340</v>
      </c>
      <c r="C365" s="14" t="s">
        <v>3341</v>
      </c>
      <c r="D365" s="15" t="s">
        <v>3342</v>
      </c>
      <c r="E365" s="15" t="s">
        <v>3343</v>
      </c>
      <c r="F365" s="15" t="s">
        <v>181</v>
      </c>
      <c r="G365" s="15" t="s">
        <v>3344</v>
      </c>
      <c r="H365" s="15" t="s">
        <v>3345</v>
      </c>
      <c r="I365" s="15" t="s">
        <v>321</v>
      </c>
      <c r="J365" s="15" t="s">
        <v>3344</v>
      </c>
      <c r="K365" s="15" t="s">
        <v>3345</v>
      </c>
      <c r="L365" s="15" t="s">
        <v>321</v>
      </c>
      <c r="M365" s="46" t="s">
        <v>3346</v>
      </c>
      <c r="N365" s="13" t="s">
        <v>3347</v>
      </c>
      <c r="O365" s="13"/>
      <c r="P365" s="15" t="s">
        <v>117</v>
      </c>
      <c r="Q365" s="17" t="s">
        <v>3348</v>
      </c>
      <c r="R365" s="18">
        <v>88</v>
      </c>
      <c r="S365" s="19">
        <f t="shared" si="5"/>
        <v>14256</v>
      </c>
      <c r="T365" s="12" t="s">
        <v>46</v>
      </c>
      <c r="U365" s="15"/>
      <c r="V365" s="19">
        <v>44610</v>
      </c>
      <c r="W365" s="15" t="s">
        <v>71</v>
      </c>
      <c r="X365" s="13">
        <v>1010931</v>
      </c>
      <c r="Y365" s="20">
        <v>3091510</v>
      </c>
      <c r="Z365" s="13">
        <v>3880695</v>
      </c>
      <c r="AA365" s="13">
        <v>4740988</v>
      </c>
      <c r="AB365" s="13"/>
      <c r="AC365" s="15">
        <v>5606474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</row>
    <row r="366" spans="1:46" ht="45" customHeight="1">
      <c r="A366" s="12" t="s">
        <v>3349</v>
      </c>
      <c r="B366" s="13" t="s">
        <v>3350</v>
      </c>
      <c r="C366" s="14" t="s">
        <v>3351</v>
      </c>
      <c r="D366" s="15" t="s">
        <v>3352</v>
      </c>
      <c r="E366" s="15" t="s">
        <v>3353</v>
      </c>
      <c r="F366" s="15" t="s">
        <v>181</v>
      </c>
      <c r="G366" s="15" t="s">
        <v>3354</v>
      </c>
      <c r="H366" s="15" t="s">
        <v>291</v>
      </c>
      <c r="I366" s="15" t="s">
        <v>115</v>
      </c>
      <c r="J366" s="15" t="s">
        <v>3355</v>
      </c>
      <c r="K366" s="15" t="s">
        <v>3356</v>
      </c>
      <c r="L366" s="15" t="s">
        <v>41</v>
      </c>
      <c r="M366" s="46" t="s">
        <v>3357</v>
      </c>
      <c r="N366" s="13" t="s">
        <v>3358</v>
      </c>
      <c r="O366" s="13"/>
      <c r="P366" s="15" t="s">
        <v>44</v>
      </c>
      <c r="Q366" s="17" t="s">
        <v>3359</v>
      </c>
      <c r="R366" s="18">
        <v>19</v>
      </c>
      <c r="S366" s="19">
        <f t="shared" si="5"/>
        <v>3078</v>
      </c>
      <c r="T366" s="12" t="s">
        <v>46</v>
      </c>
      <c r="U366" s="15"/>
      <c r="V366" s="19">
        <v>44610</v>
      </c>
      <c r="W366" s="15" t="s">
        <v>71</v>
      </c>
      <c r="X366" s="13">
        <v>1032667</v>
      </c>
      <c r="Y366" s="20">
        <v>3091024</v>
      </c>
      <c r="Z366" s="13">
        <v>3843927</v>
      </c>
      <c r="AA366" s="13">
        <v>4671523</v>
      </c>
      <c r="AB366" s="13"/>
      <c r="AC366" s="15">
        <v>5571150</v>
      </c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</row>
    <row r="367" spans="1:46" ht="45" customHeight="1">
      <c r="A367" s="12" t="s">
        <v>3360</v>
      </c>
      <c r="B367" s="13" t="s">
        <v>3361</v>
      </c>
      <c r="C367" s="66" t="s">
        <v>3362</v>
      </c>
      <c r="D367" s="15" t="s">
        <v>3363</v>
      </c>
      <c r="E367" s="15" t="s">
        <v>3364</v>
      </c>
      <c r="F367" s="15" t="s">
        <v>111</v>
      </c>
      <c r="G367" s="15" t="s">
        <v>3365</v>
      </c>
      <c r="H367" s="15"/>
      <c r="I367" s="15" t="s">
        <v>149</v>
      </c>
      <c r="J367" s="15" t="s">
        <v>3366</v>
      </c>
      <c r="K367" s="15"/>
      <c r="L367" s="15" t="s">
        <v>149</v>
      </c>
      <c r="M367" s="16" t="s">
        <v>3367</v>
      </c>
      <c r="N367" s="13">
        <v>4053000</v>
      </c>
      <c r="O367" s="13"/>
      <c r="P367" s="15" t="s">
        <v>44</v>
      </c>
      <c r="Q367" s="17" t="s">
        <v>3368</v>
      </c>
      <c r="R367" s="18">
        <v>131</v>
      </c>
      <c r="S367" s="19">
        <f t="shared" si="5"/>
        <v>21222</v>
      </c>
      <c r="T367" s="12" t="s">
        <v>46</v>
      </c>
      <c r="U367" s="15"/>
      <c r="V367" s="19">
        <v>44610</v>
      </c>
      <c r="W367" s="15" t="s">
        <v>71</v>
      </c>
      <c r="X367" s="13"/>
      <c r="Y367" s="20"/>
      <c r="Z367" s="13"/>
      <c r="AA367" s="13"/>
      <c r="AB367" s="13"/>
      <c r="AC367" s="15">
        <v>5548568</v>
      </c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</row>
    <row r="368" spans="1:46" ht="45" customHeight="1">
      <c r="A368" s="12" t="s">
        <v>3369</v>
      </c>
      <c r="B368" s="13" t="s">
        <v>3370</v>
      </c>
      <c r="C368" s="14" t="s">
        <v>3371</v>
      </c>
      <c r="D368" s="15" t="s">
        <v>551</v>
      </c>
      <c r="E368" s="15" t="s">
        <v>3372</v>
      </c>
      <c r="F368" s="15" t="s">
        <v>111</v>
      </c>
      <c r="G368" s="15" t="s">
        <v>553</v>
      </c>
      <c r="H368" s="15"/>
      <c r="I368" s="15" t="s">
        <v>149</v>
      </c>
      <c r="J368" s="15" t="s">
        <v>3373</v>
      </c>
      <c r="K368" s="15"/>
      <c r="L368" s="15" t="s">
        <v>149</v>
      </c>
      <c r="M368" s="16" t="s">
        <v>554</v>
      </c>
      <c r="N368" s="13" t="s">
        <v>555</v>
      </c>
      <c r="O368" s="13"/>
      <c r="P368" s="15" t="s">
        <v>196</v>
      </c>
      <c r="Q368" s="17" t="s">
        <v>3374</v>
      </c>
      <c r="R368" s="18">
        <v>224</v>
      </c>
      <c r="S368" s="19">
        <f t="shared" si="5"/>
        <v>36288</v>
      </c>
      <c r="T368" s="12" t="s">
        <v>46</v>
      </c>
      <c r="U368" s="15"/>
      <c r="V368" s="19">
        <v>44610</v>
      </c>
      <c r="W368" s="15" t="s">
        <v>71</v>
      </c>
      <c r="X368" s="13"/>
      <c r="Y368" s="20"/>
      <c r="Z368" s="13"/>
      <c r="AA368" s="13">
        <v>4743414</v>
      </c>
      <c r="AB368" s="13"/>
      <c r="AC368" s="15">
        <v>5478540</v>
      </c>
      <c r="AD368" s="49">
        <v>6457854</v>
      </c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</row>
    <row r="369" spans="1:46" ht="45" customHeight="1">
      <c r="A369" s="21" t="s">
        <v>3375</v>
      </c>
      <c r="B369" s="22" t="s">
        <v>3376</v>
      </c>
      <c r="C369" s="23" t="s">
        <v>3377</v>
      </c>
      <c r="D369" s="24" t="s">
        <v>3378</v>
      </c>
      <c r="E369" s="24" t="s">
        <v>3298</v>
      </c>
      <c r="F369" s="24" t="s">
        <v>776</v>
      </c>
      <c r="G369" s="24" t="s">
        <v>3379</v>
      </c>
      <c r="H369" s="30" t="s">
        <v>3380</v>
      </c>
      <c r="I369" s="24" t="s">
        <v>38</v>
      </c>
      <c r="J369" s="24" t="s">
        <v>3379</v>
      </c>
      <c r="K369" s="30" t="s">
        <v>3380</v>
      </c>
      <c r="L369" s="24" t="s">
        <v>38</v>
      </c>
      <c r="M369" s="25" t="s">
        <v>3381</v>
      </c>
      <c r="N369" s="22" t="s">
        <v>3382</v>
      </c>
      <c r="O369" s="26">
        <v>46541</v>
      </c>
      <c r="P369" s="24" t="s">
        <v>272</v>
      </c>
      <c r="Q369" s="99" t="s">
        <v>3383</v>
      </c>
      <c r="R369" s="29">
        <v>15581</v>
      </c>
      <c r="S369" s="30">
        <f t="shared" si="5"/>
        <v>2524122</v>
      </c>
      <c r="T369" s="21" t="s">
        <v>70</v>
      </c>
      <c r="U369" s="21"/>
      <c r="V369" s="44">
        <v>1262061</v>
      </c>
      <c r="W369" s="21" t="s">
        <v>71</v>
      </c>
      <c r="X369" s="21"/>
      <c r="Y369" s="31">
        <v>3115720</v>
      </c>
      <c r="Z369" s="31">
        <v>3903845</v>
      </c>
      <c r="AA369" s="22">
        <v>4756232</v>
      </c>
      <c r="AB369" s="21"/>
      <c r="AC369" s="21">
        <v>5623175</v>
      </c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</row>
    <row r="370" spans="1:46" ht="45" customHeight="1">
      <c r="A370" s="50" t="s">
        <v>3384</v>
      </c>
      <c r="B370" s="51" t="s">
        <v>3385</v>
      </c>
      <c r="C370" s="52" t="s">
        <v>3386</v>
      </c>
      <c r="D370" s="53" t="s">
        <v>3387</v>
      </c>
      <c r="E370" s="53" t="s">
        <v>3388</v>
      </c>
      <c r="F370" s="141" t="s">
        <v>77</v>
      </c>
      <c r="G370" s="53" t="s">
        <v>3389</v>
      </c>
      <c r="H370" s="53" t="s">
        <v>544</v>
      </c>
      <c r="I370" s="53" t="s">
        <v>38</v>
      </c>
      <c r="J370" s="53" t="s">
        <v>3389</v>
      </c>
      <c r="K370" s="53" t="s">
        <v>544</v>
      </c>
      <c r="L370" s="53" t="s">
        <v>38</v>
      </c>
      <c r="M370" s="142" t="s">
        <v>3390</v>
      </c>
      <c r="N370" s="51" t="s">
        <v>3391</v>
      </c>
      <c r="O370" s="51"/>
      <c r="P370" s="53" t="s">
        <v>94</v>
      </c>
      <c r="Q370" s="55" t="s">
        <v>3392</v>
      </c>
      <c r="R370" s="56">
        <v>181.90199999999999</v>
      </c>
      <c r="S370" s="57">
        <f t="shared" si="5"/>
        <v>29468.123999999996</v>
      </c>
      <c r="T370" s="50" t="s">
        <v>46</v>
      </c>
      <c r="U370" s="53"/>
      <c r="V370" s="57">
        <v>44610</v>
      </c>
      <c r="W370" s="53" t="s">
        <v>71</v>
      </c>
      <c r="X370" s="51"/>
      <c r="Y370" s="58">
        <v>3092753</v>
      </c>
      <c r="Z370" s="120">
        <v>3870770</v>
      </c>
      <c r="AA370" s="51">
        <v>4672990</v>
      </c>
      <c r="AB370" s="51"/>
      <c r="AC370" s="53">
        <v>5529050</v>
      </c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</row>
    <row r="371" spans="1:46" ht="45" customHeight="1">
      <c r="A371" s="12" t="s">
        <v>3393</v>
      </c>
      <c r="B371" s="13" t="s">
        <v>3394</v>
      </c>
      <c r="C371" s="14" t="s">
        <v>3395</v>
      </c>
      <c r="D371" s="15" t="s">
        <v>2756</v>
      </c>
      <c r="E371" s="15" t="s">
        <v>3396</v>
      </c>
      <c r="F371" s="15" t="s">
        <v>181</v>
      </c>
      <c r="G371" s="15" t="s">
        <v>2791</v>
      </c>
      <c r="H371" s="15" t="s">
        <v>2792</v>
      </c>
      <c r="I371" s="15" t="s">
        <v>881</v>
      </c>
      <c r="J371" s="15" t="s">
        <v>3397</v>
      </c>
      <c r="K371" s="15" t="s">
        <v>880</v>
      </c>
      <c r="L371" s="15" t="s">
        <v>881</v>
      </c>
      <c r="M371" s="46" t="s">
        <v>2759</v>
      </c>
      <c r="N371" s="13" t="s">
        <v>3398</v>
      </c>
      <c r="O371" s="13"/>
      <c r="P371" s="15" t="s">
        <v>94</v>
      </c>
      <c r="Q371" s="17" t="s">
        <v>3399</v>
      </c>
      <c r="R371" s="18">
        <v>512</v>
      </c>
      <c r="S371" s="19">
        <f t="shared" si="5"/>
        <v>82944</v>
      </c>
      <c r="T371" s="12" t="s">
        <v>46</v>
      </c>
      <c r="U371" s="15"/>
      <c r="V371" s="19">
        <v>44610</v>
      </c>
      <c r="W371" s="15" t="s">
        <v>71</v>
      </c>
      <c r="X371" s="13">
        <v>1027542</v>
      </c>
      <c r="Y371" s="20">
        <v>3062695</v>
      </c>
      <c r="Z371" s="13">
        <v>3836901</v>
      </c>
      <c r="AA371" s="13">
        <v>4722845</v>
      </c>
      <c r="AB371" s="13"/>
      <c r="AC371" s="15">
        <v>5534383</v>
      </c>
      <c r="AD371" s="49">
        <v>6481782</v>
      </c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</row>
    <row r="372" spans="1:46" ht="45" customHeight="1">
      <c r="A372" s="12" t="s">
        <v>3400</v>
      </c>
      <c r="B372" s="13" t="s">
        <v>3401</v>
      </c>
      <c r="C372" s="14" t="s">
        <v>3402</v>
      </c>
      <c r="D372" s="15" t="s">
        <v>3106</v>
      </c>
      <c r="E372" s="15" t="s">
        <v>861</v>
      </c>
      <c r="F372" s="15" t="s">
        <v>181</v>
      </c>
      <c r="G372" s="15" t="s">
        <v>3107</v>
      </c>
      <c r="H372" s="15" t="s">
        <v>3403</v>
      </c>
      <c r="I372" s="15" t="s">
        <v>80</v>
      </c>
      <c r="J372" s="15" t="s">
        <v>3404</v>
      </c>
      <c r="K372" s="15" t="s">
        <v>778</v>
      </c>
      <c r="L372" s="15" t="s">
        <v>321</v>
      </c>
      <c r="M372" s="16" t="s">
        <v>3108</v>
      </c>
      <c r="N372" s="13" t="s">
        <v>3405</v>
      </c>
      <c r="O372" s="13"/>
      <c r="P372" s="15" t="s">
        <v>94</v>
      </c>
      <c r="Q372" s="17" t="s">
        <v>3406</v>
      </c>
      <c r="R372" s="18">
        <v>236</v>
      </c>
      <c r="S372" s="19">
        <f t="shared" si="5"/>
        <v>38232</v>
      </c>
      <c r="T372" s="12" t="s">
        <v>46</v>
      </c>
      <c r="U372" s="15"/>
      <c r="V372" s="19">
        <v>44610</v>
      </c>
      <c r="W372" s="15" t="s">
        <v>71</v>
      </c>
      <c r="X372" s="13">
        <v>1029795</v>
      </c>
      <c r="Y372" s="20">
        <v>3110983</v>
      </c>
      <c r="Z372" s="13">
        <v>3866204</v>
      </c>
      <c r="AA372" s="13"/>
      <c r="AB372" s="13"/>
      <c r="AC372" s="15">
        <v>5612657</v>
      </c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</row>
    <row r="373" spans="1:46" ht="45" customHeight="1">
      <c r="A373" s="12" t="s">
        <v>3407</v>
      </c>
      <c r="B373" s="13" t="s">
        <v>3408</v>
      </c>
      <c r="C373" s="14" t="s">
        <v>3409</v>
      </c>
      <c r="D373" s="15" t="s">
        <v>3106</v>
      </c>
      <c r="E373" s="15" t="s">
        <v>928</v>
      </c>
      <c r="F373" s="15" t="s">
        <v>181</v>
      </c>
      <c r="G373" s="15" t="s">
        <v>3107</v>
      </c>
      <c r="H373" s="15" t="s">
        <v>79</v>
      </c>
      <c r="I373" s="15" t="s">
        <v>80</v>
      </c>
      <c r="J373" s="15" t="s">
        <v>3410</v>
      </c>
      <c r="K373" s="15" t="s">
        <v>331</v>
      </c>
      <c r="L373" s="15" t="s">
        <v>321</v>
      </c>
      <c r="M373" s="46" t="s">
        <v>3108</v>
      </c>
      <c r="N373" s="13" t="s">
        <v>3411</v>
      </c>
      <c r="O373" s="13"/>
      <c r="P373" s="15" t="s">
        <v>94</v>
      </c>
      <c r="Q373" s="17" t="s">
        <v>3412</v>
      </c>
      <c r="R373" s="18">
        <v>162</v>
      </c>
      <c r="S373" s="19">
        <f t="shared" si="5"/>
        <v>26244</v>
      </c>
      <c r="T373" s="12" t="s">
        <v>46</v>
      </c>
      <c r="U373" s="15"/>
      <c r="V373" s="19">
        <v>44610</v>
      </c>
      <c r="W373" s="15" t="s">
        <v>71</v>
      </c>
      <c r="X373" s="13">
        <v>1028146</v>
      </c>
      <c r="Y373" s="20">
        <v>3111393</v>
      </c>
      <c r="Z373" s="13">
        <v>3866837</v>
      </c>
      <c r="AA373" s="13">
        <v>4707224</v>
      </c>
      <c r="AB373" s="13"/>
      <c r="AC373" s="15">
        <v>5616473</v>
      </c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</row>
    <row r="374" spans="1:46" ht="45" customHeight="1">
      <c r="A374" s="50" t="s">
        <v>3413</v>
      </c>
      <c r="B374" s="51" t="s">
        <v>3414</v>
      </c>
      <c r="C374" s="52" t="s">
        <v>3415</v>
      </c>
      <c r="D374" s="53" t="s">
        <v>3416</v>
      </c>
      <c r="E374" s="53" t="s">
        <v>3417</v>
      </c>
      <c r="F374" s="53" t="s">
        <v>111</v>
      </c>
      <c r="G374" s="53" t="s">
        <v>3418</v>
      </c>
      <c r="H374" s="53" t="s">
        <v>2043</v>
      </c>
      <c r="I374" s="53" t="s">
        <v>149</v>
      </c>
      <c r="J374" s="53" t="s">
        <v>3418</v>
      </c>
      <c r="K374" s="53" t="s">
        <v>2043</v>
      </c>
      <c r="L374" s="53" t="s">
        <v>149</v>
      </c>
      <c r="M374" s="54" t="s">
        <v>3419</v>
      </c>
      <c r="N374" s="51">
        <v>2612162801</v>
      </c>
      <c r="O374" s="51"/>
      <c r="P374" s="53" t="s">
        <v>94</v>
      </c>
      <c r="Q374" s="55" t="s">
        <v>3420</v>
      </c>
      <c r="R374" s="56">
        <v>62</v>
      </c>
      <c r="S374" s="57">
        <f t="shared" si="5"/>
        <v>10044</v>
      </c>
      <c r="T374" s="50" t="s">
        <v>46</v>
      </c>
      <c r="U374" s="53"/>
      <c r="V374" s="57">
        <v>44610</v>
      </c>
      <c r="W374" s="53"/>
      <c r="X374" s="51"/>
      <c r="Y374" s="58"/>
      <c r="Z374" s="51"/>
      <c r="AA374" s="51"/>
      <c r="AB374" s="51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</row>
    <row r="375" spans="1:46" ht="45" customHeight="1">
      <c r="A375" s="12" t="s">
        <v>3421</v>
      </c>
      <c r="B375" s="13" t="s">
        <v>3422</v>
      </c>
      <c r="C375" s="14" t="s">
        <v>3423</v>
      </c>
      <c r="D375" s="15" t="s">
        <v>3424</v>
      </c>
      <c r="E375" s="15" t="s">
        <v>3425</v>
      </c>
      <c r="F375" s="15" t="s">
        <v>181</v>
      </c>
      <c r="G375" s="15" t="s">
        <v>3426</v>
      </c>
      <c r="H375" s="15" t="s">
        <v>3427</v>
      </c>
      <c r="I375" s="15" t="s">
        <v>65</v>
      </c>
      <c r="J375" s="15" t="s">
        <v>3426</v>
      </c>
      <c r="K375" s="15" t="s">
        <v>3427</v>
      </c>
      <c r="L375" s="15" t="s">
        <v>65</v>
      </c>
      <c r="M375" s="46" t="s">
        <v>3428</v>
      </c>
      <c r="N375" s="13">
        <v>2616130376</v>
      </c>
      <c r="O375" s="13"/>
      <c r="P375" s="15" t="s">
        <v>44</v>
      </c>
      <c r="Q375" s="17" t="s">
        <v>3429</v>
      </c>
      <c r="R375" s="18">
        <v>200</v>
      </c>
      <c r="S375" s="19">
        <f t="shared" si="5"/>
        <v>32400</v>
      </c>
      <c r="T375" s="12" t="s">
        <v>46</v>
      </c>
      <c r="U375" s="15"/>
      <c r="V375" s="19">
        <v>44610</v>
      </c>
      <c r="W375" s="15" t="s">
        <v>71</v>
      </c>
      <c r="X375" s="13">
        <v>1004725</v>
      </c>
      <c r="Y375" s="20">
        <v>3067107</v>
      </c>
      <c r="Z375" s="13">
        <v>3835376</v>
      </c>
      <c r="AA375" s="13">
        <v>4671563</v>
      </c>
      <c r="AB375" s="13"/>
      <c r="AC375" s="15">
        <v>5531408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</row>
    <row r="376" spans="1:46" ht="45" customHeight="1">
      <c r="A376" s="40" t="s">
        <v>3430</v>
      </c>
      <c r="B376" s="33" t="s">
        <v>3431</v>
      </c>
      <c r="C376" s="34" t="s">
        <v>3432</v>
      </c>
      <c r="D376" s="35" t="s">
        <v>3433</v>
      </c>
      <c r="E376" s="35" t="s">
        <v>3434</v>
      </c>
      <c r="F376" s="35" t="s">
        <v>204</v>
      </c>
      <c r="G376" s="35" t="s">
        <v>3435</v>
      </c>
      <c r="H376" s="35"/>
      <c r="I376" s="35" t="s">
        <v>149</v>
      </c>
      <c r="J376" s="35" t="s">
        <v>3435</v>
      </c>
      <c r="K376" s="35"/>
      <c r="L376" s="35" t="s">
        <v>149</v>
      </c>
      <c r="M376" s="36" t="s">
        <v>3436</v>
      </c>
      <c r="N376" s="33">
        <v>4220908</v>
      </c>
      <c r="O376" s="33"/>
      <c r="P376" s="35" t="s">
        <v>3437</v>
      </c>
      <c r="Q376" s="37" t="s">
        <v>3438</v>
      </c>
      <c r="R376" s="38">
        <v>22</v>
      </c>
      <c r="S376" s="39">
        <f t="shared" si="5"/>
        <v>3564</v>
      </c>
      <c r="T376" s="40" t="s">
        <v>46</v>
      </c>
      <c r="U376" s="35"/>
      <c r="V376" s="39">
        <v>44610</v>
      </c>
      <c r="W376" s="35"/>
      <c r="X376" s="33"/>
      <c r="Y376" s="41"/>
      <c r="Z376" s="33"/>
      <c r="AA376" s="33"/>
      <c r="AB376" s="33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</row>
    <row r="377" spans="1:46" ht="45" customHeight="1">
      <c r="A377" s="40" t="s">
        <v>3439</v>
      </c>
      <c r="B377" s="33" t="s">
        <v>3440</v>
      </c>
      <c r="C377" s="34" t="s">
        <v>3441</v>
      </c>
      <c r="D377" s="35" t="s">
        <v>3442</v>
      </c>
      <c r="E377" s="35" t="s">
        <v>3443</v>
      </c>
      <c r="F377" s="35" t="s">
        <v>3444</v>
      </c>
      <c r="G377" s="35" t="s">
        <v>3445</v>
      </c>
      <c r="H377" s="35"/>
      <c r="I377" s="35" t="s">
        <v>149</v>
      </c>
      <c r="J377" s="35" t="s">
        <v>3445</v>
      </c>
      <c r="K377" s="35"/>
      <c r="L377" s="35" t="s">
        <v>149</v>
      </c>
      <c r="M377" s="36" t="s">
        <v>3446</v>
      </c>
      <c r="N377" s="33">
        <v>4321934</v>
      </c>
      <c r="O377" s="33"/>
      <c r="P377" s="35" t="s">
        <v>117</v>
      </c>
      <c r="Q377" s="37" t="s">
        <v>3447</v>
      </c>
      <c r="R377" s="38">
        <v>73</v>
      </c>
      <c r="S377" s="39">
        <f t="shared" si="5"/>
        <v>11826</v>
      </c>
      <c r="T377" s="40" t="s">
        <v>46</v>
      </c>
      <c r="U377" s="35"/>
      <c r="V377" s="39">
        <v>44610</v>
      </c>
      <c r="W377" s="35"/>
      <c r="X377" s="33"/>
      <c r="Y377" s="41"/>
      <c r="Z377" s="33"/>
      <c r="AA377" s="33"/>
      <c r="AB377" s="33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</row>
    <row r="378" spans="1:46" ht="45" customHeight="1">
      <c r="A378" s="21" t="s">
        <v>3448</v>
      </c>
      <c r="B378" s="22" t="s">
        <v>3449</v>
      </c>
      <c r="C378" s="23" t="s">
        <v>3450</v>
      </c>
      <c r="D378" s="24" t="s">
        <v>1957</v>
      </c>
      <c r="E378" s="24" t="s">
        <v>2145</v>
      </c>
      <c r="F378" s="24" t="s">
        <v>776</v>
      </c>
      <c r="G378" s="24" t="s">
        <v>3451</v>
      </c>
      <c r="H378" s="24" t="s">
        <v>3452</v>
      </c>
      <c r="I378" s="24" t="s">
        <v>38</v>
      </c>
      <c r="J378" s="24" t="s">
        <v>3453</v>
      </c>
      <c r="K378" s="24"/>
      <c r="L378" s="24" t="s">
        <v>1279</v>
      </c>
      <c r="M378" s="59" t="s">
        <v>1961</v>
      </c>
      <c r="N378" s="22" t="s">
        <v>2148</v>
      </c>
      <c r="O378" s="22"/>
      <c r="P378" s="24" t="s">
        <v>2111</v>
      </c>
      <c r="Q378" s="28" t="s">
        <v>3454</v>
      </c>
      <c r="R378" s="29">
        <v>1456</v>
      </c>
      <c r="S378" s="30">
        <f t="shared" si="5"/>
        <v>235872</v>
      </c>
      <c r="T378" s="21" t="s">
        <v>198</v>
      </c>
      <c r="U378" s="24"/>
      <c r="V378" s="30">
        <v>215940</v>
      </c>
      <c r="W378" s="45" t="s">
        <v>71</v>
      </c>
      <c r="X378" s="22"/>
      <c r="Y378" s="31"/>
      <c r="Z378" s="22">
        <v>3908329</v>
      </c>
      <c r="AA378" s="22">
        <v>4757652</v>
      </c>
      <c r="AB378" s="22"/>
      <c r="AC378" s="45">
        <v>5630972</v>
      </c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</row>
    <row r="379" spans="1:46" ht="45" customHeight="1">
      <c r="A379" s="12" t="s">
        <v>3455</v>
      </c>
      <c r="B379" s="13" t="s">
        <v>3456</v>
      </c>
      <c r="C379" s="14" t="s">
        <v>3457</v>
      </c>
      <c r="D379" s="15" t="s">
        <v>3458</v>
      </c>
      <c r="E379" s="15" t="s">
        <v>3459</v>
      </c>
      <c r="F379" s="15" t="s">
        <v>2668</v>
      </c>
      <c r="G379" s="15" t="s">
        <v>3460</v>
      </c>
      <c r="H379" s="15" t="s">
        <v>52</v>
      </c>
      <c r="I379" s="15" t="s">
        <v>53</v>
      </c>
      <c r="J379" s="15" t="s">
        <v>3460</v>
      </c>
      <c r="K379" s="15" t="s">
        <v>52</v>
      </c>
      <c r="L379" s="15" t="s">
        <v>53</v>
      </c>
      <c r="M379" s="46" t="s">
        <v>3461</v>
      </c>
      <c r="N379" s="13" t="s">
        <v>3462</v>
      </c>
      <c r="O379" s="13"/>
      <c r="P379" s="15" t="s">
        <v>1381</v>
      </c>
      <c r="Q379" s="17" t="s">
        <v>3463</v>
      </c>
      <c r="R379" s="18">
        <v>119</v>
      </c>
      <c r="S379" s="19">
        <f t="shared" si="5"/>
        <v>19278</v>
      </c>
      <c r="T379" s="12" t="s">
        <v>46</v>
      </c>
      <c r="U379" s="15"/>
      <c r="V379" s="19">
        <v>44610</v>
      </c>
      <c r="W379" s="15" t="s">
        <v>71</v>
      </c>
      <c r="X379" s="13">
        <v>1137390</v>
      </c>
      <c r="Y379" s="20">
        <v>3120209</v>
      </c>
      <c r="Z379" s="13">
        <v>3899585</v>
      </c>
      <c r="AA379" s="13">
        <v>4865509</v>
      </c>
      <c r="AB379" s="13"/>
      <c r="AC379" s="15">
        <v>5565072</v>
      </c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</row>
    <row r="380" spans="1:46" ht="45" customHeight="1">
      <c r="A380" s="50" t="s">
        <v>3464</v>
      </c>
      <c r="B380" s="51" t="s">
        <v>3465</v>
      </c>
      <c r="C380" s="95" t="s">
        <v>3466</v>
      </c>
      <c r="D380" s="53" t="s">
        <v>3467</v>
      </c>
      <c r="E380" s="53" t="s">
        <v>3468</v>
      </c>
      <c r="F380" s="53" t="s">
        <v>542</v>
      </c>
      <c r="G380" s="53" t="s">
        <v>3469</v>
      </c>
      <c r="H380" s="53" t="s">
        <v>137</v>
      </c>
      <c r="I380" s="53" t="s">
        <v>38</v>
      </c>
      <c r="J380" s="53" t="s">
        <v>3469</v>
      </c>
      <c r="K380" s="53" t="s">
        <v>137</v>
      </c>
      <c r="L380" s="53" t="s">
        <v>38</v>
      </c>
      <c r="M380" s="54" t="s">
        <v>3470</v>
      </c>
      <c r="N380" s="51">
        <v>4649267</v>
      </c>
      <c r="O380" s="51"/>
      <c r="P380" s="53" t="s">
        <v>117</v>
      </c>
      <c r="Q380" s="55" t="s">
        <v>3471</v>
      </c>
      <c r="R380" s="56">
        <v>309</v>
      </c>
      <c r="S380" s="57">
        <f t="shared" si="5"/>
        <v>50058</v>
      </c>
      <c r="T380" s="50" t="s">
        <v>46</v>
      </c>
      <c r="U380" s="53"/>
      <c r="V380" s="57">
        <v>44610</v>
      </c>
      <c r="W380" s="53"/>
      <c r="X380" s="51"/>
      <c r="Y380" s="58"/>
      <c r="Z380" s="51"/>
      <c r="AA380" s="51"/>
      <c r="AB380" s="51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</row>
    <row r="381" spans="1:46" ht="45" customHeight="1">
      <c r="A381" s="12" t="s">
        <v>3472</v>
      </c>
      <c r="B381" s="13" t="s">
        <v>3473</v>
      </c>
      <c r="C381" s="14" t="s">
        <v>3474</v>
      </c>
      <c r="D381" s="15" t="s">
        <v>3475</v>
      </c>
      <c r="E381" s="15" t="s">
        <v>3476</v>
      </c>
      <c r="F381" s="15" t="s">
        <v>181</v>
      </c>
      <c r="G381" s="15" t="s">
        <v>3477</v>
      </c>
      <c r="H381" s="15"/>
      <c r="I381" s="15" t="s">
        <v>65</v>
      </c>
      <c r="J381" s="15" t="s">
        <v>3477</v>
      </c>
      <c r="K381" s="15"/>
      <c r="L381" s="15" t="s">
        <v>65</v>
      </c>
      <c r="M381" s="46" t="s">
        <v>3478</v>
      </c>
      <c r="N381" s="13" t="s">
        <v>3479</v>
      </c>
      <c r="O381" s="13"/>
      <c r="P381" s="15" t="s">
        <v>94</v>
      </c>
      <c r="Q381" s="17" t="s">
        <v>3480</v>
      </c>
      <c r="R381" s="18">
        <v>182</v>
      </c>
      <c r="S381" s="19">
        <f t="shared" si="5"/>
        <v>29484</v>
      </c>
      <c r="T381" s="12" t="s">
        <v>46</v>
      </c>
      <c r="U381" s="15"/>
      <c r="V381" s="19">
        <v>44610</v>
      </c>
      <c r="W381" s="15" t="s">
        <v>71</v>
      </c>
      <c r="X381" s="13">
        <v>1010944</v>
      </c>
      <c r="Y381" s="20">
        <v>3091598</v>
      </c>
      <c r="Z381" s="13">
        <v>3881048</v>
      </c>
      <c r="AA381" s="13">
        <v>4745248</v>
      </c>
      <c r="AB381" s="13"/>
      <c r="AC381" s="15">
        <v>5606480</v>
      </c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</row>
    <row r="382" spans="1:46" ht="45" customHeight="1">
      <c r="A382" s="21" t="s">
        <v>3481</v>
      </c>
      <c r="B382" s="22" t="s">
        <v>3482</v>
      </c>
      <c r="C382" s="23" t="s">
        <v>3483</v>
      </c>
      <c r="D382" s="24" t="s">
        <v>3484</v>
      </c>
      <c r="E382" s="24" t="s">
        <v>3485</v>
      </c>
      <c r="F382" s="24" t="s">
        <v>204</v>
      </c>
      <c r="G382" s="24" t="s">
        <v>3486</v>
      </c>
      <c r="H382" s="24"/>
      <c r="I382" s="24" t="s">
        <v>149</v>
      </c>
      <c r="J382" s="24" t="s">
        <v>3486</v>
      </c>
      <c r="K382" s="24"/>
      <c r="L382" s="24" t="s">
        <v>149</v>
      </c>
      <c r="M382" s="59" t="s">
        <v>3487</v>
      </c>
      <c r="N382" s="22">
        <v>4245844</v>
      </c>
      <c r="O382" s="22"/>
      <c r="P382" s="24" t="s">
        <v>44</v>
      </c>
      <c r="Q382" s="28" t="s">
        <v>3488</v>
      </c>
      <c r="R382" s="29">
        <v>649</v>
      </c>
      <c r="S382" s="30">
        <f t="shared" si="5"/>
        <v>105138</v>
      </c>
      <c r="T382" s="21" t="s">
        <v>252</v>
      </c>
      <c r="U382" s="24"/>
      <c r="V382" s="30">
        <v>123900</v>
      </c>
      <c r="W382" s="24" t="s">
        <v>71</v>
      </c>
      <c r="X382" s="22">
        <v>1127825</v>
      </c>
      <c r="Y382" s="31">
        <v>3113783</v>
      </c>
      <c r="Z382" s="22">
        <v>3887716</v>
      </c>
      <c r="AA382" s="22">
        <v>4694299</v>
      </c>
      <c r="AB382" s="22"/>
      <c r="AC382" s="24">
        <v>5577998</v>
      </c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</row>
    <row r="383" spans="1:46" ht="45" customHeight="1">
      <c r="A383" s="12" t="s">
        <v>3489</v>
      </c>
      <c r="B383" s="13" t="s">
        <v>3490</v>
      </c>
      <c r="C383" s="14" t="s">
        <v>3491</v>
      </c>
      <c r="D383" s="15" t="s">
        <v>3492</v>
      </c>
      <c r="E383" s="15" t="s">
        <v>2387</v>
      </c>
      <c r="F383" s="15" t="s">
        <v>147</v>
      </c>
      <c r="G383" s="15" t="s">
        <v>3493</v>
      </c>
      <c r="H383" s="15" t="s">
        <v>2539</v>
      </c>
      <c r="I383" s="15" t="s">
        <v>38</v>
      </c>
      <c r="J383" s="15" t="s">
        <v>3493</v>
      </c>
      <c r="K383" s="15" t="s">
        <v>2539</v>
      </c>
      <c r="L383" s="15" t="s">
        <v>38</v>
      </c>
      <c r="M383" s="46" t="s">
        <v>3494</v>
      </c>
      <c r="N383" s="13">
        <v>2615117196</v>
      </c>
      <c r="O383" s="13"/>
      <c r="P383" s="15" t="s">
        <v>151</v>
      </c>
      <c r="Q383" s="17" t="s">
        <v>3495</v>
      </c>
      <c r="R383" s="18">
        <v>95</v>
      </c>
      <c r="S383" s="19">
        <f t="shared" si="5"/>
        <v>15390</v>
      </c>
      <c r="T383" s="12" t="s">
        <v>46</v>
      </c>
      <c r="U383" s="15"/>
      <c r="V383" s="19">
        <v>44610</v>
      </c>
      <c r="W383" s="15"/>
      <c r="X383" s="13"/>
      <c r="Y383" s="20"/>
      <c r="Z383" s="13"/>
      <c r="AA383" s="13"/>
      <c r="AB383" s="13">
        <v>4905573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</row>
    <row r="384" spans="1:46" ht="45" customHeight="1">
      <c r="A384" s="12" t="s">
        <v>3496</v>
      </c>
      <c r="B384" s="13" t="s">
        <v>3497</v>
      </c>
      <c r="C384" s="14" t="s">
        <v>3498</v>
      </c>
      <c r="D384" s="15" t="s">
        <v>3499</v>
      </c>
      <c r="E384" s="15" t="s">
        <v>3500</v>
      </c>
      <c r="F384" s="15" t="s">
        <v>181</v>
      </c>
      <c r="G384" s="15" t="s">
        <v>3501</v>
      </c>
      <c r="H384" s="15" t="s">
        <v>331</v>
      </c>
      <c r="I384" s="15" t="s">
        <v>1022</v>
      </c>
      <c r="J384" s="15" t="s">
        <v>3501</v>
      </c>
      <c r="K384" s="15" t="s">
        <v>331</v>
      </c>
      <c r="L384" s="15" t="s">
        <v>1022</v>
      </c>
      <c r="M384" s="46" t="s">
        <v>3502</v>
      </c>
      <c r="N384" s="13" t="s">
        <v>3503</v>
      </c>
      <c r="O384" s="13"/>
      <c r="P384" s="15" t="s">
        <v>94</v>
      </c>
      <c r="Q384" s="17" t="s">
        <v>3504</v>
      </c>
      <c r="R384" s="18">
        <v>437</v>
      </c>
      <c r="S384" s="19">
        <f t="shared" si="5"/>
        <v>70794</v>
      </c>
      <c r="T384" s="12" t="s">
        <v>46</v>
      </c>
      <c r="U384" s="15"/>
      <c r="V384" s="19">
        <v>44610</v>
      </c>
      <c r="W384" s="15" t="s">
        <v>71</v>
      </c>
      <c r="X384" s="13"/>
      <c r="Y384" s="20">
        <v>3108122</v>
      </c>
      <c r="Z384" s="13">
        <v>3876953</v>
      </c>
      <c r="AA384" s="13">
        <v>4741123</v>
      </c>
      <c r="AB384" s="13"/>
      <c r="AC384" s="15">
        <v>5618247</v>
      </c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</row>
    <row r="385" spans="1:46" ht="45" customHeight="1">
      <c r="A385" s="12" t="s">
        <v>3505</v>
      </c>
      <c r="B385" s="13" t="s">
        <v>3506</v>
      </c>
      <c r="C385" s="14" t="s">
        <v>3507</v>
      </c>
      <c r="D385" s="15" t="s">
        <v>3508</v>
      </c>
      <c r="E385" s="15" t="s">
        <v>3509</v>
      </c>
      <c r="F385" s="15" t="s">
        <v>111</v>
      </c>
      <c r="G385" s="15" t="s">
        <v>3510</v>
      </c>
      <c r="H385" s="15"/>
      <c r="I385" s="15" t="s">
        <v>149</v>
      </c>
      <c r="J385" s="15" t="s">
        <v>3510</v>
      </c>
      <c r="K385" s="15"/>
      <c r="L385" s="15" t="s">
        <v>149</v>
      </c>
      <c r="M385" s="46" t="s">
        <v>3511</v>
      </c>
      <c r="N385" s="13" t="s">
        <v>3512</v>
      </c>
      <c r="O385" s="13"/>
      <c r="P385" s="15" t="s">
        <v>94</v>
      </c>
      <c r="Q385" s="17" t="s">
        <v>3513</v>
      </c>
      <c r="R385" s="18">
        <v>80</v>
      </c>
      <c r="S385" s="19">
        <f t="shared" si="5"/>
        <v>12960</v>
      </c>
      <c r="T385" s="12" t="s">
        <v>46</v>
      </c>
      <c r="U385" s="15"/>
      <c r="V385" s="19">
        <v>44610</v>
      </c>
      <c r="W385" s="15" t="s">
        <v>71</v>
      </c>
      <c r="X385" s="13">
        <v>1131671</v>
      </c>
      <c r="Y385" s="20"/>
      <c r="Z385" s="13"/>
      <c r="AA385" s="13"/>
      <c r="AB385" s="13">
        <v>4851423</v>
      </c>
      <c r="AC385" s="15">
        <v>5548692</v>
      </c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</row>
    <row r="386" spans="1:46" ht="45" customHeight="1">
      <c r="A386" s="21" t="s">
        <v>3514</v>
      </c>
      <c r="B386" s="22" t="s">
        <v>3515</v>
      </c>
      <c r="C386" s="23" t="s">
        <v>3516</v>
      </c>
      <c r="D386" s="24" t="s">
        <v>3517</v>
      </c>
      <c r="E386" s="24" t="s">
        <v>3518</v>
      </c>
      <c r="F386" s="24" t="s">
        <v>77</v>
      </c>
      <c r="G386" s="24" t="s">
        <v>3519</v>
      </c>
      <c r="H386" s="24"/>
      <c r="I386" s="24" t="s">
        <v>1058</v>
      </c>
      <c r="J386" s="24" t="s">
        <v>3519</v>
      </c>
      <c r="K386" s="24"/>
      <c r="L386" s="24" t="s">
        <v>1058</v>
      </c>
      <c r="M386" s="70" t="s">
        <v>3520</v>
      </c>
      <c r="N386" s="22">
        <v>2613072646</v>
      </c>
      <c r="O386" s="22"/>
      <c r="P386" s="24" t="s">
        <v>94</v>
      </c>
      <c r="Q386" s="28" t="s">
        <v>3521</v>
      </c>
      <c r="R386" s="29">
        <v>2204</v>
      </c>
      <c r="S386" s="30">
        <f t="shared" si="5"/>
        <v>357048</v>
      </c>
      <c r="T386" s="21" t="s">
        <v>96</v>
      </c>
      <c r="U386" s="24"/>
      <c r="V386" s="30">
        <v>368160</v>
      </c>
      <c r="W386" s="45" t="s">
        <v>71</v>
      </c>
      <c r="X386" s="22">
        <v>1123573</v>
      </c>
      <c r="Y386" s="31"/>
      <c r="Z386" s="22">
        <v>3903761</v>
      </c>
      <c r="AA386" s="22">
        <v>4753608</v>
      </c>
      <c r="AB386" s="22"/>
      <c r="AC386" s="45">
        <v>5633407</v>
      </c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</row>
    <row r="387" spans="1:46" ht="38.25" customHeight="1">
      <c r="A387" s="12" t="s">
        <v>3522</v>
      </c>
      <c r="B387" s="13" t="s">
        <v>3523</v>
      </c>
      <c r="C387" s="14" t="s">
        <v>3524</v>
      </c>
      <c r="D387" s="15" t="s">
        <v>3525</v>
      </c>
      <c r="E387" s="15" t="s">
        <v>3526</v>
      </c>
      <c r="F387" s="15" t="s">
        <v>181</v>
      </c>
      <c r="G387" s="15" t="s">
        <v>3527</v>
      </c>
      <c r="H387" s="15" t="s">
        <v>3528</v>
      </c>
      <c r="I387" s="15" t="s">
        <v>41</v>
      </c>
      <c r="J387" s="15" t="s">
        <v>3527</v>
      </c>
      <c r="K387" s="15" t="s">
        <v>3528</v>
      </c>
      <c r="L387" s="15" t="s">
        <v>41</v>
      </c>
      <c r="M387" s="46" t="s">
        <v>3529</v>
      </c>
      <c r="N387" s="13" t="s">
        <v>3530</v>
      </c>
      <c r="O387" s="13"/>
      <c r="P387" s="15" t="s">
        <v>94</v>
      </c>
      <c r="Q387" s="17" t="s">
        <v>3531</v>
      </c>
      <c r="R387" s="18">
        <v>125</v>
      </c>
      <c r="S387" s="19">
        <f t="shared" si="5"/>
        <v>20250</v>
      </c>
      <c r="T387" s="12" t="s">
        <v>46</v>
      </c>
      <c r="U387" s="15"/>
      <c r="V387" s="19">
        <v>44610</v>
      </c>
      <c r="W387" s="15" t="s">
        <v>71</v>
      </c>
      <c r="X387" s="13">
        <v>1107405</v>
      </c>
      <c r="Y387" s="20">
        <v>3113660</v>
      </c>
      <c r="Z387" s="13">
        <v>3832696</v>
      </c>
      <c r="AA387" s="13">
        <v>4721102</v>
      </c>
      <c r="AB387" s="13"/>
      <c r="AC387" s="15">
        <v>5580722</v>
      </c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</row>
    <row r="388" spans="1:46" ht="45" customHeight="1">
      <c r="A388" s="21" t="s">
        <v>3532</v>
      </c>
      <c r="B388" s="22" t="s">
        <v>3533</v>
      </c>
      <c r="C388" s="23" t="s">
        <v>3534</v>
      </c>
      <c r="D388" s="24" t="s">
        <v>3535</v>
      </c>
      <c r="E388" s="24" t="s">
        <v>3536</v>
      </c>
      <c r="F388" s="24" t="s">
        <v>402</v>
      </c>
      <c r="G388" s="24" t="s">
        <v>3537</v>
      </c>
      <c r="H388" s="24" t="s">
        <v>331</v>
      </c>
      <c r="I388" s="24" t="s">
        <v>80</v>
      </c>
      <c r="J388" s="24" t="s">
        <v>3538</v>
      </c>
      <c r="K388" s="24" t="s">
        <v>405</v>
      </c>
      <c r="L388" s="24" t="s">
        <v>115</v>
      </c>
      <c r="M388" s="25" t="s">
        <v>3539</v>
      </c>
      <c r="N388" s="22" t="s">
        <v>3540</v>
      </c>
      <c r="O388" s="22"/>
      <c r="P388" s="24" t="s">
        <v>408</v>
      </c>
      <c r="Q388" s="28" t="s">
        <v>3541</v>
      </c>
      <c r="R388" s="29">
        <v>2094</v>
      </c>
      <c r="S388" s="30">
        <f t="shared" si="5"/>
        <v>339228</v>
      </c>
      <c r="T388" s="21" t="s">
        <v>96</v>
      </c>
      <c r="U388" s="24"/>
      <c r="V388" s="30">
        <v>368160</v>
      </c>
      <c r="W388" s="24" t="s">
        <v>71</v>
      </c>
      <c r="X388" s="22"/>
      <c r="Y388" s="31">
        <v>3111857</v>
      </c>
      <c r="Z388" s="22" t="s">
        <v>3542</v>
      </c>
      <c r="AA388" s="22">
        <v>4725558</v>
      </c>
      <c r="AB388" s="22"/>
      <c r="AC388" s="24">
        <v>5612674</v>
      </c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</row>
    <row r="389" spans="1:46" ht="45" customHeight="1">
      <c r="A389" s="12" t="s">
        <v>3543</v>
      </c>
      <c r="B389" s="13" t="s">
        <v>3544</v>
      </c>
      <c r="C389" s="14" t="s">
        <v>3545</v>
      </c>
      <c r="D389" s="15" t="s">
        <v>3546</v>
      </c>
      <c r="E389" s="15" t="s">
        <v>3547</v>
      </c>
      <c r="F389" s="15" t="s">
        <v>77</v>
      </c>
      <c r="G389" s="15" t="s">
        <v>3548</v>
      </c>
      <c r="H389" s="15"/>
      <c r="I389" s="15" t="s">
        <v>321</v>
      </c>
      <c r="J389" s="15" t="s">
        <v>3549</v>
      </c>
      <c r="K389" s="15" t="s">
        <v>778</v>
      </c>
      <c r="L389" s="15" t="s">
        <v>321</v>
      </c>
      <c r="M389" s="46" t="s">
        <v>3550</v>
      </c>
      <c r="N389" s="13">
        <v>2634412398</v>
      </c>
      <c r="O389" s="13"/>
      <c r="P389" s="15" t="s">
        <v>94</v>
      </c>
      <c r="Q389" s="17" t="s">
        <v>3551</v>
      </c>
      <c r="R389" s="18">
        <v>174</v>
      </c>
      <c r="S389" s="19">
        <f t="shared" si="5"/>
        <v>28188</v>
      </c>
      <c r="T389" s="12" t="s">
        <v>46</v>
      </c>
      <c r="U389" s="15"/>
      <c r="V389" s="19">
        <v>44610</v>
      </c>
      <c r="W389" s="49" t="s">
        <v>71</v>
      </c>
      <c r="X389" s="13"/>
      <c r="Y389" s="20"/>
      <c r="Z389" s="13">
        <v>3893216</v>
      </c>
      <c r="AA389" s="13">
        <v>4753656</v>
      </c>
      <c r="AB389" s="13"/>
      <c r="AC389" s="49">
        <v>5622927</v>
      </c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</row>
    <row r="390" spans="1:46" ht="45" customHeight="1">
      <c r="A390" s="50" t="s">
        <v>3552</v>
      </c>
      <c r="B390" s="51" t="s">
        <v>3553</v>
      </c>
      <c r="C390" s="52" t="s">
        <v>3554</v>
      </c>
      <c r="D390" s="53" t="s">
        <v>3555</v>
      </c>
      <c r="E390" s="53" t="s">
        <v>3556</v>
      </c>
      <c r="F390" s="53" t="s">
        <v>181</v>
      </c>
      <c r="G390" s="53" t="s">
        <v>3557</v>
      </c>
      <c r="H390" s="53" t="s">
        <v>291</v>
      </c>
      <c r="I390" s="53" t="s">
        <v>115</v>
      </c>
      <c r="J390" s="53" t="s">
        <v>3558</v>
      </c>
      <c r="K390" s="53" t="s">
        <v>291</v>
      </c>
      <c r="L390" s="53" t="s">
        <v>115</v>
      </c>
      <c r="M390" s="68" t="s">
        <v>3559</v>
      </c>
      <c r="N390" s="51" t="s">
        <v>3560</v>
      </c>
      <c r="O390" s="51"/>
      <c r="P390" s="53" t="s">
        <v>1310</v>
      </c>
      <c r="Q390" s="55" t="s">
        <v>3561</v>
      </c>
      <c r="R390" s="56">
        <v>17</v>
      </c>
      <c r="S390" s="57">
        <f t="shared" si="5"/>
        <v>2754</v>
      </c>
      <c r="T390" s="50" t="s">
        <v>46</v>
      </c>
      <c r="U390" s="53"/>
      <c r="V390" s="57">
        <v>44610</v>
      </c>
      <c r="W390" s="53"/>
      <c r="X390" s="51">
        <v>1130248</v>
      </c>
      <c r="Y390" s="58">
        <v>3115671</v>
      </c>
      <c r="Z390" s="51">
        <v>3883913</v>
      </c>
      <c r="AA390" s="51">
        <v>4739830</v>
      </c>
      <c r="AB390" s="51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</row>
    <row r="391" spans="1:46" ht="45" customHeight="1">
      <c r="A391" s="12" t="s">
        <v>3562</v>
      </c>
      <c r="B391" s="13" t="s">
        <v>3563</v>
      </c>
      <c r="C391" s="66" t="s">
        <v>3564</v>
      </c>
      <c r="D391" s="15" t="s">
        <v>3565</v>
      </c>
      <c r="E391" s="15" t="s">
        <v>3566</v>
      </c>
      <c r="F391" s="15" t="s">
        <v>909</v>
      </c>
      <c r="G391" s="15" t="s">
        <v>3567</v>
      </c>
      <c r="H391" s="15" t="s">
        <v>2539</v>
      </c>
      <c r="I391" s="15" t="s">
        <v>38</v>
      </c>
      <c r="J391" s="15" t="s">
        <v>3568</v>
      </c>
      <c r="K391" s="15" t="s">
        <v>2379</v>
      </c>
      <c r="L391" s="15" t="s">
        <v>80</v>
      </c>
      <c r="M391" s="67" t="s">
        <v>3569</v>
      </c>
      <c r="N391" s="13">
        <v>4933997</v>
      </c>
      <c r="O391" s="13"/>
      <c r="P391" s="15" t="s">
        <v>94</v>
      </c>
      <c r="Q391" s="17" t="s">
        <v>3570</v>
      </c>
      <c r="R391" s="18">
        <v>36</v>
      </c>
      <c r="S391" s="19">
        <f t="shared" si="5"/>
        <v>5832</v>
      </c>
      <c r="T391" s="12" t="s">
        <v>46</v>
      </c>
      <c r="U391" s="15"/>
      <c r="V391" s="19">
        <v>44610</v>
      </c>
      <c r="W391" s="15"/>
      <c r="X391" s="13"/>
      <c r="Y391" s="20"/>
      <c r="Z391" s="13"/>
      <c r="AA391" s="13"/>
      <c r="AB391" s="13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</row>
    <row r="392" spans="1:46" ht="45" customHeight="1">
      <c r="A392" s="12" t="s">
        <v>3571</v>
      </c>
      <c r="B392" s="13" t="s">
        <v>3572</v>
      </c>
      <c r="C392" s="66" t="s">
        <v>3573</v>
      </c>
      <c r="D392" s="15" t="s">
        <v>3574</v>
      </c>
      <c r="E392" s="15" t="s">
        <v>3575</v>
      </c>
      <c r="F392" s="15" t="s">
        <v>181</v>
      </c>
      <c r="G392" s="15" t="s">
        <v>3576</v>
      </c>
      <c r="H392" s="15"/>
      <c r="I392" s="15" t="s">
        <v>1022</v>
      </c>
      <c r="J392" s="15" t="s">
        <v>3576</v>
      </c>
      <c r="K392" s="15"/>
      <c r="L392" s="15" t="s">
        <v>1022</v>
      </c>
      <c r="M392" s="16" t="s">
        <v>3577</v>
      </c>
      <c r="N392" s="13">
        <v>2614340202</v>
      </c>
      <c r="O392" s="13"/>
      <c r="P392" s="15" t="s">
        <v>94</v>
      </c>
      <c r="Q392" s="17" t="s">
        <v>3578</v>
      </c>
      <c r="R392" s="18">
        <v>191</v>
      </c>
      <c r="S392" s="19">
        <f t="shared" si="5"/>
        <v>30942</v>
      </c>
      <c r="T392" s="12" t="s">
        <v>46</v>
      </c>
      <c r="U392" s="15"/>
      <c r="V392" s="19">
        <v>44610</v>
      </c>
      <c r="W392" s="15" t="s">
        <v>71</v>
      </c>
      <c r="X392" s="13">
        <v>1137495</v>
      </c>
      <c r="Y392" s="20">
        <v>3114703</v>
      </c>
      <c r="Z392" s="13">
        <v>3899255</v>
      </c>
      <c r="AA392" s="13"/>
      <c r="AB392" s="13"/>
      <c r="AC392" s="15">
        <v>5485757</v>
      </c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</row>
    <row r="393" spans="1:46" ht="45" customHeight="1">
      <c r="A393" s="12" t="s">
        <v>3579</v>
      </c>
      <c r="B393" s="13" t="s">
        <v>3580</v>
      </c>
      <c r="C393" s="14" t="s">
        <v>3581</v>
      </c>
      <c r="D393" s="15" t="s">
        <v>3582</v>
      </c>
      <c r="E393" s="15" t="s">
        <v>3583</v>
      </c>
      <c r="F393" s="15" t="s">
        <v>111</v>
      </c>
      <c r="G393" s="15" t="s">
        <v>3584</v>
      </c>
      <c r="H393" s="15" t="s">
        <v>1013</v>
      </c>
      <c r="I393" s="15" t="s">
        <v>149</v>
      </c>
      <c r="J393" s="15" t="s">
        <v>3584</v>
      </c>
      <c r="K393" s="15" t="s">
        <v>1013</v>
      </c>
      <c r="L393" s="15" t="s">
        <v>149</v>
      </c>
      <c r="M393" s="46" t="s">
        <v>3585</v>
      </c>
      <c r="O393" s="13"/>
      <c r="P393" s="15" t="s">
        <v>94</v>
      </c>
      <c r="Q393" s="17" t="s">
        <v>3586</v>
      </c>
      <c r="R393" s="18">
        <v>146</v>
      </c>
      <c r="S393" s="19">
        <f t="shared" si="5"/>
        <v>23652</v>
      </c>
      <c r="T393" s="12" t="s">
        <v>46</v>
      </c>
      <c r="U393" s="15"/>
      <c r="V393" s="19">
        <v>44610</v>
      </c>
      <c r="W393" s="15"/>
      <c r="X393" s="13"/>
      <c r="Y393" s="20"/>
      <c r="Z393" s="13"/>
      <c r="AA393" s="13"/>
      <c r="AB393" s="13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</row>
    <row r="394" spans="1:46" ht="45" customHeight="1">
      <c r="A394" s="40" t="s">
        <v>3587</v>
      </c>
      <c r="B394" s="33" t="s">
        <v>3588</v>
      </c>
      <c r="C394" s="34" t="s">
        <v>3589</v>
      </c>
      <c r="D394" s="35" t="s">
        <v>3590</v>
      </c>
      <c r="E394" s="35" t="s">
        <v>1544</v>
      </c>
      <c r="F394" s="35" t="s">
        <v>402</v>
      </c>
      <c r="G394" s="35" t="s">
        <v>3591</v>
      </c>
      <c r="H394" s="35" t="s">
        <v>125</v>
      </c>
      <c r="I394" s="35" t="s">
        <v>115</v>
      </c>
      <c r="J394" s="35" t="s">
        <v>3591</v>
      </c>
      <c r="K394" s="35" t="s">
        <v>125</v>
      </c>
      <c r="L394" s="35" t="s">
        <v>115</v>
      </c>
      <c r="M394" s="36" t="s">
        <v>3592</v>
      </c>
      <c r="N394" s="33" t="s">
        <v>3593</v>
      </c>
      <c r="O394" s="33"/>
      <c r="P394" s="35" t="s">
        <v>44</v>
      </c>
      <c r="Q394" s="37" t="s">
        <v>3594</v>
      </c>
      <c r="R394" s="38">
        <v>342</v>
      </c>
      <c r="S394" s="39">
        <f t="shared" si="5"/>
        <v>55404</v>
      </c>
      <c r="T394" s="40" t="s">
        <v>46</v>
      </c>
      <c r="U394" s="35"/>
      <c r="V394" s="39">
        <v>44610</v>
      </c>
      <c r="W394" s="35"/>
      <c r="X394" s="33"/>
      <c r="Y394" s="41"/>
      <c r="Z394" s="33"/>
      <c r="AA394" s="33"/>
      <c r="AB394" s="33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</row>
    <row r="395" spans="1:46" ht="45" customHeight="1">
      <c r="A395" s="21" t="s">
        <v>3595</v>
      </c>
      <c r="B395" s="22" t="s">
        <v>3596</v>
      </c>
      <c r="C395" s="23" t="s">
        <v>3597</v>
      </c>
      <c r="D395" s="24" t="s">
        <v>3598</v>
      </c>
      <c r="E395" s="24" t="s">
        <v>3599</v>
      </c>
      <c r="F395" s="24" t="s">
        <v>776</v>
      </c>
      <c r="G395" s="24" t="s">
        <v>3600</v>
      </c>
      <c r="H395" s="24" t="s">
        <v>2698</v>
      </c>
      <c r="I395" s="24" t="s">
        <v>38</v>
      </c>
      <c r="J395" s="24" t="s">
        <v>3600</v>
      </c>
      <c r="K395" s="24" t="s">
        <v>2698</v>
      </c>
      <c r="L395" s="24" t="s">
        <v>38</v>
      </c>
      <c r="M395" s="25" t="s">
        <v>3601</v>
      </c>
      <c r="N395" s="22" t="s">
        <v>3602</v>
      </c>
      <c r="O395" s="22"/>
      <c r="P395" s="24" t="s">
        <v>1381</v>
      </c>
      <c r="Q395" s="28" t="s">
        <v>3603</v>
      </c>
      <c r="R395" s="29">
        <v>945</v>
      </c>
      <c r="S395" s="30">
        <f t="shared" si="5"/>
        <v>153090</v>
      </c>
      <c r="T395" s="21" t="s">
        <v>252</v>
      </c>
      <c r="U395" s="24"/>
      <c r="V395" s="30">
        <v>123900</v>
      </c>
      <c r="W395" s="24" t="s">
        <v>47</v>
      </c>
      <c r="X395" s="22" t="s">
        <v>3604</v>
      </c>
      <c r="Y395" s="31">
        <v>3113823</v>
      </c>
      <c r="Z395" s="22">
        <v>3869393</v>
      </c>
      <c r="AA395" s="22"/>
      <c r="AB395" s="22"/>
      <c r="AC395" s="24">
        <v>5526450</v>
      </c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</row>
    <row r="396" spans="1:46" ht="45" customHeight="1">
      <c r="A396" s="12" t="s">
        <v>3605</v>
      </c>
      <c r="B396" s="13" t="s">
        <v>3606</v>
      </c>
      <c r="C396" s="14" t="s">
        <v>3607</v>
      </c>
      <c r="D396" s="15" t="s">
        <v>3608</v>
      </c>
      <c r="E396" s="15" t="s">
        <v>3575</v>
      </c>
      <c r="F396" s="15" t="s">
        <v>181</v>
      </c>
      <c r="G396" s="15" t="s">
        <v>3609</v>
      </c>
      <c r="H396" s="15" t="s">
        <v>3610</v>
      </c>
      <c r="I396" s="15" t="s">
        <v>38</v>
      </c>
      <c r="J396" s="15" t="s">
        <v>3609</v>
      </c>
      <c r="K396" s="15" t="s">
        <v>3610</v>
      </c>
      <c r="L396" s="15" t="s">
        <v>38</v>
      </c>
      <c r="M396" s="46" t="s">
        <v>3611</v>
      </c>
      <c r="N396" s="13" t="s">
        <v>3612</v>
      </c>
      <c r="O396" s="13"/>
      <c r="P396" s="15" t="s">
        <v>94</v>
      </c>
      <c r="Q396" s="17" t="s">
        <v>3613</v>
      </c>
      <c r="R396" s="18">
        <v>302</v>
      </c>
      <c r="S396" s="19">
        <f t="shared" si="5"/>
        <v>48924</v>
      </c>
      <c r="T396" s="12" t="s">
        <v>46</v>
      </c>
      <c r="U396" s="15"/>
      <c r="V396" s="19">
        <v>44610</v>
      </c>
      <c r="W396" s="15"/>
      <c r="X396" s="13"/>
      <c r="Y396" s="20"/>
      <c r="Z396" s="13"/>
      <c r="AA396" s="13"/>
      <c r="AB396" s="13">
        <v>4896715</v>
      </c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</row>
    <row r="397" spans="1:46" ht="45" customHeight="1">
      <c r="A397" s="12" t="s">
        <v>3614</v>
      </c>
      <c r="B397" s="13" t="s">
        <v>3615</v>
      </c>
      <c r="C397" s="14" t="s">
        <v>3616</v>
      </c>
      <c r="D397" s="15" t="s">
        <v>3617</v>
      </c>
      <c r="E397" s="15" t="s">
        <v>3618</v>
      </c>
      <c r="F397" s="15" t="s">
        <v>909</v>
      </c>
      <c r="G397" s="15" t="s">
        <v>3619</v>
      </c>
      <c r="H397" s="15"/>
      <c r="I397" s="15" t="s">
        <v>149</v>
      </c>
      <c r="J397" s="15" t="s">
        <v>3619</v>
      </c>
      <c r="K397" s="15"/>
      <c r="L397" s="15" t="s">
        <v>149</v>
      </c>
      <c r="M397" s="16" t="s">
        <v>3620</v>
      </c>
      <c r="N397" s="13" t="s">
        <v>3621</v>
      </c>
      <c r="O397" s="13"/>
      <c r="P397" s="15" t="s">
        <v>44</v>
      </c>
      <c r="Q397" s="17" t="s">
        <v>3622</v>
      </c>
      <c r="R397" s="18">
        <v>110</v>
      </c>
      <c r="S397" s="19">
        <f t="shared" si="5"/>
        <v>17820</v>
      </c>
      <c r="T397" s="12" t="s">
        <v>46</v>
      </c>
      <c r="U397" s="15"/>
      <c r="V397" s="19">
        <v>44610</v>
      </c>
      <c r="W397" s="49" t="s">
        <v>71</v>
      </c>
      <c r="X397" s="13"/>
      <c r="Y397" s="20"/>
      <c r="Z397" s="13"/>
      <c r="AA397" s="13"/>
      <c r="AB397" s="13">
        <v>4860206</v>
      </c>
      <c r="AC397" s="15"/>
      <c r="AD397" s="49">
        <v>6477219</v>
      </c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</row>
    <row r="398" spans="1:46" ht="45" customHeight="1">
      <c r="A398" s="12" t="s">
        <v>3623</v>
      </c>
      <c r="B398" s="13" t="s">
        <v>3624</v>
      </c>
      <c r="C398" s="14" t="s">
        <v>3625</v>
      </c>
      <c r="D398" s="15" t="s">
        <v>3626</v>
      </c>
      <c r="E398" s="15" t="s">
        <v>3627</v>
      </c>
      <c r="F398" s="15" t="s">
        <v>62</v>
      </c>
      <c r="G398" s="15" t="s">
        <v>3628</v>
      </c>
      <c r="H398" s="15"/>
      <c r="I398" s="15" t="s">
        <v>149</v>
      </c>
      <c r="J398" s="15" t="s">
        <v>3628</v>
      </c>
      <c r="K398" s="15"/>
      <c r="L398" s="15" t="s">
        <v>149</v>
      </c>
      <c r="M398" s="46" t="s">
        <v>3629</v>
      </c>
      <c r="N398" s="13" t="s">
        <v>3630</v>
      </c>
      <c r="O398" s="13"/>
      <c r="P398" s="15" t="s">
        <v>3631</v>
      </c>
      <c r="Q398" s="17" t="s">
        <v>3632</v>
      </c>
      <c r="R398" s="18">
        <v>381</v>
      </c>
      <c r="S398" s="19">
        <f t="shared" si="5"/>
        <v>61722</v>
      </c>
      <c r="T398" s="12" t="s">
        <v>46</v>
      </c>
      <c r="U398" s="15"/>
      <c r="V398" s="19">
        <v>44610</v>
      </c>
      <c r="W398" s="15" t="s">
        <v>71</v>
      </c>
      <c r="X398" s="13"/>
      <c r="Y398" s="20">
        <v>3115961</v>
      </c>
      <c r="Z398" s="13">
        <v>3905087</v>
      </c>
      <c r="AA398" s="13"/>
      <c r="AB398" s="13"/>
      <c r="AC398" s="15">
        <v>5591774</v>
      </c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</row>
    <row r="399" spans="1:46" ht="45" customHeight="1">
      <c r="A399" s="12" t="s">
        <v>3633</v>
      </c>
      <c r="B399" s="13" t="s">
        <v>3634</v>
      </c>
      <c r="C399" s="14" t="s">
        <v>3635</v>
      </c>
      <c r="D399" s="15" t="s">
        <v>3636</v>
      </c>
      <c r="E399" s="15" t="s">
        <v>3637</v>
      </c>
      <c r="F399" s="15" t="s">
        <v>909</v>
      </c>
      <c r="G399" s="15" t="s">
        <v>3638</v>
      </c>
      <c r="H399" s="15" t="s">
        <v>447</v>
      </c>
      <c r="I399" s="15" t="s">
        <v>38</v>
      </c>
      <c r="J399" s="15" t="s">
        <v>3638</v>
      </c>
      <c r="K399" s="15" t="s">
        <v>447</v>
      </c>
      <c r="L399" s="15" t="s">
        <v>38</v>
      </c>
      <c r="M399" s="46" t="s">
        <v>3639</v>
      </c>
      <c r="N399" s="13" t="s">
        <v>3640</v>
      </c>
      <c r="O399" s="13"/>
      <c r="P399" s="15" t="s">
        <v>94</v>
      </c>
      <c r="Q399" s="17" t="s">
        <v>3641</v>
      </c>
      <c r="R399" s="18">
        <v>529</v>
      </c>
      <c r="S399" s="19">
        <f t="shared" si="5"/>
        <v>85698</v>
      </c>
      <c r="T399" s="12" t="s">
        <v>46</v>
      </c>
      <c r="U399" s="15"/>
      <c r="V399" s="19">
        <v>44610</v>
      </c>
      <c r="W399" s="15"/>
      <c r="X399" s="13"/>
      <c r="Y399" s="20"/>
      <c r="Z399" s="13"/>
      <c r="AA399" s="13"/>
      <c r="AB399" s="13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</row>
    <row r="400" spans="1:46" ht="45" customHeight="1">
      <c r="A400" s="21" t="s">
        <v>3642</v>
      </c>
      <c r="B400" s="22" t="s">
        <v>3643</v>
      </c>
      <c r="C400" s="23" t="s">
        <v>3644</v>
      </c>
      <c r="D400" s="24" t="s">
        <v>3645</v>
      </c>
      <c r="E400" s="24" t="s">
        <v>3646</v>
      </c>
      <c r="F400" s="24" t="s">
        <v>909</v>
      </c>
      <c r="G400" s="24" t="s">
        <v>3647</v>
      </c>
      <c r="H400" s="24" t="s">
        <v>447</v>
      </c>
      <c r="I400" s="24" t="s">
        <v>38</v>
      </c>
      <c r="J400" s="24" t="s">
        <v>3647</v>
      </c>
      <c r="K400" s="24" t="s">
        <v>447</v>
      </c>
      <c r="L400" s="24" t="s">
        <v>38</v>
      </c>
      <c r="M400" s="59" t="s">
        <v>3648</v>
      </c>
      <c r="N400" s="22" t="s">
        <v>3649</v>
      </c>
      <c r="O400" s="22"/>
      <c r="P400" s="24" t="s">
        <v>685</v>
      </c>
      <c r="Q400" s="28" t="s">
        <v>3650</v>
      </c>
      <c r="R400" s="29">
        <v>990</v>
      </c>
      <c r="S400" s="30">
        <f t="shared" si="5"/>
        <v>160380</v>
      </c>
      <c r="T400" s="21" t="s">
        <v>252</v>
      </c>
      <c r="U400" s="24"/>
      <c r="V400" s="30">
        <v>123900</v>
      </c>
      <c r="W400" s="24"/>
      <c r="X400" s="22">
        <v>1135087</v>
      </c>
      <c r="Y400" s="31"/>
      <c r="Z400" s="22">
        <v>3902331</v>
      </c>
      <c r="AA400" s="22">
        <v>4759217</v>
      </c>
      <c r="AB400" s="22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</row>
    <row r="401" spans="1:46" ht="45" customHeight="1">
      <c r="A401" s="21" t="s">
        <v>3651</v>
      </c>
      <c r="B401" s="22" t="s">
        <v>3652</v>
      </c>
      <c r="C401" s="23" t="s">
        <v>3653</v>
      </c>
      <c r="D401" s="24" t="s">
        <v>3654</v>
      </c>
      <c r="E401" s="24" t="s">
        <v>3655</v>
      </c>
      <c r="F401" s="24" t="s">
        <v>776</v>
      </c>
      <c r="G401" s="24" t="s">
        <v>3656</v>
      </c>
      <c r="H401" s="24" t="s">
        <v>2262</v>
      </c>
      <c r="I401" s="24" t="s">
        <v>80</v>
      </c>
      <c r="J401" s="24" t="s">
        <v>3656</v>
      </c>
      <c r="K401" s="24" t="s">
        <v>2262</v>
      </c>
      <c r="L401" s="24" t="s">
        <v>80</v>
      </c>
      <c r="M401" s="25" t="s">
        <v>3657</v>
      </c>
      <c r="N401" s="22" t="s">
        <v>3658</v>
      </c>
      <c r="O401" s="26">
        <v>45778</v>
      </c>
      <c r="P401" s="24" t="s">
        <v>408</v>
      </c>
      <c r="Q401" s="28" t="s">
        <v>3659</v>
      </c>
      <c r="R401" s="29">
        <v>9869</v>
      </c>
      <c r="S401" s="30">
        <f t="shared" si="5"/>
        <v>1598778</v>
      </c>
      <c r="T401" s="21" t="s">
        <v>70</v>
      </c>
      <c r="U401" s="24"/>
      <c r="V401" s="30">
        <f>S401</f>
        <v>1598778</v>
      </c>
      <c r="W401" s="24"/>
      <c r="X401" s="22">
        <v>990524</v>
      </c>
      <c r="Y401" s="31">
        <v>3119883</v>
      </c>
      <c r="Z401" s="22">
        <v>3886743</v>
      </c>
      <c r="AA401" s="22"/>
      <c r="AB401" s="77">
        <v>4840236</v>
      </c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</row>
    <row r="402" spans="1:46" ht="45" customHeight="1">
      <c r="A402" s="12" t="s">
        <v>3660</v>
      </c>
      <c r="B402" s="13" t="s">
        <v>3661</v>
      </c>
      <c r="C402" s="14" t="s">
        <v>3662</v>
      </c>
      <c r="D402" s="15" t="s">
        <v>3663</v>
      </c>
      <c r="E402" s="15" t="s">
        <v>928</v>
      </c>
      <c r="F402" s="15" t="s">
        <v>181</v>
      </c>
      <c r="G402" s="15" t="s">
        <v>3664</v>
      </c>
      <c r="H402" s="15" t="s">
        <v>52</v>
      </c>
      <c r="I402" s="15" t="s">
        <v>53</v>
      </c>
      <c r="J402" s="15" t="s">
        <v>3665</v>
      </c>
      <c r="K402" s="15" t="s">
        <v>3666</v>
      </c>
      <c r="L402" s="15" t="s">
        <v>41</v>
      </c>
      <c r="M402" s="16" t="s">
        <v>3667</v>
      </c>
      <c r="N402" s="13" t="s">
        <v>3668</v>
      </c>
      <c r="O402" s="13"/>
      <c r="P402" s="15" t="s">
        <v>94</v>
      </c>
      <c r="Q402" s="17" t="s">
        <v>3669</v>
      </c>
      <c r="R402" s="18">
        <v>51</v>
      </c>
      <c r="S402" s="19">
        <f t="shared" si="5"/>
        <v>8262</v>
      </c>
      <c r="T402" s="12" t="s">
        <v>46</v>
      </c>
      <c r="U402" s="15"/>
      <c r="V402" s="19">
        <v>44610</v>
      </c>
      <c r="W402" s="49" t="s">
        <v>71</v>
      </c>
      <c r="X402" s="13">
        <v>1113337</v>
      </c>
      <c r="Y402" s="20">
        <v>3112989</v>
      </c>
      <c r="Z402" s="13"/>
      <c r="AA402" s="13">
        <v>4666184</v>
      </c>
      <c r="AB402" s="13"/>
      <c r="AC402" s="49">
        <v>5628243</v>
      </c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</row>
    <row r="403" spans="1:46" ht="45" customHeight="1">
      <c r="A403" s="21" t="s">
        <v>3670</v>
      </c>
      <c r="B403" s="22" t="s">
        <v>3671</v>
      </c>
      <c r="C403" s="23" t="s">
        <v>3672</v>
      </c>
      <c r="D403" s="24" t="s">
        <v>3673</v>
      </c>
      <c r="E403" s="24" t="s">
        <v>3674</v>
      </c>
      <c r="F403" s="24" t="s">
        <v>204</v>
      </c>
      <c r="G403" s="24" t="s">
        <v>3675</v>
      </c>
      <c r="H403" s="24" t="s">
        <v>2470</v>
      </c>
      <c r="I403" s="24" t="s">
        <v>115</v>
      </c>
      <c r="J403" s="24" t="s">
        <v>3675</v>
      </c>
      <c r="K403" s="24" t="s">
        <v>2470</v>
      </c>
      <c r="L403" s="24" t="s">
        <v>115</v>
      </c>
      <c r="M403" s="59" t="s">
        <v>3676</v>
      </c>
      <c r="N403" s="22" t="s">
        <v>3677</v>
      </c>
      <c r="O403" s="22"/>
      <c r="P403" s="24" t="s">
        <v>3678</v>
      </c>
      <c r="Q403" s="28" t="s">
        <v>3679</v>
      </c>
      <c r="R403" s="29">
        <v>2605</v>
      </c>
      <c r="S403" s="30">
        <f t="shared" si="5"/>
        <v>422010</v>
      </c>
      <c r="T403" s="21" t="s">
        <v>96</v>
      </c>
      <c r="U403" s="24"/>
      <c r="V403" s="30">
        <v>368160</v>
      </c>
      <c r="W403" s="24" t="s">
        <v>71</v>
      </c>
      <c r="X403" s="22">
        <v>1043963</v>
      </c>
      <c r="Y403" s="31">
        <v>3077209</v>
      </c>
      <c r="Z403" s="22">
        <v>3903324</v>
      </c>
      <c r="AA403" s="22">
        <v>4728154</v>
      </c>
      <c r="AB403" s="22"/>
      <c r="AC403" s="24">
        <v>5617731</v>
      </c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</row>
    <row r="404" spans="1:46" ht="45" customHeight="1">
      <c r="A404" s="12" t="s">
        <v>3680</v>
      </c>
      <c r="B404" s="13" t="s">
        <v>3681</v>
      </c>
      <c r="C404" s="14" t="s">
        <v>3682</v>
      </c>
      <c r="D404" s="15" t="s">
        <v>3683</v>
      </c>
      <c r="E404" s="15" t="s">
        <v>3684</v>
      </c>
      <c r="F404" s="15" t="s">
        <v>181</v>
      </c>
      <c r="G404" s="15" t="s">
        <v>3685</v>
      </c>
      <c r="H404" s="15" t="s">
        <v>3686</v>
      </c>
      <c r="I404" s="15" t="s">
        <v>80</v>
      </c>
      <c r="J404" s="15" t="s">
        <v>3685</v>
      </c>
      <c r="K404" s="15" t="s">
        <v>3686</v>
      </c>
      <c r="L404" s="15" t="s">
        <v>80</v>
      </c>
      <c r="M404" s="46" t="s">
        <v>3687</v>
      </c>
      <c r="N404" s="13">
        <v>2614921003</v>
      </c>
      <c r="O404" s="13"/>
      <c r="P404" s="15" t="s">
        <v>1310</v>
      </c>
      <c r="Q404" s="17" t="s">
        <v>3688</v>
      </c>
      <c r="R404" s="18">
        <v>256</v>
      </c>
      <c r="S404" s="19">
        <f t="shared" si="5"/>
        <v>41472</v>
      </c>
      <c r="T404" s="12" t="s">
        <v>46</v>
      </c>
      <c r="U404" s="15"/>
      <c r="V404" s="19">
        <v>44610</v>
      </c>
      <c r="W404" s="15"/>
      <c r="X404" s="13">
        <v>1121002</v>
      </c>
      <c r="Y404" s="20"/>
      <c r="Z404" s="13"/>
      <c r="AA404" s="13">
        <v>4756178</v>
      </c>
      <c r="AB404" s="13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</row>
    <row r="405" spans="1:46" ht="45" customHeight="1">
      <c r="A405" s="12" t="s">
        <v>3689</v>
      </c>
      <c r="B405" s="13" t="s">
        <v>3690</v>
      </c>
      <c r="C405" s="14" t="s">
        <v>3691</v>
      </c>
      <c r="D405" s="15" t="s">
        <v>3692</v>
      </c>
      <c r="E405" s="15" t="s">
        <v>247</v>
      </c>
      <c r="F405" s="15" t="s">
        <v>181</v>
      </c>
      <c r="G405" s="15" t="s">
        <v>3693</v>
      </c>
      <c r="H405" s="15" t="s">
        <v>2262</v>
      </c>
      <c r="I405" s="15" t="s">
        <v>80</v>
      </c>
      <c r="J405" s="15" t="s">
        <v>3694</v>
      </c>
      <c r="K405" s="15" t="s">
        <v>3695</v>
      </c>
      <c r="L405" s="15" t="s">
        <v>41</v>
      </c>
      <c r="M405" s="16" t="s">
        <v>3696</v>
      </c>
      <c r="N405" s="13" t="s">
        <v>3697</v>
      </c>
      <c r="O405" s="13"/>
      <c r="P405" s="15" t="s">
        <v>94</v>
      </c>
      <c r="Q405" s="17" t="s">
        <v>3698</v>
      </c>
      <c r="R405" s="18">
        <v>140</v>
      </c>
      <c r="S405" s="19">
        <f t="shared" si="5"/>
        <v>22680</v>
      </c>
      <c r="T405" s="12" t="s">
        <v>46</v>
      </c>
      <c r="U405" s="15"/>
      <c r="V405" s="19">
        <v>44610</v>
      </c>
      <c r="W405" s="49" t="s">
        <v>71</v>
      </c>
      <c r="X405" s="13">
        <v>1133516</v>
      </c>
      <c r="Y405" s="20"/>
      <c r="Z405" s="13"/>
      <c r="AA405" s="13">
        <v>4754193</v>
      </c>
      <c r="AB405" s="13"/>
      <c r="AC405" s="49">
        <v>5637355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</row>
    <row r="406" spans="1:46" ht="45" customHeight="1">
      <c r="A406" s="12" t="s">
        <v>3699</v>
      </c>
      <c r="B406" s="13" t="s">
        <v>3700</v>
      </c>
      <c r="C406" s="14" t="s">
        <v>3701</v>
      </c>
      <c r="D406" s="15" t="s">
        <v>3702</v>
      </c>
      <c r="E406" s="15" t="s">
        <v>3039</v>
      </c>
      <c r="F406" s="15" t="s">
        <v>181</v>
      </c>
      <c r="G406" s="15" t="s">
        <v>3703</v>
      </c>
      <c r="H406" s="15" t="s">
        <v>1202</v>
      </c>
      <c r="I406" s="15" t="s">
        <v>115</v>
      </c>
      <c r="J406" s="15" t="s">
        <v>3703</v>
      </c>
      <c r="K406" s="15" t="s">
        <v>1202</v>
      </c>
      <c r="L406" s="15" t="s">
        <v>115</v>
      </c>
      <c r="M406" s="46" t="s">
        <v>3704</v>
      </c>
      <c r="N406" s="13">
        <v>261163845</v>
      </c>
      <c r="O406" s="13"/>
      <c r="P406" s="15" t="s">
        <v>94</v>
      </c>
      <c r="Q406" s="17" t="s">
        <v>3705</v>
      </c>
      <c r="R406" s="18">
        <v>21</v>
      </c>
      <c r="S406" s="19">
        <f t="shared" si="5"/>
        <v>3402</v>
      </c>
      <c r="T406" s="12" t="s">
        <v>46</v>
      </c>
      <c r="U406" s="15"/>
      <c r="V406" s="19">
        <v>44610</v>
      </c>
      <c r="W406" s="15"/>
      <c r="X406" s="13"/>
      <c r="Y406" s="20">
        <v>3108843</v>
      </c>
      <c r="Z406" s="13"/>
      <c r="AA406" s="13"/>
      <c r="AB406" s="13">
        <v>4884458</v>
      </c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</row>
    <row r="407" spans="1:46" ht="45" customHeight="1">
      <c r="A407" s="12" t="s">
        <v>3706</v>
      </c>
      <c r="B407" s="13" t="s">
        <v>3707</v>
      </c>
      <c r="C407" s="14" t="s">
        <v>3708</v>
      </c>
      <c r="D407" s="15" t="s">
        <v>3709</v>
      </c>
      <c r="E407" s="15" t="s">
        <v>3710</v>
      </c>
      <c r="F407" s="15" t="s">
        <v>909</v>
      </c>
      <c r="G407" s="15" t="s">
        <v>3711</v>
      </c>
      <c r="H407" s="15" t="s">
        <v>291</v>
      </c>
      <c r="I407" s="15" t="s">
        <v>115</v>
      </c>
      <c r="J407" s="15" t="s">
        <v>3711</v>
      </c>
      <c r="K407" s="15" t="s">
        <v>291</v>
      </c>
      <c r="L407" s="15" t="s">
        <v>115</v>
      </c>
      <c r="M407" s="16" t="s">
        <v>3712</v>
      </c>
      <c r="N407" s="13">
        <v>4260254</v>
      </c>
      <c r="O407" s="13"/>
      <c r="P407" s="15" t="s">
        <v>3713</v>
      </c>
      <c r="Q407" s="17" t="s">
        <v>3714</v>
      </c>
      <c r="R407" s="18">
        <v>359</v>
      </c>
      <c r="S407" s="19">
        <f t="shared" si="5"/>
        <v>58158</v>
      </c>
      <c r="T407" s="12" t="s">
        <v>46</v>
      </c>
      <c r="U407" s="15"/>
      <c r="V407" s="19">
        <v>44610</v>
      </c>
      <c r="W407" s="15" t="s">
        <v>71</v>
      </c>
      <c r="X407" s="13"/>
      <c r="Y407" s="20"/>
      <c r="Z407" s="13"/>
      <c r="AA407" s="13">
        <v>4747263</v>
      </c>
      <c r="AB407" s="13"/>
      <c r="AC407" s="15">
        <v>5619760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</row>
    <row r="408" spans="1:46" ht="45" customHeight="1">
      <c r="A408" s="21" t="s">
        <v>3715</v>
      </c>
      <c r="B408" s="22" t="s">
        <v>3716</v>
      </c>
      <c r="C408" s="143" t="s">
        <v>3717</v>
      </c>
      <c r="D408" s="24" t="s">
        <v>3718</v>
      </c>
      <c r="E408" s="24" t="s">
        <v>3719</v>
      </c>
      <c r="F408" s="24" t="s">
        <v>158</v>
      </c>
      <c r="G408" s="24" t="s">
        <v>3720</v>
      </c>
      <c r="H408" s="24" t="s">
        <v>1571</v>
      </c>
      <c r="I408" s="24" t="s">
        <v>38</v>
      </c>
      <c r="J408" s="24" t="s">
        <v>3720</v>
      </c>
      <c r="K408" s="24" t="s">
        <v>1571</v>
      </c>
      <c r="L408" s="24" t="s">
        <v>38</v>
      </c>
      <c r="M408" s="70" t="s">
        <v>3721</v>
      </c>
      <c r="N408" s="77">
        <v>2615620006</v>
      </c>
      <c r="O408" s="22"/>
      <c r="P408" s="24" t="s">
        <v>3722</v>
      </c>
      <c r="Q408" s="28" t="s">
        <v>3723</v>
      </c>
      <c r="R408" s="29">
        <v>3114</v>
      </c>
      <c r="S408" s="30">
        <f t="shared" si="5"/>
        <v>504468</v>
      </c>
      <c r="T408" s="21" t="s">
        <v>129</v>
      </c>
      <c r="U408" s="24"/>
      <c r="V408" s="30">
        <v>545160</v>
      </c>
      <c r="W408" s="45" t="s">
        <v>71</v>
      </c>
      <c r="X408" s="22"/>
      <c r="Y408" s="31"/>
      <c r="Z408" s="22"/>
      <c r="AA408" s="22"/>
      <c r="AB408" s="22">
        <v>4906377</v>
      </c>
      <c r="AC408" s="45">
        <v>5636935</v>
      </c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</row>
    <row r="409" spans="1:46" ht="45" customHeight="1">
      <c r="A409" s="50" t="s">
        <v>3724</v>
      </c>
      <c r="B409" s="51" t="s">
        <v>3725</v>
      </c>
      <c r="C409" s="95" t="s">
        <v>3726</v>
      </c>
      <c r="D409" s="53" t="s">
        <v>2637</v>
      </c>
      <c r="E409" s="53" t="s">
        <v>1876</v>
      </c>
      <c r="F409" s="53" t="s">
        <v>111</v>
      </c>
      <c r="G409" s="53" t="s">
        <v>3727</v>
      </c>
      <c r="H409" s="53" t="s">
        <v>1571</v>
      </c>
      <c r="I409" s="53" t="s">
        <v>38</v>
      </c>
      <c r="J409" s="53" t="s">
        <v>3727</v>
      </c>
      <c r="K409" s="53" t="s">
        <v>1571</v>
      </c>
      <c r="L409" s="53" t="s">
        <v>38</v>
      </c>
      <c r="M409" s="54" t="s">
        <v>3728</v>
      </c>
      <c r="N409" s="51" t="s">
        <v>3729</v>
      </c>
      <c r="O409" s="51"/>
      <c r="P409" s="53" t="s">
        <v>44</v>
      </c>
      <c r="Q409" s="55" t="s">
        <v>3730</v>
      </c>
      <c r="R409" s="56">
        <v>97</v>
      </c>
      <c r="S409" s="57">
        <f t="shared" si="5"/>
        <v>15714</v>
      </c>
      <c r="T409" s="50" t="s">
        <v>46</v>
      </c>
      <c r="U409" s="53"/>
      <c r="V409" s="57">
        <v>44610</v>
      </c>
      <c r="W409" s="53"/>
      <c r="X409" s="51"/>
      <c r="Y409" s="58"/>
      <c r="Z409" s="51"/>
      <c r="AA409" s="51"/>
      <c r="AB409" s="51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</row>
    <row r="410" spans="1:46" ht="45" customHeight="1">
      <c r="A410" s="40" t="s">
        <v>3731</v>
      </c>
      <c r="B410" s="33" t="s">
        <v>3732</v>
      </c>
      <c r="C410" s="34" t="s">
        <v>3733</v>
      </c>
      <c r="D410" s="35" t="s">
        <v>3734</v>
      </c>
      <c r="E410" s="35" t="s">
        <v>3735</v>
      </c>
      <c r="F410" s="35" t="s">
        <v>62</v>
      </c>
      <c r="G410" s="35" t="s">
        <v>3736</v>
      </c>
      <c r="H410" s="35" t="s">
        <v>892</v>
      </c>
      <c r="I410" s="35" t="s">
        <v>115</v>
      </c>
      <c r="J410" s="35" t="s">
        <v>3737</v>
      </c>
      <c r="K410" s="35" t="s">
        <v>3738</v>
      </c>
      <c r="L410" s="35" t="s">
        <v>65</v>
      </c>
      <c r="M410" s="36" t="s">
        <v>3739</v>
      </c>
      <c r="N410" s="33" t="s">
        <v>3740</v>
      </c>
      <c r="O410" s="33"/>
      <c r="P410" s="35" t="s">
        <v>3741</v>
      </c>
      <c r="Q410" s="37" t="s">
        <v>3742</v>
      </c>
      <c r="R410" s="38">
        <v>44</v>
      </c>
      <c r="S410" s="39">
        <f t="shared" si="5"/>
        <v>7128</v>
      </c>
      <c r="T410" s="40" t="s">
        <v>46</v>
      </c>
      <c r="U410" s="35"/>
      <c r="V410" s="39">
        <v>44610</v>
      </c>
      <c r="W410" s="35"/>
      <c r="X410" s="33"/>
      <c r="Y410" s="41"/>
      <c r="Z410" s="33"/>
      <c r="AA410" s="33"/>
      <c r="AB410" s="33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</row>
    <row r="411" spans="1:46" ht="45" customHeight="1">
      <c r="A411" s="12" t="s">
        <v>3743</v>
      </c>
      <c r="B411" s="13" t="s">
        <v>3744</v>
      </c>
      <c r="C411" s="14" t="s">
        <v>3745</v>
      </c>
      <c r="D411" s="15" t="s">
        <v>285</v>
      </c>
      <c r="E411" s="15" t="s">
        <v>3746</v>
      </c>
      <c r="F411" s="15" t="s">
        <v>287</v>
      </c>
      <c r="G411" s="15" t="s">
        <v>3747</v>
      </c>
      <c r="H411" s="15" t="s">
        <v>3748</v>
      </c>
      <c r="I411" s="15" t="s">
        <v>38</v>
      </c>
      <c r="J411" s="15" t="s">
        <v>3749</v>
      </c>
      <c r="K411" s="15" t="s">
        <v>291</v>
      </c>
      <c r="L411" s="15" t="s">
        <v>115</v>
      </c>
      <c r="M411" s="46" t="s">
        <v>292</v>
      </c>
      <c r="N411" s="13" t="s">
        <v>3750</v>
      </c>
      <c r="O411" s="13"/>
      <c r="P411" s="15" t="s">
        <v>294</v>
      </c>
      <c r="Q411" s="17" t="s">
        <v>3751</v>
      </c>
      <c r="R411" s="18">
        <v>166</v>
      </c>
      <c r="S411" s="19">
        <f t="shared" si="5"/>
        <v>26892</v>
      </c>
      <c r="T411" s="12" t="s">
        <v>46</v>
      </c>
      <c r="U411" s="15"/>
      <c r="V411" s="19">
        <v>44610</v>
      </c>
      <c r="W411" s="49" t="s">
        <v>71</v>
      </c>
      <c r="X411" s="13">
        <v>1015428</v>
      </c>
      <c r="Y411" s="20">
        <v>3107450</v>
      </c>
      <c r="Z411" s="13">
        <v>3871485</v>
      </c>
      <c r="AA411" s="13">
        <v>4731306</v>
      </c>
      <c r="AB411" s="13"/>
      <c r="AC411" s="49">
        <v>5633840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</row>
    <row r="412" spans="1:46" ht="45" customHeight="1">
      <c r="A412" s="12" t="s">
        <v>3752</v>
      </c>
      <c r="B412" s="13" t="s">
        <v>3753</v>
      </c>
      <c r="C412" s="14" t="s">
        <v>3754</v>
      </c>
      <c r="D412" s="15" t="s">
        <v>3755</v>
      </c>
      <c r="E412" s="15" t="s">
        <v>928</v>
      </c>
      <c r="F412" s="15" t="s">
        <v>181</v>
      </c>
      <c r="G412" s="15" t="s">
        <v>3756</v>
      </c>
      <c r="H412" s="15" t="s">
        <v>331</v>
      </c>
      <c r="I412" s="15" t="s">
        <v>65</v>
      </c>
      <c r="J412" s="15" t="s">
        <v>3756</v>
      </c>
      <c r="K412" s="15" t="s">
        <v>331</v>
      </c>
      <c r="L412" s="15" t="s">
        <v>65</v>
      </c>
      <c r="M412" s="16" t="s">
        <v>3757</v>
      </c>
      <c r="N412" s="13" t="s">
        <v>3758</v>
      </c>
      <c r="O412" s="13"/>
      <c r="P412" s="15" t="s">
        <v>1381</v>
      </c>
      <c r="Q412" s="17" t="s">
        <v>3759</v>
      </c>
      <c r="R412" s="18">
        <v>103</v>
      </c>
      <c r="S412" s="19">
        <f t="shared" si="5"/>
        <v>16686</v>
      </c>
      <c r="T412" s="12" t="s">
        <v>46</v>
      </c>
      <c r="U412" s="15"/>
      <c r="V412" s="19">
        <v>44610</v>
      </c>
      <c r="W412" s="15" t="s">
        <v>71</v>
      </c>
      <c r="X412" s="13">
        <v>1032669</v>
      </c>
      <c r="Y412" s="20">
        <v>3093013</v>
      </c>
      <c r="Z412" s="13">
        <v>3852431</v>
      </c>
      <c r="AA412" s="13">
        <v>4668800</v>
      </c>
      <c r="AB412" s="13"/>
      <c r="AC412" s="15">
        <v>5596887</v>
      </c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</row>
    <row r="413" spans="1:46" ht="45" customHeight="1">
      <c r="A413" s="40" t="s">
        <v>3760</v>
      </c>
      <c r="B413" s="33" t="s">
        <v>3761</v>
      </c>
      <c r="C413" s="34" t="s">
        <v>3762</v>
      </c>
      <c r="D413" s="35" t="s">
        <v>2637</v>
      </c>
      <c r="E413" s="35" t="s">
        <v>1876</v>
      </c>
      <c r="F413" s="35" t="s">
        <v>111</v>
      </c>
      <c r="G413" s="35" t="s">
        <v>3763</v>
      </c>
      <c r="H413" s="35" t="s">
        <v>52</v>
      </c>
      <c r="I413" s="35" t="s">
        <v>53</v>
      </c>
      <c r="J413" s="35" t="s">
        <v>3764</v>
      </c>
      <c r="K413" s="35"/>
      <c r="L413" s="35" t="s">
        <v>206</v>
      </c>
      <c r="M413" s="36" t="s">
        <v>3765</v>
      </c>
      <c r="N413" s="33" t="s">
        <v>3766</v>
      </c>
      <c r="O413" s="33"/>
      <c r="P413" s="35" t="s">
        <v>44</v>
      </c>
      <c r="Q413" s="37" t="s">
        <v>3767</v>
      </c>
      <c r="R413" s="38">
        <v>130</v>
      </c>
      <c r="S413" s="39">
        <f t="shared" si="5"/>
        <v>21060</v>
      </c>
      <c r="T413" s="40" t="s">
        <v>46</v>
      </c>
      <c r="U413" s="35"/>
      <c r="V413" s="39">
        <v>44610</v>
      </c>
      <c r="W413" s="35"/>
      <c r="X413" s="33"/>
      <c r="Y413" s="41"/>
      <c r="Z413" s="33"/>
      <c r="AA413" s="33"/>
      <c r="AB413" s="33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</row>
    <row r="414" spans="1:46" ht="45" customHeight="1">
      <c r="A414" s="12" t="s">
        <v>3768</v>
      </c>
      <c r="B414" s="13" t="s">
        <v>3769</v>
      </c>
      <c r="C414" s="14" t="s">
        <v>3770</v>
      </c>
      <c r="D414" s="15" t="s">
        <v>2869</v>
      </c>
      <c r="E414" s="15" t="s">
        <v>3771</v>
      </c>
      <c r="F414" s="15" t="s">
        <v>62</v>
      </c>
      <c r="G414" s="15" t="s">
        <v>2871</v>
      </c>
      <c r="H414" s="15" t="s">
        <v>331</v>
      </c>
      <c r="I414" s="15" t="s">
        <v>65</v>
      </c>
      <c r="J414" s="15" t="s">
        <v>2871</v>
      </c>
      <c r="K414" s="15" t="s">
        <v>331</v>
      </c>
      <c r="L414" s="15" t="s">
        <v>65</v>
      </c>
      <c r="M414" s="114" t="s">
        <v>2873</v>
      </c>
      <c r="N414" s="13" t="s">
        <v>3772</v>
      </c>
      <c r="O414" s="13"/>
      <c r="P414" s="15" t="s">
        <v>3773</v>
      </c>
      <c r="Q414" s="17" t="s">
        <v>3774</v>
      </c>
      <c r="R414" s="18">
        <v>63</v>
      </c>
      <c r="S414" s="19">
        <f t="shared" si="5"/>
        <v>10206</v>
      </c>
      <c r="T414" s="12" t="s">
        <v>46</v>
      </c>
      <c r="U414" s="15"/>
      <c r="V414" s="19">
        <v>44610</v>
      </c>
      <c r="W414" s="49" t="s">
        <v>71</v>
      </c>
      <c r="X414" s="13"/>
      <c r="Y414" s="20"/>
      <c r="Z414" s="13">
        <v>3893220</v>
      </c>
      <c r="AA414" s="13">
        <v>4753662</v>
      </c>
      <c r="AB414" s="13"/>
      <c r="AC414" s="49">
        <v>5633120</v>
      </c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</row>
    <row r="415" spans="1:46" ht="45" customHeight="1">
      <c r="A415" s="21" t="s">
        <v>3775</v>
      </c>
      <c r="B415" s="22" t="s">
        <v>3776</v>
      </c>
      <c r="C415" s="23" t="s">
        <v>3777</v>
      </c>
      <c r="D415" s="24" t="s">
        <v>3778</v>
      </c>
      <c r="E415" s="24" t="s">
        <v>3779</v>
      </c>
      <c r="F415" s="24" t="s">
        <v>158</v>
      </c>
      <c r="G415" s="24" t="s">
        <v>3780</v>
      </c>
      <c r="H415" s="24" t="s">
        <v>3781</v>
      </c>
      <c r="I415" s="24" t="s">
        <v>65</v>
      </c>
      <c r="J415" s="24" t="s">
        <v>3780</v>
      </c>
      <c r="K415" s="24" t="s">
        <v>3781</v>
      </c>
      <c r="L415" s="24" t="s">
        <v>65</v>
      </c>
      <c r="M415" s="25" t="s">
        <v>3782</v>
      </c>
      <c r="N415" s="22" t="s">
        <v>3783</v>
      </c>
      <c r="O415" s="22"/>
      <c r="P415" s="24" t="s">
        <v>117</v>
      </c>
      <c r="Q415" s="28" t="s">
        <v>3784</v>
      </c>
      <c r="R415" s="29">
        <v>1460</v>
      </c>
      <c r="S415" s="30">
        <f t="shared" si="5"/>
        <v>236520</v>
      </c>
      <c r="T415" s="21" t="s">
        <v>198</v>
      </c>
      <c r="U415" s="24"/>
      <c r="V415" s="30">
        <v>215940</v>
      </c>
      <c r="W415" s="24"/>
      <c r="X415" s="22"/>
      <c r="Y415" s="31"/>
      <c r="Z415" s="22"/>
      <c r="AA415" s="22"/>
      <c r="AB415" s="22">
        <v>4900863</v>
      </c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</row>
    <row r="416" spans="1:46" ht="45" customHeight="1">
      <c r="A416" s="12" t="s">
        <v>3785</v>
      </c>
      <c r="B416" s="13" t="s">
        <v>3786</v>
      </c>
      <c r="C416" s="14" t="s">
        <v>3787</v>
      </c>
      <c r="D416" s="15" t="s">
        <v>3788</v>
      </c>
      <c r="E416" s="15" t="s">
        <v>3789</v>
      </c>
      <c r="F416" s="15" t="s">
        <v>542</v>
      </c>
      <c r="G416" s="15" t="s">
        <v>3790</v>
      </c>
      <c r="H416" s="15" t="s">
        <v>3738</v>
      </c>
      <c r="I416" s="15" t="s">
        <v>65</v>
      </c>
      <c r="J416" s="15" t="s">
        <v>3790</v>
      </c>
      <c r="K416" s="15" t="s">
        <v>3738</v>
      </c>
      <c r="L416" s="15" t="s">
        <v>65</v>
      </c>
      <c r="M416" s="46" t="s">
        <v>3791</v>
      </c>
      <c r="N416" s="13" t="s">
        <v>3792</v>
      </c>
      <c r="O416" s="13"/>
      <c r="P416" s="15" t="s">
        <v>3793</v>
      </c>
      <c r="Q416" s="17" t="s">
        <v>3794</v>
      </c>
      <c r="R416" s="18">
        <v>293</v>
      </c>
      <c r="S416" s="19">
        <f t="shared" si="5"/>
        <v>47466</v>
      </c>
      <c r="T416" s="12" t="s">
        <v>46</v>
      </c>
      <c r="U416" s="15"/>
      <c r="V416" s="19">
        <v>44610</v>
      </c>
      <c r="W416" s="49" t="s">
        <v>71</v>
      </c>
      <c r="X416" s="13"/>
      <c r="Y416" s="20"/>
      <c r="Z416" s="13">
        <v>3893210</v>
      </c>
      <c r="AA416" s="13">
        <v>4753626</v>
      </c>
      <c r="AB416" s="13"/>
      <c r="AC416" s="49">
        <v>5636835</v>
      </c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</row>
    <row r="417" spans="1:46" ht="45" customHeight="1">
      <c r="A417" s="12" t="s">
        <v>3795</v>
      </c>
      <c r="B417" s="13" t="s">
        <v>3796</v>
      </c>
      <c r="C417" s="14" t="s">
        <v>3797</v>
      </c>
      <c r="D417" s="15" t="s">
        <v>3798</v>
      </c>
      <c r="E417" s="15" t="s">
        <v>3799</v>
      </c>
      <c r="F417" s="15" t="s">
        <v>287</v>
      </c>
      <c r="G417" s="15" t="s">
        <v>3800</v>
      </c>
      <c r="H417" s="15" t="s">
        <v>1013</v>
      </c>
      <c r="I417" s="15" t="s">
        <v>149</v>
      </c>
      <c r="J417" s="15" t="s">
        <v>3800</v>
      </c>
      <c r="K417" s="15" t="s">
        <v>1013</v>
      </c>
      <c r="L417" s="15" t="s">
        <v>149</v>
      </c>
      <c r="M417" s="46" t="s">
        <v>3801</v>
      </c>
      <c r="N417" s="13">
        <v>4521343</v>
      </c>
      <c r="O417" s="13"/>
      <c r="P417" s="15" t="s">
        <v>3802</v>
      </c>
      <c r="Q417" s="17" t="s">
        <v>3803</v>
      </c>
      <c r="R417" s="18">
        <v>8</v>
      </c>
      <c r="S417" s="19">
        <f t="shared" si="5"/>
        <v>1296</v>
      </c>
      <c r="T417" s="12" t="s">
        <v>46</v>
      </c>
      <c r="U417" s="15"/>
      <c r="V417" s="19">
        <v>44610</v>
      </c>
      <c r="W417" s="15"/>
      <c r="X417" s="13">
        <v>1024240</v>
      </c>
      <c r="Y417" s="20"/>
      <c r="Z417" s="13"/>
      <c r="AA417" s="13"/>
      <c r="AB417" s="13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</row>
    <row r="418" spans="1:46" ht="45" customHeight="1">
      <c r="A418" s="21" t="s">
        <v>3804</v>
      </c>
      <c r="B418" s="22" t="s">
        <v>3805</v>
      </c>
      <c r="C418" s="23" t="s">
        <v>3806</v>
      </c>
      <c r="D418" s="24" t="s">
        <v>3807</v>
      </c>
      <c r="E418" s="24" t="s">
        <v>3808</v>
      </c>
      <c r="F418" s="24" t="s">
        <v>3809</v>
      </c>
      <c r="G418" s="24" t="s">
        <v>3810</v>
      </c>
      <c r="H418" s="24" t="s">
        <v>3811</v>
      </c>
      <c r="I418" s="24" t="s">
        <v>65</v>
      </c>
      <c r="J418" s="24" t="s">
        <v>3810</v>
      </c>
      <c r="K418" s="24" t="s">
        <v>3811</v>
      </c>
      <c r="L418" s="24" t="s">
        <v>65</v>
      </c>
      <c r="M418" s="76" t="s">
        <v>3812</v>
      </c>
      <c r="N418" s="22" t="s">
        <v>3813</v>
      </c>
      <c r="O418" s="22"/>
      <c r="P418" s="24" t="s">
        <v>2943</v>
      </c>
      <c r="Q418" s="99" t="s">
        <v>3814</v>
      </c>
      <c r="R418" s="29">
        <v>8597</v>
      </c>
      <c r="S418" s="30">
        <f t="shared" si="5"/>
        <v>1392714</v>
      </c>
      <c r="T418" s="21" t="s">
        <v>70</v>
      </c>
      <c r="U418" s="22"/>
      <c r="V418" s="30">
        <f>S418</f>
        <v>1392714</v>
      </c>
      <c r="W418" s="22" t="s">
        <v>71</v>
      </c>
      <c r="X418" s="22"/>
      <c r="Y418" s="31">
        <v>3111870</v>
      </c>
      <c r="Z418" s="22">
        <v>3908301</v>
      </c>
      <c r="AA418" s="22">
        <v>4699205</v>
      </c>
      <c r="AB418" s="22"/>
      <c r="AC418" s="22">
        <v>5596691</v>
      </c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</row>
    <row r="419" spans="1:46" ht="45" customHeight="1">
      <c r="A419" s="21" t="s">
        <v>3815</v>
      </c>
      <c r="B419" s="22" t="s">
        <v>3816</v>
      </c>
      <c r="C419" s="23" t="s">
        <v>3817</v>
      </c>
      <c r="D419" s="24" t="s">
        <v>475</v>
      </c>
      <c r="E419" s="24" t="s">
        <v>476</v>
      </c>
      <c r="F419" s="24" t="s">
        <v>477</v>
      </c>
      <c r="G419" s="24" t="s">
        <v>3818</v>
      </c>
      <c r="H419" s="24"/>
      <c r="I419" s="24" t="s">
        <v>149</v>
      </c>
      <c r="J419" s="24" t="s">
        <v>3819</v>
      </c>
      <c r="K419" s="24"/>
      <c r="L419" s="24" t="s">
        <v>321</v>
      </c>
      <c r="M419" s="25" t="s">
        <v>3820</v>
      </c>
      <c r="N419" s="22" t="s">
        <v>481</v>
      </c>
      <c r="O419" s="22"/>
      <c r="P419" s="24" t="s">
        <v>482</v>
      </c>
      <c r="Q419" s="28" t="s">
        <v>3821</v>
      </c>
      <c r="R419" s="29">
        <v>1689.74</v>
      </c>
      <c r="S419" s="30">
        <f t="shared" si="5"/>
        <v>273737.88</v>
      </c>
      <c r="T419" s="21" t="s">
        <v>198</v>
      </c>
      <c r="U419" s="24"/>
      <c r="V419" s="30">
        <v>215940</v>
      </c>
      <c r="W419" s="24" t="s">
        <v>71</v>
      </c>
      <c r="X419" s="22">
        <v>1041755</v>
      </c>
      <c r="Y419" s="31">
        <v>3063591</v>
      </c>
      <c r="Z419" s="22">
        <v>3799400</v>
      </c>
      <c r="AA419" s="22">
        <v>4647950</v>
      </c>
      <c r="AB419" s="22"/>
      <c r="AC419" s="24">
        <v>5511468</v>
      </c>
      <c r="AD419" s="45">
        <v>6479979</v>
      </c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</row>
    <row r="420" spans="1:46" ht="45" customHeight="1">
      <c r="A420" s="21" t="s">
        <v>3822</v>
      </c>
      <c r="B420" s="22" t="s">
        <v>3823</v>
      </c>
      <c r="C420" s="23" t="s">
        <v>3824</v>
      </c>
      <c r="D420" s="24" t="s">
        <v>475</v>
      </c>
      <c r="E420" s="24" t="s">
        <v>476</v>
      </c>
      <c r="F420" s="24" t="s">
        <v>477</v>
      </c>
      <c r="G420" s="24" t="s">
        <v>3825</v>
      </c>
      <c r="H420" s="24" t="s">
        <v>3826</v>
      </c>
      <c r="I420" s="24" t="s">
        <v>149</v>
      </c>
      <c r="J420" s="24" t="s">
        <v>3825</v>
      </c>
      <c r="K420" s="24" t="s">
        <v>3826</v>
      </c>
      <c r="L420" s="24" t="s">
        <v>149</v>
      </c>
      <c r="M420" s="59" t="s">
        <v>3827</v>
      </c>
      <c r="N420" s="22" t="s">
        <v>3828</v>
      </c>
      <c r="O420" s="22"/>
      <c r="P420" s="24" t="s">
        <v>482</v>
      </c>
      <c r="Q420" s="28" t="s">
        <v>3829</v>
      </c>
      <c r="R420" s="29">
        <v>1272.79</v>
      </c>
      <c r="S420" s="30">
        <f t="shared" si="5"/>
        <v>206191.97999999998</v>
      </c>
      <c r="T420" s="21" t="s">
        <v>198</v>
      </c>
      <c r="U420" s="24"/>
      <c r="V420" s="30">
        <v>215940</v>
      </c>
      <c r="W420" s="24" t="s">
        <v>71</v>
      </c>
      <c r="X420" s="22"/>
      <c r="Y420" s="31">
        <v>3062567</v>
      </c>
      <c r="Z420" s="22">
        <v>3796887</v>
      </c>
      <c r="AA420" s="22">
        <v>4648049</v>
      </c>
      <c r="AB420" s="22"/>
      <c r="AC420" s="24">
        <v>5511554</v>
      </c>
      <c r="AD420" s="45">
        <v>6479808</v>
      </c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</row>
    <row r="421" spans="1:46" ht="45" customHeight="1">
      <c r="A421" s="21" t="s">
        <v>3830</v>
      </c>
      <c r="B421" s="22" t="s">
        <v>3831</v>
      </c>
      <c r="C421" s="23" t="s">
        <v>3832</v>
      </c>
      <c r="D421" s="24" t="s">
        <v>475</v>
      </c>
      <c r="E421" s="24" t="s">
        <v>476</v>
      </c>
      <c r="F421" s="24" t="s">
        <v>477</v>
      </c>
      <c r="G421" s="24" t="s">
        <v>3833</v>
      </c>
      <c r="H421" s="24"/>
      <c r="I421" s="24" t="s">
        <v>80</v>
      </c>
      <c r="J421" s="24" t="s">
        <v>3834</v>
      </c>
      <c r="K421" s="24"/>
      <c r="L421" s="24" t="s">
        <v>80</v>
      </c>
      <c r="M421" s="25" t="s">
        <v>3835</v>
      </c>
      <c r="N421" s="22" t="s">
        <v>481</v>
      </c>
      <c r="O421" s="22"/>
      <c r="P421" s="24" t="s">
        <v>3836</v>
      </c>
      <c r="Q421" s="28" t="s">
        <v>3837</v>
      </c>
      <c r="R421" s="29">
        <v>1529.83</v>
      </c>
      <c r="S421" s="30">
        <f t="shared" si="5"/>
        <v>247832.46</v>
      </c>
      <c r="T421" s="21" t="s">
        <v>198</v>
      </c>
      <c r="U421" s="24"/>
      <c r="V421" s="30">
        <v>215940</v>
      </c>
      <c r="W421" s="24" t="s">
        <v>71</v>
      </c>
      <c r="X421" s="22">
        <v>1042485</v>
      </c>
      <c r="Y421" s="31">
        <v>3063550</v>
      </c>
      <c r="Z421" s="22">
        <v>3798724</v>
      </c>
      <c r="AA421" s="22">
        <v>4647822</v>
      </c>
      <c r="AB421" s="22"/>
      <c r="AC421" s="24">
        <v>5511535</v>
      </c>
      <c r="AD421" s="45">
        <v>6479899</v>
      </c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</row>
    <row r="422" spans="1:46" ht="45" customHeight="1">
      <c r="A422" s="12" t="s">
        <v>3838</v>
      </c>
      <c r="B422" s="13" t="s">
        <v>3839</v>
      </c>
      <c r="C422" s="66" t="s">
        <v>3840</v>
      </c>
      <c r="D422" s="15" t="s">
        <v>3841</v>
      </c>
      <c r="E422" s="15" t="s">
        <v>3842</v>
      </c>
      <c r="F422" s="15" t="s">
        <v>966</v>
      </c>
      <c r="G422" s="15" t="s">
        <v>3843</v>
      </c>
      <c r="H422" s="15"/>
      <c r="I422" s="15" t="s">
        <v>38</v>
      </c>
      <c r="J422" s="15" t="s">
        <v>3843</v>
      </c>
      <c r="K422" s="15"/>
      <c r="L422" s="15" t="s">
        <v>38</v>
      </c>
      <c r="M422" s="46" t="s">
        <v>3844</v>
      </c>
      <c r="N422" s="13" t="s">
        <v>3845</v>
      </c>
      <c r="O422" s="13"/>
      <c r="P422" s="15" t="s">
        <v>44</v>
      </c>
      <c r="Q422" s="17" t="s">
        <v>3846</v>
      </c>
      <c r="R422" s="18">
        <v>65</v>
      </c>
      <c r="S422" s="19">
        <f t="shared" si="5"/>
        <v>10530</v>
      </c>
      <c r="T422" s="12" t="s">
        <v>46</v>
      </c>
      <c r="U422" s="15"/>
      <c r="V422" s="19">
        <v>44610</v>
      </c>
      <c r="W422" s="15"/>
      <c r="X422" s="13"/>
      <c r="Y422" s="20"/>
      <c r="Z422" s="13"/>
      <c r="AA422" s="13"/>
      <c r="AB422" s="13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</row>
    <row r="423" spans="1:46" ht="45" customHeight="1">
      <c r="A423" s="21" t="s">
        <v>3847</v>
      </c>
      <c r="B423" s="22" t="s">
        <v>3848</v>
      </c>
      <c r="C423" s="23" t="s">
        <v>3849</v>
      </c>
      <c r="D423" s="24" t="s">
        <v>3850</v>
      </c>
      <c r="E423" s="24" t="s">
        <v>3851</v>
      </c>
      <c r="F423" s="24" t="s">
        <v>3852</v>
      </c>
      <c r="G423" s="24" t="s">
        <v>3853</v>
      </c>
      <c r="H423" s="24" t="s">
        <v>52</v>
      </c>
      <c r="I423" s="24" t="s">
        <v>53</v>
      </c>
      <c r="J423" s="24" t="s">
        <v>3854</v>
      </c>
      <c r="K423" s="24" t="s">
        <v>3855</v>
      </c>
      <c r="L423" s="24" t="s">
        <v>65</v>
      </c>
      <c r="M423" s="25" t="s">
        <v>3856</v>
      </c>
      <c r="N423" s="22" t="s">
        <v>3857</v>
      </c>
      <c r="O423" s="22"/>
      <c r="P423" s="24" t="s">
        <v>3858</v>
      </c>
      <c r="Q423" s="28" t="s">
        <v>3859</v>
      </c>
      <c r="R423" s="29">
        <v>665</v>
      </c>
      <c r="S423" s="30">
        <f t="shared" si="5"/>
        <v>107730</v>
      </c>
      <c r="T423" s="21" t="s">
        <v>252</v>
      </c>
      <c r="U423" s="24"/>
      <c r="V423" s="30">
        <v>123900</v>
      </c>
      <c r="W423" s="24" t="s">
        <v>71</v>
      </c>
      <c r="X423" s="22"/>
      <c r="Y423" s="31">
        <v>3096034</v>
      </c>
      <c r="Z423" s="22">
        <v>3860334</v>
      </c>
      <c r="AA423" s="22">
        <v>4705060</v>
      </c>
      <c r="AB423" s="22"/>
      <c r="AC423" s="24">
        <v>5584912</v>
      </c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</row>
    <row r="424" spans="1:46" ht="50.25" customHeight="1">
      <c r="A424" s="12" t="s">
        <v>3860</v>
      </c>
      <c r="B424" s="13" t="s">
        <v>3861</v>
      </c>
      <c r="C424" s="14" t="s">
        <v>3862</v>
      </c>
      <c r="D424" s="15" t="s">
        <v>3863</v>
      </c>
      <c r="E424" s="15" t="s">
        <v>3864</v>
      </c>
      <c r="F424" s="15" t="s">
        <v>966</v>
      </c>
      <c r="G424" s="15" t="s">
        <v>3865</v>
      </c>
      <c r="H424" s="15" t="s">
        <v>457</v>
      </c>
      <c r="I424" s="15" t="s">
        <v>80</v>
      </c>
      <c r="J424" s="15" t="s">
        <v>3866</v>
      </c>
      <c r="K424" s="15"/>
      <c r="L424" s="15" t="s">
        <v>1279</v>
      </c>
      <c r="M424" s="74" t="s">
        <v>3867</v>
      </c>
      <c r="N424" s="13">
        <v>2614161994</v>
      </c>
      <c r="O424" s="13"/>
      <c r="P424" s="49" t="s">
        <v>44</v>
      </c>
      <c r="Q424" s="17" t="s">
        <v>3868</v>
      </c>
      <c r="R424" s="18">
        <v>31</v>
      </c>
      <c r="S424" s="19">
        <f t="shared" si="5"/>
        <v>5022</v>
      </c>
      <c r="T424" s="12" t="s">
        <v>46</v>
      </c>
      <c r="U424" s="15"/>
      <c r="V424" s="19">
        <v>44610</v>
      </c>
      <c r="W424" s="49" t="s">
        <v>47</v>
      </c>
      <c r="X424" s="13"/>
      <c r="Y424" s="20"/>
      <c r="Z424" s="13">
        <v>3904912</v>
      </c>
      <c r="AA424" s="13"/>
      <c r="AB424" s="13"/>
      <c r="AC424" s="49">
        <v>5637565</v>
      </c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</row>
    <row r="425" spans="1:46" ht="45" customHeight="1">
      <c r="A425" s="50" t="s">
        <v>3869</v>
      </c>
      <c r="B425" s="51" t="s">
        <v>3870</v>
      </c>
      <c r="C425" s="52" t="s">
        <v>3871</v>
      </c>
      <c r="D425" s="53" t="s">
        <v>3863</v>
      </c>
      <c r="E425" s="53" t="s">
        <v>3864</v>
      </c>
      <c r="F425" s="53" t="s">
        <v>966</v>
      </c>
      <c r="G425" s="53" t="s">
        <v>3865</v>
      </c>
      <c r="H425" s="53" t="s">
        <v>457</v>
      </c>
      <c r="I425" s="53" t="s">
        <v>80</v>
      </c>
      <c r="J425" s="53" t="s">
        <v>3872</v>
      </c>
      <c r="K425" s="53"/>
      <c r="L425" s="53" t="s">
        <v>1279</v>
      </c>
      <c r="M425" s="54" t="s">
        <v>3873</v>
      </c>
      <c r="N425" s="51" t="s">
        <v>3874</v>
      </c>
      <c r="O425" s="51"/>
      <c r="P425" s="53" t="s">
        <v>44</v>
      </c>
      <c r="Q425" s="55" t="s">
        <v>3875</v>
      </c>
      <c r="R425" s="56">
        <v>25</v>
      </c>
      <c r="S425" s="57">
        <f t="shared" si="5"/>
        <v>4050</v>
      </c>
      <c r="T425" s="50" t="s">
        <v>46</v>
      </c>
      <c r="U425" s="53"/>
      <c r="V425" s="57">
        <v>44610</v>
      </c>
      <c r="W425" s="53"/>
      <c r="X425" s="51"/>
      <c r="Y425" s="58"/>
      <c r="Z425" s="51"/>
      <c r="AA425" s="51"/>
      <c r="AB425" s="51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</row>
    <row r="426" spans="1:46" ht="45" customHeight="1">
      <c r="A426" s="21" t="s">
        <v>3876</v>
      </c>
      <c r="B426" s="22" t="s">
        <v>3877</v>
      </c>
      <c r="C426" s="23" t="s">
        <v>3878</v>
      </c>
      <c r="D426" s="24" t="s">
        <v>1892</v>
      </c>
      <c r="E426" s="24" t="s">
        <v>1480</v>
      </c>
      <c r="F426" s="24" t="s">
        <v>402</v>
      </c>
      <c r="G426" s="24" t="s">
        <v>1894</v>
      </c>
      <c r="H426" s="24" t="s">
        <v>3879</v>
      </c>
      <c r="I426" s="24" t="s">
        <v>115</v>
      </c>
      <c r="J426" s="24" t="s">
        <v>3880</v>
      </c>
      <c r="K426" s="24" t="s">
        <v>1212</v>
      </c>
      <c r="L426" s="24" t="s">
        <v>80</v>
      </c>
      <c r="M426" s="25" t="s">
        <v>1896</v>
      </c>
      <c r="N426" s="22" t="s">
        <v>3881</v>
      </c>
      <c r="O426" s="22"/>
      <c r="P426" s="24" t="s">
        <v>117</v>
      </c>
      <c r="Q426" s="28" t="s">
        <v>3882</v>
      </c>
      <c r="R426" s="29">
        <v>2760</v>
      </c>
      <c r="S426" s="30">
        <f t="shared" si="5"/>
        <v>447120</v>
      </c>
      <c r="T426" s="21" t="s">
        <v>96</v>
      </c>
      <c r="U426" s="24"/>
      <c r="V426" s="30">
        <v>368160</v>
      </c>
      <c r="W426" s="24"/>
      <c r="X426" s="22">
        <v>1143651</v>
      </c>
      <c r="Y426" s="31">
        <v>3086633</v>
      </c>
      <c r="Z426" s="22">
        <v>3865079</v>
      </c>
      <c r="AA426" s="22">
        <v>4683074</v>
      </c>
      <c r="AB426" s="22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</row>
    <row r="427" spans="1:46" ht="45" customHeight="1">
      <c r="A427" s="12" t="s">
        <v>3883</v>
      </c>
      <c r="B427" s="13" t="s">
        <v>3884</v>
      </c>
      <c r="C427" s="14" t="s">
        <v>3885</v>
      </c>
      <c r="D427" s="15" t="s">
        <v>1479</v>
      </c>
      <c r="E427" s="15" t="s">
        <v>1480</v>
      </c>
      <c r="F427" s="15" t="s">
        <v>402</v>
      </c>
      <c r="G427" s="15" t="s">
        <v>1481</v>
      </c>
      <c r="H427" s="15" t="s">
        <v>1482</v>
      </c>
      <c r="I427" s="15" t="s">
        <v>149</v>
      </c>
      <c r="J427" s="15" t="s">
        <v>3886</v>
      </c>
      <c r="K427" s="15" t="s">
        <v>3887</v>
      </c>
      <c r="L427" s="15" t="s">
        <v>38</v>
      </c>
      <c r="M427" s="16" t="s">
        <v>3888</v>
      </c>
      <c r="N427" s="13" t="s">
        <v>3889</v>
      </c>
      <c r="O427" s="13"/>
      <c r="P427" s="15" t="s">
        <v>324</v>
      </c>
      <c r="Q427" s="17" t="s">
        <v>3890</v>
      </c>
      <c r="R427" s="18">
        <v>311</v>
      </c>
      <c r="S427" s="19">
        <f t="shared" si="5"/>
        <v>50382</v>
      </c>
      <c r="T427" s="12" t="s">
        <v>46</v>
      </c>
      <c r="U427" s="15"/>
      <c r="V427" s="19">
        <v>44610</v>
      </c>
      <c r="W427" s="15" t="s">
        <v>71</v>
      </c>
      <c r="X427" s="13">
        <v>1134955</v>
      </c>
      <c r="Y427" s="20">
        <v>3115374</v>
      </c>
      <c r="Z427" s="13">
        <v>3908104</v>
      </c>
      <c r="AA427" s="13"/>
      <c r="AB427" s="13"/>
      <c r="AC427" s="15">
        <v>5611804</v>
      </c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</row>
    <row r="428" spans="1:46" ht="45" customHeight="1">
      <c r="A428" s="50" t="s">
        <v>3891</v>
      </c>
      <c r="B428" s="51" t="s">
        <v>3892</v>
      </c>
      <c r="C428" s="52" t="s">
        <v>3893</v>
      </c>
      <c r="D428" s="53" t="s">
        <v>3863</v>
      </c>
      <c r="E428" s="53" t="s">
        <v>3864</v>
      </c>
      <c r="F428" s="53" t="s">
        <v>966</v>
      </c>
      <c r="G428" s="53" t="s">
        <v>3865</v>
      </c>
      <c r="H428" s="53" t="s">
        <v>457</v>
      </c>
      <c r="I428" s="53" t="s">
        <v>80</v>
      </c>
      <c r="J428" s="53" t="s">
        <v>3894</v>
      </c>
      <c r="K428" s="53" t="s">
        <v>3895</v>
      </c>
      <c r="L428" s="53" t="s">
        <v>38</v>
      </c>
      <c r="M428" s="54" t="s">
        <v>3896</v>
      </c>
      <c r="N428" s="51" t="s">
        <v>3874</v>
      </c>
      <c r="O428" s="51"/>
      <c r="P428" s="53" t="s">
        <v>44</v>
      </c>
      <c r="Q428" s="55" t="s">
        <v>3897</v>
      </c>
      <c r="R428" s="56">
        <v>24</v>
      </c>
      <c r="S428" s="57">
        <f t="shared" si="5"/>
        <v>3888</v>
      </c>
      <c r="T428" s="50" t="s">
        <v>46</v>
      </c>
      <c r="U428" s="53"/>
      <c r="V428" s="57">
        <v>44610</v>
      </c>
      <c r="W428" s="53"/>
      <c r="X428" s="51"/>
      <c r="Y428" s="58"/>
      <c r="Z428" s="51"/>
      <c r="AA428" s="51"/>
      <c r="AB428" s="51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</row>
    <row r="429" spans="1:46" ht="45" customHeight="1">
      <c r="A429" s="12" t="s">
        <v>3898</v>
      </c>
      <c r="B429" s="13" t="s">
        <v>3899</v>
      </c>
      <c r="C429" s="14" t="s">
        <v>3900</v>
      </c>
      <c r="D429" s="15" t="s">
        <v>3863</v>
      </c>
      <c r="E429" s="15" t="s">
        <v>3864</v>
      </c>
      <c r="F429" s="15" t="s">
        <v>966</v>
      </c>
      <c r="G429" s="15" t="s">
        <v>3865</v>
      </c>
      <c r="H429" s="15" t="s">
        <v>457</v>
      </c>
      <c r="I429" s="15" t="s">
        <v>80</v>
      </c>
      <c r="J429" s="15" t="s">
        <v>3901</v>
      </c>
      <c r="K429" s="15" t="s">
        <v>3902</v>
      </c>
      <c r="L429" s="15" t="s">
        <v>80</v>
      </c>
      <c r="M429" s="74" t="s">
        <v>3903</v>
      </c>
      <c r="N429" s="13">
        <v>2614161994</v>
      </c>
      <c r="O429" s="13"/>
      <c r="P429" s="15" t="s">
        <v>44</v>
      </c>
      <c r="Q429" s="17" t="s">
        <v>3904</v>
      </c>
      <c r="R429" s="18">
        <v>18</v>
      </c>
      <c r="S429" s="19">
        <f t="shared" si="5"/>
        <v>2916</v>
      </c>
      <c r="T429" s="12" t="s">
        <v>46</v>
      </c>
      <c r="U429" s="15"/>
      <c r="V429" s="19">
        <v>44610</v>
      </c>
      <c r="W429" s="49" t="s">
        <v>47</v>
      </c>
      <c r="X429" s="13"/>
      <c r="Y429" s="20"/>
      <c r="Z429" s="13">
        <v>3905085</v>
      </c>
      <c r="AA429" s="13"/>
      <c r="AB429" s="13"/>
      <c r="AC429" s="49">
        <v>5637552</v>
      </c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</row>
    <row r="430" spans="1:46" ht="45" customHeight="1">
      <c r="A430" s="21" t="s">
        <v>3905</v>
      </c>
      <c r="B430" s="22" t="s">
        <v>3906</v>
      </c>
      <c r="C430" s="23" t="s">
        <v>3907</v>
      </c>
      <c r="D430" s="24" t="s">
        <v>3908</v>
      </c>
      <c r="E430" s="24" t="s">
        <v>3909</v>
      </c>
      <c r="F430" s="24" t="s">
        <v>776</v>
      </c>
      <c r="G430" s="24" t="s">
        <v>3910</v>
      </c>
      <c r="H430" s="24" t="s">
        <v>3452</v>
      </c>
      <c r="I430" s="24" t="s">
        <v>38</v>
      </c>
      <c r="J430" s="24" t="s">
        <v>3910</v>
      </c>
      <c r="K430" s="24" t="s">
        <v>3452</v>
      </c>
      <c r="L430" s="24" t="s">
        <v>38</v>
      </c>
      <c r="M430" s="25" t="s">
        <v>3911</v>
      </c>
      <c r="N430" s="22" t="s">
        <v>3912</v>
      </c>
      <c r="O430" s="22"/>
      <c r="P430" s="24" t="s">
        <v>3913</v>
      </c>
      <c r="Q430" s="28" t="s">
        <v>3914</v>
      </c>
      <c r="R430" s="29">
        <v>3259</v>
      </c>
      <c r="S430" s="30">
        <f t="shared" si="5"/>
        <v>527958</v>
      </c>
      <c r="T430" s="21" t="s">
        <v>129</v>
      </c>
      <c r="U430" s="24"/>
      <c r="V430" s="30">
        <v>545160</v>
      </c>
      <c r="W430" s="24"/>
      <c r="X430" s="22"/>
      <c r="Y430" s="31">
        <v>3116319</v>
      </c>
      <c r="Z430" s="22">
        <v>3862319</v>
      </c>
      <c r="AA430" s="22">
        <v>4726175</v>
      </c>
      <c r="AB430" s="22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</row>
    <row r="431" spans="1:46" ht="45" customHeight="1">
      <c r="A431" s="21" t="s">
        <v>3915</v>
      </c>
      <c r="B431" s="22" t="s">
        <v>3916</v>
      </c>
      <c r="C431" s="23" t="s">
        <v>3917</v>
      </c>
      <c r="D431" s="24" t="s">
        <v>3918</v>
      </c>
      <c r="E431" s="24" t="s">
        <v>3919</v>
      </c>
      <c r="F431" s="24" t="s">
        <v>2668</v>
      </c>
      <c r="G431" s="24" t="s">
        <v>3920</v>
      </c>
      <c r="H431" s="24" t="s">
        <v>3921</v>
      </c>
      <c r="I431" s="24" t="s">
        <v>38</v>
      </c>
      <c r="J431" s="24" t="s">
        <v>3922</v>
      </c>
      <c r="K431" s="24" t="s">
        <v>617</v>
      </c>
      <c r="L431" s="24" t="s">
        <v>38</v>
      </c>
      <c r="M431" s="25" t="s">
        <v>3923</v>
      </c>
      <c r="N431" s="22" t="s">
        <v>3924</v>
      </c>
      <c r="O431" s="22"/>
      <c r="P431" s="24" t="s">
        <v>151</v>
      </c>
      <c r="Q431" s="28" t="s">
        <v>3925</v>
      </c>
      <c r="R431" s="29">
        <v>1225</v>
      </c>
      <c r="S431" s="30">
        <f t="shared" si="5"/>
        <v>198450</v>
      </c>
      <c r="T431" s="21" t="s">
        <v>198</v>
      </c>
      <c r="U431" s="24"/>
      <c r="V431" s="30">
        <v>215940</v>
      </c>
      <c r="W431" s="24" t="s">
        <v>71</v>
      </c>
      <c r="X431" s="22"/>
      <c r="Y431" s="31" t="s">
        <v>3926</v>
      </c>
      <c r="Z431" s="22">
        <v>3864750</v>
      </c>
      <c r="AA431" s="22">
        <v>4708236</v>
      </c>
      <c r="AB431" s="22"/>
      <c r="AC431" s="24">
        <v>5568982</v>
      </c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</row>
    <row r="432" spans="1:46" ht="45" customHeight="1">
      <c r="A432" s="12" t="s">
        <v>3927</v>
      </c>
      <c r="B432" s="13" t="s">
        <v>3928</v>
      </c>
      <c r="C432" s="14" t="s">
        <v>3929</v>
      </c>
      <c r="D432" s="15" t="s">
        <v>3930</v>
      </c>
      <c r="E432" s="15" t="s">
        <v>3931</v>
      </c>
      <c r="F432" s="15" t="s">
        <v>402</v>
      </c>
      <c r="G432" s="15" t="s">
        <v>3932</v>
      </c>
      <c r="H432" s="15"/>
      <c r="I432" s="15" t="s">
        <v>149</v>
      </c>
      <c r="J432" s="15" t="s">
        <v>3932</v>
      </c>
      <c r="K432" s="15"/>
      <c r="L432" s="15" t="s">
        <v>149</v>
      </c>
      <c r="M432" s="46" t="s">
        <v>3933</v>
      </c>
      <c r="N432" s="13">
        <v>2616535124</v>
      </c>
      <c r="O432" s="13"/>
      <c r="P432" s="15" t="s">
        <v>94</v>
      </c>
      <c r="Q432" s="17" t="s">
        <v>3934</v>
      </c>
      <c r="R432" s="18">
        <v>434</v>
      </c>
      <c r="S432" s="19">
        <f t="shared" si="5"/>
        <v>70308</v>
      </c>
      <c r="T432" s="12" t="s">
        <v>46</v>
      </c>
      <c r="U432" s="15"/>
      <c r="V432" s="19">
        <v>44610</v>
      </c>
      <c r="W432" s="15" t="s">
        <v>71</v>
      </c>
      <c r="X432" s="13"/>
      <c r="Y432" s="20">
        <v>3105350</v>
      </c>
      <c r="Z432" s="13"/>
      <c r="AA432" s="13">
        <v>4661828</v>
      </c>
      <c r="AB432" s="13"/>
      <c r="AC432" s="15">
        <v>5550623</v>
      </c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</row>
    <row r="433" spans="1:46" ht="45" customHeight="1">
      <c r="A433" s="12" t="s">
        <v>3935</v>
      </c>
      <c r="B433" s="13" t="s">
        <v>3936</v>
      </c>
      <c r="C433" s="14" t="s">
        <v>3937</v>
      </c>
      <c r="D433" s="15" t="s">
        <v>3938</v>
      </c>
      <c r="E433" s="15" t="s">
        <v>3939</v>
      </c>
      <c r="F433" s="15" t="s">
        <v>402</v>
      </c>
      <c r="G433" s="15" t="s">
        <v>3940</v>
      </c>
      <c r="H433" s="15" t="s">
        <v>3941</v>
      </c>
      <c r="I433" s="15" t="s">
        <v>149</v>
      </c>
      <c r="J433" s="15" t="s">
        <v>3940</v>
      </c>
      <c r="K433" s="15" t="s">
        <v>1736</v>
      </c>
      <c r="L433" s="15" t="s">
        <v>149</v>
      </c>
      <c r="M433" s="46" t="s">
        <v>3942</v>
      </c>
      <c r="N433" s="13">
        <v>2616535124</v>
      </c>
      <c r="O433" s="13"/>
      <c r="P433" s="15" t="s">
        <v>94</v>
      </c>
      <c r="Q433" s="17" t="s">
        <v>3943</v>
      </c>
      <c r="R433" s="18">
        <v>188</v>
      </c>
      <c r="S433" s="19">
        <f t="shared" si="5"/>
        <v>30456</v>
      </c>
      <c r="T433" s="12" t="s">
        <v>46</v>
      </c>
      <c r="U433" s="15"/>
      <c r="V433" s="19">
        <v>44610</v>
      </c>
      <c r="W433" s="15" t="s">
        <v>71</v>
      </c>
      <c r="X433" s="13"/>
      <c r="Y433" s="20">
        <v>3105510</v>
      </c>
      <c r="Z433" s="13"/>
      <c r="AA433" s="13">
        <v>4662114</v>
      </c>
      <c r="AB433" s="13"/>
      <c r="AC433" s="15">
        <v>5550640</v>
      </c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</row>
    <row r="434" spans="1:46" ht="45" customHeight="1">
      <c r="A434" s="12" t="s">
        <v>3944</v>
      </c>
      <c r="B434" s="13" t="s">
        <v>3945</v>
      </c>
      <c r="C434" s="14" t="s">
        <v>3946</v>
      </c>
      <c r="D434" s="15" t="s">
        <v>3947</v>
      </c>
      <c r="E434" s="15" t="s">
        <v>3948</v>
      </c>
      <c r="F434" s="15" t="s">
        <v>147</v>
      </c>
      <c r="G434" s="15" t="s">
        <v>3949</v>
      </c>
      <c r="H434" s="15" t="s">
        <v>3950</v>
      </c>
      <c r="I434" s="15" t="s">
        <v>80</v>
      </c>
      <c r="J434" s="15" t="s">
        <v>3949</v>
      </c>
      <c r="K434" s="15" t="s">
        <v>3950</v>
      </c>
      <c r="L434" s="15" t="s">
        <v>80</v>
      </c>
      <c r="M434" s="46" t="s">
        <v>3283</v>
      </c>
      <c r="N434" s="13" t="s">
        <v>3951</v>
      </c>
      <c r="O434" s="13"/>
      <c r="P434" s="15" t="s">
        <v>151</v>
      </c>
      <c r="Q434" s="17" t="s">
        <v>3952</v>
      </c>
      <c r="R434" s="18">
        <v>322</v>
      </c>
      <c r="S434" s="19">
        <f t="shared" si="5"/>
        <v>52164</v>
      </c>
      <c r="T434" s="12" t="s">
        <v>46</v>
      </c>
      <c r="U434" s="15"/>
      <c r="V434" s="19">
        <v>44610</v>
      </c>
      <c r="W434" s="116" t="s">
        <v>71</v>
      </c>
      <c r="X434" s="13">
        <v>1004702</v>
      </c>
      <c r="Y434" s="20">
        <v>3084969</v>
      </c>
      <c r="Z434" s="13">
        <v>3835351</v>
      </c>
      <c r="AA434" s="13">
        <v>4671565</v>
      </c>
      <c r="AB434" s="13"/>
      <c r="AC434" s="15">
        <v>5508166</v>
      </c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</row>
    <row r="435" spans="1:46" ht="45" customHeight="1">
      <c r="A435" s="12" t="s">
        <v>3953</v>
      </c>
      <c r="B435" s="13" t="s">
        <v>3954</v>
      </c>
      <c r="C435" s="14" t="s">
        <v>3955</v>
      </c>
      <c r="D435" s="15" t="s">
        <v>3106</v>
      </c>
      <c r="E435" s="15" t="s">
        <v>3684</v>
      </c>
      <c r="F435" s="15" t="s">
        <v>181</v>
      </c>
      <c r="G435" s="15" t="s">
        <v>3956</v>
      </c>
      <c r="H435" s="15" t="s">
        <v>79</v>
      </c>
      <c r="I435" s="15" t="s">
        <v>80</v>
      </c>
      <c r="J435" s="15" t="s">
        <v>3107</v>
      </c>
      <c r="K435" s="15" t="s">
        <v>79</v>
      </c>
      <c r="L435" s="15" t="s">
        <v>80</v>
      </c>
      <c r="M435" s="46" t="s">
        <v>3108</v>
      </c>
      <c r="N435" s="13" t="s">
        <v>3957</v>
      </c>
      <c r="O435" s="13"/>
      <c r="P435" s="15" t="s">
        <v>94</v>
      </c>
      <c r="Q435" s="17" t="s">
        <v>3958</v>
      </c>
      <c r="R435" s="18">
        <v>70</v>
      </c>
      <c r="S435" s="19">
        <f t="shared" si="5"/>
        <v>11340</v>
      </c>
      <c r="T435" s="12" t="s">
        <v>46</v>
      </c>
      <c r="U435" s="15"/>
      <c r="V435" s="19">
        <v>44610</v>
      </c>
      <c r="W435" s="15" t="s">
        <v>3959</v>
      </c>
      <c r="X435" s="13">
        <v>1028192</v>
      </c>
      <c r="Y435" s="20">
        <v>3111265</v>
      </c>
      <c r="Z435" s="13">
        <v>3868409</v>
      </c>
      <c r="AA435" s="13">
        <v>4704832</v>
      </c>
      <c r="AB435" s="13"/>
      <c r="AC435" s="15">
        <v>5612654</v>
      </c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</row>
    <row r="436" spans="1:46" ht="45" customHeight="1">
      <c r="A436" s="12" t="s">
        <v>3960</v>
      </c>
      <c r="B436" s="13" t="s">
        <v>3961</v>
      </c>
      <c r="C436" s="66" t="s">
        <v>3962</v>
      </c>
      <c r="D436" s="15" t="s">
        <v>3963</v>
      </c>
      <c r="E436" s="15" t="s">
        <v>3964</v>
      </c>
      <c r="F436" s="15" t="s">
        <v>111</v>
      </c>
      <c r="G436" s="15" t="s">
        <v>3965</v>
      </c>
      <c r="H436" s="15" t="s">
        <v>52</v>
      </c>
      <c r="I436" s="15" t="s">
        <v>53</v>
      </c>
      <c r="J436" s="15" t="s">
        <v>3965</v>
      </c>
      <c r="K436" s="15" t="s">
        <v>2088</v>
      </c>
      <c r="L436" s="15" t="s">
        <v>206</v>
      </c>
      <c r="M436" s="46" t="s">
        <v>3966</v>
      </c>
      <c r="N436" s="13">
        <v>4307099</v>
      </c>
      <c r="O436" s="13"/>
      <c r="P436" s="15" t="s">
        <v>44</v>
      </c>
      <c r="Q436" s="17" t="s">
        <v>3967</v>
      </c>
      <c r="R436" s="18">
        <v>54</v>
      </c>
      <c r="S436" s="19">
        <f t="shared" si="5"/>
        <v>8748</v>
      </c>
      <c r="T436" s="12" t="s">
        <v>46</v>
      </c>
      <c r="U436" s="15"/>
      <c r="V436" s="19">
        <v>44610</v>
      </c>
      <c r="W436" s="15"/>
      <c r="X436" s="13"/>
      <c r="Y436" s="20"/>
      <c r="Z436" s="13"/>
      <c r="AA436" s="13"/>
      <c r="AB436" s="13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</row>
    <row r="437" spans="1:46" ht="45" customHeight="1">
      <c r="A437" s="12" t="s">
        <v>3968</v>
      </c>
      <c r="B437" s="13" t="s">
        <v>3969</v>
      </c>
      <c r="C437" s="14" t="s">
        <v>3970</v>
      </c>
      <c r="D437" s="15" t="s">
        <v>3971</v>
      </c>
      <c r="E437" s="15" t="s">
        <v>3972</v>
      </c>
      <c r="F437" s="15" t="s">
        <v>542</v>
      </c>
      <c r="G437" s="15" t="s">
        <v>3973</v>
      </c>
      <c r="H437" s="15" t="s">
        <v>940</v>
      </c>
      <c r="I437" s="15" t="s">
        <v>149</v>
      </c>
      <c r="J437" s="15" t="s">
        <v>3973</v>
      </c>
      <c r="K437" s="15" t="s">
        <v>940</v>
      </c>
      <c r="L437" s="15" t="s">
        <v>149</v>
      </c>
      <c r="M437" s="46" t="s">
        <v>3974</v>
      </c>
      <c r="N437" s="13" t="s">
        <v>3975</v>
      </c>
      <c r="O437" s="13"/>
      <c r="P437" s="15" t="s">
        <v>1381</v>
      </c>
      <c r="Q437" s="17" t="s">
        <v>3976</v>
      </c>
      <c r="R437" s="18">
        <v>274</v>
      </c>
      <c r="S437" s="19">
        <f t="shared" si="5"/>
        <v>44388</v>
      </c>
      <c r="T437" s="12" t="s">
        <v>46</v>
      </c>
      <c r="U437" s="15"/>
      <c r="V437" s="19">
        <v>44610</v>
      </c>
      <c r="W437" s="15" t="s">
        <v>71</v>
      </c>
      <c r="X437" s="13">
        <v>1119896</v>
      </c>
      <c r="Y437" s="20">
        <v>3088194</v>
      </c>
      <c r="Z437" s="13">
        <v>3845956</v>
      </c>
      <c r="AA437" s="13">
        <v>4642940</v>
      </c>
      <c r="AB437" s="13"/>
      <c r="AC437" s="15">
        <v>5589029</v>
      </c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</row>
    <row r="438" spans="1:46" ht="45" customHeight="1">
      <c r="A438" s="21" t="s">
        <v>3977</v>
      </c>
      <c r="B438" s="22" t="s">
        <v>3978</v>
      </c>
      <c r="C438" s="23" t="s">
        <v>3979</v>
      </c>
      <c r="D438" s="24" t="s">
        <v>3980</v>
      </c>
      <c r="E438" s="24" t="s">
        <v>3981</v>
      </c>
      <c r="F438" s="24" t="s">
        <v>158</v>
      </c>
      <c r="G438" s="24" t="s">
        <v>3982</v>
      </c>
      <c r="H438" s="24" t="s">
        <v>3983</v>
      </c>
      <c r="I438" s="24" t="s">
        <v>65</v>
      </c>
      <c r="J438" s="24" t="s">
        <v>3982</v>
      </c>
      <c r="K438" s="24" t="s">
        <v>3983</v>
      </c>
      <c r="L438" s="24" t="s">
        <v>65</v>
      </c>
      <c r="M438" s="25" t="s">
        <v>3984</v>
      </c>
      <c r="N438" s="22" t="s">
        <v>3985</v>
      </c>
      <c r="O438" s="22"/>
      <c r="P438" s="24" t="s">
        <v>3986</v>
      </c>
      <c r="Q438" s="28" t="s">
        <v>3987</v>
      </c>
      <c r="R438" s="29">
        <v>988</v>
      </c>
      <c r="S438" s="30">
        <f t="shared" si="5"/>
        <v>160056</v>
      </c>
      <c r="T438" s="21" t="s">
        <v>252</v>
      </c>
      <c r="U438" s="24"/>
      <c r="V438" s="30">
        <v>123900</v>
      </c>
      <c r="W438" s="24" t="s">
        <v>71</v>
      </c>
      <c r="X438" s="22">
        <v>1138105</v>
      </c>
      <c r="Y438" s="31"/>
      <c r="Z438" s="22">
        <v>3887785</v>
      </c>
      <c r="AA438" s="22">
        <v>4712778</v>
      </c>
      <c r="AB438" s="22"/>
      <c r="AC438" s="24">
        <v>5604761</v>
      </c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</row>
    <row r="439" spans="1:46" ht="45" customHeight="1">
      <c r="A439" s="12" t="s">
        <v>3988</v>
      </c>
      <c r="B439" s="47" t="s">
        <v>3989</v>
      </c>
      <c r="C439" s="139" t="s">
        <v>3990</v>
      </c>
      <c r="D439" s="49" t="s">
        <v>3991</v>
      </c>
      <c r="E439" s="15" t="s">
        <v>3333</v>
      </c>
      <c r="F439" s="15" t="s">
        <v>181</v>
      </c>
      <c r="G439" s="15" t="s">
        <v>3992</v>
      </c>
      <c r="H439" s="15" t="s">
        <v>3993</v>
      </c>
      <c r="I439" s="15" t="s">
        <v>1022</v>
      </c>
      <c r="J439" s="15" t="s">
        <v>3992</v>
      </c>
      <c r="K439" s="15" t="s">
        <v>3993</v>
      </c>
      <c r="L439" s="15" t="s">
        <v>1022</v>
      </c>
      <c r="M439" s="46" t="s">
        <v>3994</v>
      </c>
      <c r="N439" s="13" t="s">
        <v>3995</v>
      </c>
      <c r="O439" s="13"/>
      <c r="P439" s="15" t="s">
        <v>94</v>
      </c>
      <c r="Q439" s="17" t="s">
        <v>3996</v>
      </c>
      <c r="R439" s="18">
        <v>121</v>
      </c>
      <c r="S439" s="19">
        <f t="shared" si="5"/>
        <v>19602</v>
      </c>
      <c r="T439" s="12" t="s">
        <v>46</v>
      </c>
      <c r="U439" s="15"/>
      <c r="V439" s="19">
        <v>44610</v>
      </c>
      <c r="W439" s="15" t="s">
        <v>71</v>
      </c>
      <c r="X439" s="13">
        <v>1133493</v>
      </c>
      <c r="Y439" s="20">
        <v>3121585</v>
      </c>
      <c r="Z439" s="13"/>
      <c r="AA439" s="13">
        <v>4679310</v>
      </c>
      <c r="AB439" s="13"/>
      <c r="AC439" s="15">
        <v>5548772</v>
      </c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</row>
    <row r="440" spans="1:46" ht="45" customHeight="1">
      <c r="A440" s="12" t="s">
        <v>3997</v>
      </c>
      <c r="B440" s="13" t="s">
        <v>3998</v>
      </c>
      <c r="C440" s="14" t="s">
        <v>3999</v>
      </c>
      <c r="D440" s="15" t="s">
        <v>3332</v>
      </c>
      <c r="E440" s="15" t="s">
        <v>4000</v>
      </c>
      <c r="F440" s="15" t="s">
        <v>181</v>
      </c>
      <c r="G440" s="15" t="s">
        <v>3334</v>
      </c>
      <c r="H440" s="15" t="s">
        <v>4001</v>
      </c>
      <c r="I440" s="15" t="s">
        <v>80</v>
      </c>
      <c r="J440" s="15" t="s">
        <v>3334</v>
      </c>
      <c r="K440" s="15" t="s">
        <v>4001</v>
      </c>
      <c r="L440" s="15" t="s">
        <v>80</v>
      </c>
      <c r="M440" s="46" t="s">
        <v>3336</v>
      </c>
      <c r="N440" s="13">
        <v>49221619</v>
      </c>
      <c r="O440" s="13"/>
      <c r="P440" s="15" t="s">
        <v>94</v>
      </c>
      <c r="Q440" s="17" t="s">
        <v>4002</v>
      </c>
      <c r="R440" s="18">
        <v>222</v>
      </c>
      <c r="S440" s="19">
        <f t="shared" si="5"/>
        <v>35964</v>
      </c>
      <c r="T440" s="12" t="s">
        <v>46</v>
      </c>
      <c r="U440" s="15"/>
      <c r="V440" s="19">
        <v>44610</v>
      </c>
      <c r="W440" s="49" t="s">
        <v>71</v>
      </c>
      <c r="X440" s="13">
        <v>1121416</v>
      </c>
      <c r="Y440" s="20"/>
      <c r="Z440" s="13"/>
      <c r="AA440" s="13">
        <v>4756451</v>
      </c>
      <c r="AB440" s="13"/>
      <c r="AC440" s="49">
        <v>5637320</v>
      </c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</row>
    <row r="441" spans="1:46" ht="45" customHeight="1">
      <c r="A441" s="12" t="s">
        <v>4003</v>
      </c>
      <c r="B441" s="13" t="s">
        <v>4004</v>
      </c>
      <c r="C441" s="14" t="s">
        <v>4005</v>
      </c>
      <c r="D441" s="15" t="s">
        <v>4006</v>
      </c>
      <c r="E441" s="15" t="s">
        <v>524</v>
      </c>
      <c r="F441" s="15" t="s">
        <v>181</v>
      </c>
      <c r="G441" s="15" t="s">
        <v>4007</v>
      </c>
      <c r="H441" s="15" t="s">
        <v>4008</v>
      </c>
      <c r="I441" s="15" t="s">
        <v>80</v>
      </c>
      <c r="J441" s="15" t="s">
        <v>4007</v>
      </c>
      <c r="K441" s="15" t="s">
        <v>4008</v>
      </c>
      <c r="L441" s="15" t="s">
        <v>80</v>
      </c>
      <c r="M441" s="46" t="s">
        <v>4009</v>
      </c>
      <c r="N441" s="13">
        <v>2616244666</v>
      </c>
      <c r="O441" s="13"/>
      <c r="P441" s="15" t="s">
        <v>94</v>
      </c>
      <c r="Q441" s="17" t="s">
        <v>4010</v>
      </c>
      <c r="R441" s="18">
        <v>40</v>
      </c>
      <c r="S441" s="19">
        <f t="shared" si="5"/>
        <v>6480</v>
      </c>
      <c r="T441" s="12" t="s">
        <v>46</v>
      </c>
      <c r="U441" s="15"/>
      <c r="V441" s="19">
        <v>44610</v>
      </c>
      <c r="W441" s="15"/>
      <c r="X441" s="13">
        <v>1034358</v>
      </c>
      <c r="Y441" s="20">
        <v>3119364</v>
      </c>
      <c r="Z441" s="13">
        <v>3898350</v>
      </c>
      <c r="AA441" s="13">
        <v>4715252</v>
      </c>
      <c r="AB441" s="13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</row>
    <row r="442" spans="1:46" ht="45" customHeight="1">
      <c r="A442" s="12" t="s">
        <v>4011</v>
      </c>
      <c r="B442" s="13" t="s">
        <v>4012</v>
      </c>
      <c r="C442" s="14" t="s">
        <v>4013</v>
      </c>
      <c r="D442" s="15" t="s">
        <v>4014</v>
      </c>
      <c r="E442" s="15" t="s">
        <v>4015</v>
      </c>
      <c r="F442" s="15" t="s">
        <v>111</v>
      </c>
      <c r="G442" s="111" t="s">
        <v>4016</v>
      </c>
      <c r="H442" s="15" t="s">
        <v>4017</v>
      </c>
      <c r="I442" s="15" t="s">
        <v>38</v>
      </c>
      <c r="J442" s="111" t="s">
        <v>4016</v>
      </c>
      <c r="K442" s="15" t="s">
        <v>4017</v>
      </c>
      <c r="L442" s="15" t="s">
        <v>38</v>
      </c>
      <c r="M442" s="46" t="s">
        <v>4018</v>
      </c>
      <c r="N442" s="13">
        <v>2613435088</v>
      </c>
      <c r="O442" s="13"/>
      <c r="P442" s="15" t="s">
        <v>44</v>
      </c>
      <c r="Q442" s="17" t="s">
        <v>4019</v>
      </c>
      <c r="R442" s="18">
        <v>25</v>
      </c>
      <c r="S442" s="19">
        <f t="shared" si="5"/>
        <v>4050</v>
      </c>
      <c r="T442" s="12" t="s">
        <v>46</v>
      </c>
      <c r="U442" s="15"/>
      <c r="V442" s="19">
        <v>44610</v>
      </c>
      <c r="W442" s="15"/>
      <c r="X442" s="13"/>
      <c r="Y442" s="20"/>
      <c r="Z442" s="13"/>
      <c r="AA442" s="13"/>
      <c r="AB442" s="13">
        <v>4863025</v>
      </c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</row>
    <row r="443" spans="1:46" ht="45" customHeight="1">
      <c r="A443" s="21" t="s">
        <v>4020</v>
      </c>
      <c r="B443" s="22" t="s">
        <v>4021</v>
      </c>
      <c r="C443" s="23" t="s">
        <v>4022</v>
      </c>
      <c r="D443" s="24" t="s">
        <v>4023</v>
      </c>
      <c r="E443" s="24" t="s">
        <v>4024</v>
      </c>
      <c r="F443" s="24" t="s">
        <v>909</v>
      </c>
      <c r="G443" s="24" t="s">
        <v>4025</v>
      </c>
      <c r="H443" s="24" t="s">
        <v>2698</v>
      </c>
      <c r="I443" s="24" t="s">
        <v>38</v>
      </c>
      <c r="J443" s="24" t="s">
        <v>4026</v>
      </c>
      <c r="K443" s="24" t="s">
        <v>2698</v>
      </c>
      <c r="L443" s="24" t="s">
        <v>38</v>
      </c>
      <c r="M443" s="59" t="s">
        <v>4027</v>
      </c>
      <c r="N443" s="22">
        <v>2614995206</v>
      </c>
      <c r="O443" s="22"/>
      <c r="P443" s="24" t="s">
        <v>1381</v>
      </c>
      <c r="Q443" s="28" t="s">
        <v>4028</v>
      </c>
      <c r="R443" s="29">
        <v>953</v>
      </c>
      <c r="S443" s="30">
        <f t="shared" si="5"/>
        <v>154386</v>
      </c>
      <c r="T443" s="21" t="s">
        <v>252</v>
      </c>
      <c r="U443" s="24"/>
      <c r="V443" s="30">
        <v>123900</v>
      </c>
      <c r="W443" s="24" t="s">
        <v>71</v>
      </c>
      <c r="X443" s="22">
        <v>1015340</v>
      </c>
      <c r="Y443" s="31">
        <v>3073673</v>
      </c>
      <c r="Z443" s="22">
        <v>3889710</v>
      </c>
      <c r="AA443" s="22">
        <v>4749259</v>
      </c>
      <c r="AB443" s="22"/>
      <c r="AC443" s="24">
        <v>5595032</v>
      </c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</row>
    <row r="444" spans="1:46" ht="45" customHeight="1">
      <c r="A444" s="12" t="s">
        <v>4029</v>
      </c>
      <c r="B444" s="13" t="s">
        <v>4030</v>
      </c>
      <c r="C444" s="14" t="s">
        <v>4031</v>
      </c>
      <c r="D444" s="15" t="s">
        <v>4032</v>
      </c>
      <c r="E444" s="15" t="s">
        <v>1849</v>
      </c>
      <c r="F444" s="15" t="s">
        <v>181</v>
      </c>
      <c r="G444" s="15" t="s">
        <v>4033</v>
      </c>
      <c r="H444" s="15" t="s">
        <v>4034</v>
      </c>
      <c r="I444" s="15" t="s">
        <v>149</v>
      </c>
      <c r="J444" s="15" t="s">
        <v>4033</v>
      </c>
      <c r="K444" s="15" t="s">
        <v>4034</v>
      </c>
      <c r="L444" s="15" t="s">
        <v>149</v>
      </c>
      <c r="M444" s="46" t="s">
        <v>3487</v>
      </c>
      <c r="N444" s="13" t="s">
        <v>4035</v>
      </c>
      <c r="O444" s="13"/>
      <c r="P444" s="15" t="s">
        <v>44</v>
      </c>
      <c r="Q444" s="17" t="s">
        <v>4036</v>
      </c>
      <c r="R444" s="18">
        <v>22</v>
      </c>
      <c r="S444" s="19">
        <f t="shared" si="5"/>
        <v>3564</v>
      </c>
      <c r="T444" s="12" t="s">
        <v>46</v>
      </c>
      <c r="U444" s="15"/>
      <c r="V444" s="19">
        <v>44610</v>
      </c>
      <c r="W444" s="15" t="s">
        <v>71</v>
      </c>
      <c r="X444" s="13">
        <v>1037871</v>
      </c>
      <c r="Y444" s="20">
        <v>3113790</v>
      </c>
      <c r="Z444" s="13">
        <v>3887717</v>
      </c>
      <c r="AA444" s="13">
        <v>4692798</v>
      </c>
      <c r="AB444" s="13"/>
      <c r="AC444" s="15">
        <v>5532886</v>
      </c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</row>
    <row r="445" spans="1:46" ht="45" customHeight="1">
      <c r="A445" s="50" t="s">
        <v>4037</v>
      </c>
      <c r="B445" s="51" t="s">
        <v>4038</v>
      </c>
      <c r="C445" s="52" t="s">
        <v>4039</v>
      </c>
      <c r="D445" s="53" t="s">
        <v>4040</v>
      </c>
      <c r="E445" s="53" t="s">
        <v>2387</v>
      </c>
      <c r="F445" s="53" t="s">
        <v>147</v>
      </c>
      <c r="G445" s="53" t="s">
        <v>4041</v>
      </c>
      <c r="H445" s="53" t="s">
        <v>331</v>
      </c>
      <c r="I445" s="53" t="s">
        <v>41</v>
      </c>
      <c r="J445" s="53" t="s">
        <v>4041</v>
      </c>
      <c r="K445" s="53" t="s">
        <v>331</v>
      </c>
      <c r="L445" s="53" t="s">
        <v>41</v>
      </c>
      <c r="M445" s="54" t="s">
        <v>4042</v>
      </c>
      <c r="N445" s="51" t="s">
        <v>4043</v>
      </c>
      <c r="O445" s="51"/>
      <c r="P445" s="53" t="s">
        <v>566</v>
      </c>
      <c r="Q445" s="55" t="s">
        <v>4044</v>
      </c>
      <c r="R445" s="56">
        <v>186</v>
      </c>
      <c r="S445" s="57">
        <f t="shared" si="5"/>
        <v>30132</v>
      </c>
      <c r="T445" s="50" t="s">
        <v>46</v>
      </c>
      <c r="U445" s="53"/>
      <c r="V445" s="57">
        <v>44610</v>
      </c>
      <c r="W445" s="53"/>
      <c r="X445" s="51"/>
      <c r="Y445" s="58">
        <v>3111870</v>
      </c>
      <c r="Z445" s="51">
        <v>3885318</v>
      </c>
      <c r="AA445" s="51"/>
      <c r="AB445" s="51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</row>
    <row r="446" spans="1:46" ht="45" customHeight="1">
      <c r="A446" s="21" t="s">
        <v>4045</v>
      </c>
      <c r="B446" s="22" t="s">
        <v>4046</v>
      </c>
      <c r="C446" s="23" t="s">
        <v>4047</v>
      </c>
      <c r="D446" s="24" t="s">
        <v>4048</v>
      </c>
      <c r="E446" s="24" t="s">
        <v>4049</v>
      </c>
      <c r="F446" s="24" t="s">
        <v>776</v>
      </c>
      <c r="G446" s="24" t="s">
        <v>4050</v>
      </c>
      <c r="H446" s="24"/>
      <c r="I446" s="24" t="s">
        <v>38</v>
      </c>
      <c r="J446" s="24" t="s">
        <v>4050</v>
      </c>
      <c r="K446" s="24"/>
      <c r="L446" s="24" t="s">
        <v>38</v>
      </c>
      <c r="M446" s="59" t="s">
        <v>4051</v>
      </c>
      <c r="N446" s="22" t="s">
        <v>4052</v>
      </c>
      <c r="O446" s="22"/>
      <c r="P446" s="24" t="s">
        <v>717</v>
      </c>
      <c r="Q446" s="28" t="s">
        <v>4053</v>
      </c>
      <c r="R446" s="29">
        <v>937</v>
      </c>
      <c r="S446" s="30">
        <f t="shared" si="5"/>
        <v>151794</v>
      </c>
      <c r="T446" s="21" t="s">
        <v>252</v>
      </c>
      <c r="U446" s="24"/>
      <c r="V446" s="30">
        <v>123900</v>
      </c>
      <c r="W446" s="24"/>
      <c r="X446" s="22"/>
      <c r="Y446" s="31"/>
      <c r="Z446" s="22">
        <v>3899683</v>
      </c>
      <c r="AA446" s="22"/>
      <c r="AB446" s="22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</row>
    <row r="447" spans="1:46" ht="45" customHeight="1">
      <c r="A447" s="40" t="s">
        <v>4054</v>
      </c>
      <c r="B447" s="33" t="s">
        <v>4055</v>
      </c>
      <c r="C447" s="34" t="s">
        <v>4056</v>
      </c>
      <c r="D447" s="35" t="s">
        <v>4057</v>
      </c>
      <c r="E447" s="35" t="s">
        <v>3618</v>
      </c>
      <c r="F447" s="35" t="s">
        <v>966</v>
      </c>
      <c r="G447" s="35" t="s">
        <v>4058</v>
      </c>
      <c r="H447" s="35" t="s">
        <v>1736</v>
      </c>
      <c r="I447" s="35" t="s">
        <v>149</v>
      </c>
      <c r="J447" s="35" t="s">
        <v>4059</v>
      </c>
      <c r="K447" s="35" t="s">
        <v>447</v>
      </c>
      <c r="L447" s="35" t="s">
        <v>38</v>
      </c>
      <c r="M447" s="136"/>
      <c r="N447" s="33">
        <v>4962500</v>
      </c>
      <c r="O447" s="33"/>
      <c r="P447" s="35" t="s">
        <v>44</v>
      </c>
      <c r="Q447" s="37" t="s">
        <v>4060</v>
      </c>
      <c r="R447" s="38">
        <v>10</v>
      </c>
      <c r="S447" s="39">
        <f t="shared" si="5"/>
        <v>1620</v>
      </c>
      <c r="T447" s="40" t="s">
        <v>46</v>
      </c>
      <c r="U447" s="35"/>
      <c r="V447" s="39">
        <v>44610</v>
      </c>
      <c r="W447" s="35"/>
      <c r="X447" s="33"/>
      <c r="Y447" s="41"/>
      <c r="Z447" s="33"/>
      <c r="AA447" s="33"/>
      <c r="AB447" s="33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</row>
    <row r="448" spans="1:46" ht="45" customHeight="1">
      <c r="A448" s="12" t="s">
        <v>4061</v>
      </c>
      <c r="B448" s="13" t="s">
        <v>4062</v>
      </c>
      <c r="C448" s="66" t="s">
        <v>4063</v>
      </c>
      <c r="D448" s="15" t="s">
        <v>4064</v>
      </c>
      <c r="E448" s="15" t="s">
        <v>3919</v>
      </c>
      <c r="F448" s="15" t="s">
        <v>147</v>
      </c>
      <c r="G448" s="15" t="s">
        <v>4065</v>
      </c>
      <c r="H448" s="15" t="s">
        <v>331</v>
      </c>
      <c r="I448" s="15" t="s">
        <v>321</v>
      </c>
      <c r="J448" s="15" t="s">
        <v>4065</v>
      </c>
      <c r="K448" s="15" t="s">
        <v>331</v>
      </c>
      <c r="L448" s="15" t="s">
        <v>321</v>
      </c>
      <c r="M448" s="16" t="s">
        <v>4066</v>
      </c>
      <c r="N448" s="13">
        <v>4422724</v>
      </c>
      <c r="O448" s="13"/>
      <c r="P448" s="15" t="s">
        <v>151</v>
      </c>
      <c r="Q448" s="17" t="s">
        <v>4067</v>
      </c>
      <c r="R448" s="18">
        <v>81</v>
      </c>
      <c r="S448" s="19">
        <f t="shared" si="5"/>
        <v>13122</v>
      </c>
      <c r="T448" s="12" t="s">
        <v>46</v>
      </c>
      <c r="U448" s="15"/>
      <c r="V448" s="19">
        <v>44610</v>
      </c>
      <c r="W448" s="15"/>
      <c r="X448" s="13"/>
      <c r="Y448" s="20"/>
      <c r="Z448" s="13"/>
      <c r="AA448" s="13"/>
      <c r="AB448" s="13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</row>
    <row r="449" spans="1:46" ht="45" customHeight="1">
      <c r="A449" s="21" t="s">
        <v>4068</v>
      </c>
      <c r="B449" s="22" t="s">
        <v>4069</v>
      </c>
      <c r="C449" s="23" t="s">
        <v>4070</v>
      </c>
      <c r="D449" s="24" t="s">
        <v>4071</v>
      </c>
      <c r="E449" s="24" t="s">
        <v>4072</v>
      </c>
      <c r="F449" s="24" t="s">
        <v>542</v>
      </c>
      <c r="G449" s="24" t="s">
        <v>4073</v>
      </c>
      <c r="H449" s="24" t="s">
        <v>447</v>
      </c>
      <c r="I449" s="24" t="s">
        <v>38</v>
      </c>
      <c r="J449" s="24" t="s">
        <v>4074</v>
      </c>
      <c r="K449" s="24" t="s">
        <v>447</v>
      </c>
      <c r="L449" s="24" t="s">
        <v>38</v>
      </c>
      <c r="M449" s="43" t="s">
        <v>4075</v>
      </c>
      <c r="N449" s="22" t="s">
        <v>4076</v>
      </c>
      <c r="O449" s="22"/>
      <c r="P449" s="24" t="s">
        <v>4077</v>
      </c>
      <c r="Q449" s="28" t="s">
        <v>4078</v>
      </c>
      <c r="R449" s="29">
        <v>741</v>
      </c>
      <c r="S449" s="30">
        <f t="shared" si="5"/>
        <v>120042</v>
      </c>
      <c r="T449" s="21" t="s">
        <v>252</v>
      </c>
      <c r="U449" s="24"/>
      <c r="V449" s="30">
        <v>123900</v>
      </c>
      <c r="W449" s="24"/>
      <c r="X449" s="22"/>
      <c r="Y449" s="31">
        <v>3104020</v>
      </c>
      <c r="Z449" s="22">
        <v>3831855</v>
      </c>
      <c r="AA449" s="22"/>
      <c r="AB449" s="22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</row>
    <row r="450" spans="1:46" ht="45" customHeight="1">
      <c r="A450" s="50" t="s">
        <v>4079</v>
      </c>
      <c r="B450" s="51" t="s">
        <v>4080</v>
      </c>
      <c r="C450" s="52" t="s">
        <v>4081</v>
      </c>
      <c r="D450" s="53" t="s">
        <v>4082</v>
      </c>
      <c r="E450" s="53" t="s">
        <v>4083</v>
      </c>
      <c r="F450" s="53" t="s">
        <v>909</v>
      </c>
      <c r="G450" s="53" t="s">
        <v>4084</v>
      </c>
      <c r="H450" s="53" t="s">
        <v>1324</v>
      </c>
      <c r="I450" s="53" t="s">
        <v>115</v>
      </c>
      <c r="J450" s="53" t="s">
        <v>4085</v>
      </c>
      <c r="K450" s="53" t="s">
        <v>4086</v>
      </c>
      <c r="L450" s="53" t="s">
        <v>41</v>
      </c>
      <c r="M450" s="54" t="s">
        <v>4087</v>
      </c>
      <c r="N450" s="51" t="s">
        <v>4088</v>
      </c>
      <c r="O450" s="51"/>
      <c r="P450" s="53" t="s">
        <v>94</v>
      </c>
      <c r="Q450" s="55" t="s">
        <v>4089</v>
      </c>
      <c r="R450" s="56">
        <v>326</v>
      </c>
      <c r="S450" s="57">
        <f t="shared" si="5"/>
        <v>52812</v>
      </c>
      <c r="T450" s="50" t="s">
        <v>46</v>
      </c>
      <c r="U450" s="53"/>
      <c r="V450" s="57">
        <v>44610</v>
      </c>
      <c r="W450" s="53"/>
      <c r="X450" s="51"/>
      <c r="Y450" s="58"/>
      <c r="Z450" s="51"/>
      <c r="AA450" s="51"/>
      <c r="AB450" s="51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</row>
    <row r="451" spans="1:46" ht="45" customHeight="1">
      <c r="A451" s="50" t="s">
        <v>4090</v>
      </c>
      <c r="B451" s="51" t="s">
        <v>4091</v>
      </c>
      <c r="C451" s="52" t="s">
        <v>4092</v>
      </c>
      <c r="D451" s="53" t="s">
        <v>3863</v>
      </c>
      <c r="E451" s="53" t="s">
        <v>3864</v>
      </c>
      <c r="F451" s="53" t="s">
        <v>966</v>
      </c>
      <c r="G451" s="53" t="s">
        <v>3865</v>
      </c>
      <c r="H451" s="53" t="s">
        <v>457</v>
      </c>
      <c r="I451" s="53" t="s">
        <v>80</v>
      </c>
      <c r="J451" s="53" t="s">
        <v>4093</v>
      </c>
      <c r="K451" s="53" t="s">
        <v>3895</v>
      </c>
      <c r="L451" s="53" t="s">
        <v>38</v>
      </c>
      <c r="M451" s="54" t="s">
        <v>3873</v>
      </c>
      <c r="N451" s="51" t="s">
        <v>3874</v>
      </c>
      <c r="O451" s="51"/>
      <c r="P451" s="53" t="s">
        <v>44</v>
      </c>
      <c r="Q451" s="55" t="s">
        <v>4094</v>
      </c>
      <c r="R451" s="56">
        <v>19</v>
      </c>
      <c r="S451" s="57">
        <f t="shared" si="5"/>
        <v>3078</v>
      </c>
      <c r="T451" s="50" t="s">
        <v>46</v>
      </c>
      <c r="U451" s="53"/>
      <c r="V451" s="57">
        <v>44610</v>
      </c>
      <c r="W451" s="53"/>
      <c r="X451" s="51"/>
      <c r="Y451" s="58"/>
      <c r="Z451" s="51"/>
      <c r="AA451" s="51"/>
      <c r="AB451" s="51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</row>
    <row r="452" spans="1:46" ht="45" customHeight="1">
      <c r="A452" s="12" t="s">
        <v>4095</v>
      </c>
      <c r="B452" s="13" t="s">
        <v>4096</v>
      </c>
      <c r="C452" s="14" t="s">
        <v>4097</v>
      </c>
      <c r="D452" s="15" t="s">
        <v>3863</v>
      </c>
      <c r="E452" s="15" t="s">
        <v>3864</v>
      </c>
      <c r="F452" s="15" t="s">
        <v>966</v>
      </c>
      <c r="G452" s="15" t="s">
        <v>3865</v>
      </c>
      <c r="H452" s="15" t="s">
        <v>457</v>
      </c>
      <c r="I452" s="15" t="s">
        <v>80</v>
      </c>
      <c r="J452" s="15" t="s">
        <v>3865</v>
      </c>
      <c r="K452" s="15" t="s">
        <v>457</v>
      </c>
      <c r="L452" s="15" t="s">
        <v>80</v>
      </c>
      <c r="M452" s="46" t="s">
        <v>4098</v>
      </c>
      <c r="N452" s="13">
        <v>2614161994</v>
      </c>
      <c r="O452" s="13"/>
      <c r="P452" s="15" t="s">
        <v>44</v>
      </c>
      <c r="Q452" s="17" t="s">
        <v>4099</v>
      </c>
      <c r="R452" s="18">
        <v>91</v>
      </c>
      <c r="S452" s="19">
        <f t="shared" si="5"/>
        <v>14742</v>
      </c>
      <c r="T452" s="12" t="s">
        <v>46</v>
      </c>
      <c r="U452" s="15"/>
      <c r="V452" s="19">
        <v>44610</v>
      </c>
      <c r="W452" s="49" t="s">
        <v>71</v>
      </c>
      <c r="X452" s="13"/>
      <c r="Y452" s="20"/>
      <c r="Z452" s="13">
        <v>3905228</v>
      </c>
      <c r="AA452" s="13">
        <v>4746391</v>
      </c>
      <c r="AB452" s="13"/>
      <c r="AC452" s="49">
        <v>5637559</v>
      </c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</row>
    <row r="453" spans="1:46" ht="45" customHeight="1">
      <c r="A453" s="21" t="s">
        <v>4100</v>
      </c>
      <c r="B453" s="22" t="s">
        <v>4101</v>
      </c>
      <c r="C453" s="23" t="s">
        <v>4102</v>
      </c>
      <c r="D453" s="24" t="s">
        <v>4103</v>
      </c>
      <c r="E453" s="24" t="s">
        <v>476</v>
      </c>
      <c r="F453" s="24" t="s">
        <v>477</v>
      </c>
      <c r="G453" s="24" t="s">
        <v>4104</v>
      </c>
      <c r="H453" s="24" t="s">
        <v>52</v>
      </c>
      <c r="I453" s="24" t="s">
        <v>53</v>
      </c>
      <c r="J453" s="24" t="s">
        <v>4105</v>
      </c>
      <c r="K453" s="24"/>
      <c r="L453" s="24" t="s">
        <v>206</v>
      </c>
      <c r="M453" s="76" t="s">
        <v>4106</v>
      </c>
      <c r="N453" s="22" t="s">
        <v>4107</v>
      </c>
      <c r="O453" s="22"/>
      <c r="P453" s="24" t="s">
        <v>1381</v>
      </c>
      <c r="Q453" s="28" t="s">
        <v>4108</v>
      </c>
      <c r="R453" s="29">
        <v>10222</v>
      </c>
      <c r="S453" s="30">
        <f t="shared" si="5"/>
        <v>1655964</v>
      </c>
      <c r="T453" s="21" t="s">
        <v>70</v>
      </c>
      <c r="U453" s="24"/>
      <c r="V453" s="30">
        <f>S453</f>
        <v>1655964</v>
      </c>
      <c r="W453" s="24" t="s">
        <v>71</v>
      </c>
      <c r="X453" s="22"/>
      <c r="Y453" s="31"/>
      <c r="Z453" s="22">
        <v>3834735</v>
      </c>
      <c r="AA453" s="22">
        <v>4750616</v>
      </c>
      <c r="AB453" s="22"/>
      <c r="AC453" s="24">
        <v>5570641</v>
      </c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</row>
    <row r="454" spans="1:46" ht="54" customHeight="1">
      <c r="A454" s="12" t="s">
        <v>4109</v>
      </c>
      <c r="B454" s="13" t="s">
        <v>4110</v>
      </c>
      <c r="C454" s="14" t="s">
        <v>4111</v>
      </c>
      <c r="D454" s="15" t="s">
        <v>4112</v>
      </c>
      <c r="E454" s="15" t="s">
        <v>4113</v>
      </c>
      <c r="F454" s="15" t="s">
        <v>776</v>
      </c>
      <c r="G454" s="15" t="s">
        <v>4114</v>
      </c>
      <c r="H454" s="15" t="s">
        <v>52</v>
      </c>
      <c r="I454" s="15" t="s">
        <v>53</v>
      </c>
      <c r="J454" s="15" t="s">
        <v>4115</v>
      </c>
      <c r="K454" s="15"/>
      <c r="L454" s="15" t="s">
        <v>38</v>
      </c>
      <c r="M454" s="46" t="s">
        <v>4116</v>
      </c>
      <c r="N454" s="13">
        <v>2613630941</v>
      </c>
      <c r="O454" s="13"/>
      <c r="P454" s="15" t="s">
        <v>4117</v>
      </c>
      <c r="Q454" s="17" t="s">
        <v>4118</v>
      </c>
      <c r="R454" s="18">
        <v>546</v>
      </c>
      <c r="S454" s="19">
        <f t="shared" si="5"/>
        <v>88452</v>
      </c>
      <c r="T454" s="12" t="s">
        <v>46</v>
      </c>
      <c r="U454" s="15"/>
      <c r="V454" s="19">
        <v>44610</v>
      </c>
      <c r="W454" s="15" t="s">
        <v>71</v>
      </c>
      <c r="X454" s="13"/>
      <c r="Y454" s="20"/>
      <c r="Z454" s="13">
        <v>3905898</v>
      </c>
      <c r="AA454" s="13">
        <v>4726898</v>
      </c>
      <c r="AB454" s="13"/>
      <c r="AC454" s="15">
        <v>5574590</v>
      </c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</row>
    <row r="455" spans="1:46" ht="45" customHeight="1">
      <c r="A455" s="12" t="s">
        <v>4119</v>
      </c>
      <c r="B455" s="13" t="s">
        <v>4120</v>
      </c>
      <c r="C455" s="14" t="s">
        <v>4121</v>
      </c>
      <c r="D455" s="15" t="s">
        <v>4122</v>
      </c>
      <c r="E455" s="15" t="s">
        <v>4123</v>
      </c>
      <c r="F455" s="15" t="s">
        <v>204</v>
      </c>
      <c r="G455" s="15" t="s">
        <v>4124</v>
      </c>
      <c r="H455" s="15"/>
      <c r="I455" s="15" t="s">
        <v>65</v>
      </c>
      <c r="J455" s="15" t="s">
        <v>4124</v>
      </c>
      <c r="K455" s="15"/>
      <c r="L455" s="15" t="s">
        <v>65</v>
      </c>
      <c r="M455" s="46" t="s">
        <v>4125</v>
      </c>
      <c r="N455" s="13" t="s">
        <v>4126</v>
      </c>
      <c r="O455" s="13"/>
      <c r="P455" s="15" t="s">
        <v>717</v>
      </c>
      <c r="Q455" s="17" t="s">
        <v>4127</v>
      </c>
      <c r="R455" s="18">
        <v>429</v>
      </c>
      <c r="S455" s="19">
        <f t="shared" si="5"/>
        <v>69498</v>
      </c>
      <c r="T455" s="12" t="s">
        <v>46</v>
      </c>
      <c r="U455" s="15"/>
      <c r="V455" s="19">
        <v>44610</v>
      </c>
      <c r="W455" s="15"/>
      <c r="X455" s="13"/>
      <c r="Y455" s="20">
        <v>3113784</v>
      </c>
      <c r="Z455" s="13">
        <v>3905428</v>
      </c>
      <c r="AA455" s="13"/>
      <c r="AB455" s="13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</row>
    <row r="456" spans="1:46" ht="45" customHeight="1">
      <c r="A456" s="79" t="s">
        <v>4128</v>
      </c>
      <c r="B456" s="80" t="s">
        <v>4129</v>
      </c>
      <c r="C456" s="81" t="s">
        <v>4130</v>
      </c>
      <c r="D456" s="82" t="s">
        <v>4131</v>
      </c>
      <c r="E456" s="82" t="s">
        <v>762</v>
      </c>
      <c r="F456" s="82" t="s">
        <v>762</v>
      </c>
      <c r="G456" s="82" t="s">
        <v>4132</v>
      </c>
      <c r="H456" s="82" t="s">
        <v>52</v>
      </c>
      <c r="I456" s="82" t="s">
        <v>53</v>
      </c>
      <c r="J456" s="82" t="s">
        <v>4132</v>
      </c>
      <c r="K456" s="82"/>
      <c r="L456" s="82" t="s">
        <v>4133</v>
      </c>
      <c r="M456" s="83" t="s">
        <v>4134</v>
      </c>
      <c r="N456" s="80">
        <v>4439100</v>
      </c>
      <c r="O456" s="80"/>
      <c r="P456" s="82" t="s">
        <v>4135</v>
      </c>
      <c r="Q456" s="84" t="s">
        <v>4136</v>
      </c>
      <c r="R456" s="85" t="s">
        <v>770</v>
      </c>
      <c r="S456" s="86" t="e">
        <f t="shared" si="5"/>
        <v>#VALUE!</v>
      </c>
      <c r="T456" s="87" t="s">
        <v>770</v>
      </c>
      <c r="U456" s="82"/>
      <c r="V456" s="86">
        <v>0</v>
      </c>
      <c r="W456" s="82"/>
      <c r="X456" s="80"/>
      <c r="Y456" s="88"/>
      <c r="Z456" s="80"/>
      <c r="AA456" s="80"/>
      <c r="AB456" s="80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</row>
    <row r="457" spans="1:46" ht="45" customHeight="1">
      <c r="A457" s="12" t="s">
        <v>4137</v>
      </c>
      <c r="B457" s="13" t="s">
        <v>4138</v>
      </c>
      <c r="C457" s="14" t="s">
        <v>4139</v>
      </c>
      <c r="D457" s="15" t="s">
        <v>927</v>
      </c>
      <c r="E457" s="15" t="s">
        <v>1824</v>
      </c>
      <c r="F457" s="15" t="s">
        <v>181</v>
      </c>
      <c r="G457" s="15" t="s">
        <v>4140</v>
      </c>
      <c r="H457" s="15" t="s">
        <v>1262</v>
      </c>
      <c r="I457" s="15" t="s">
        <v>115</v>
      </c>
      <c r="J457" s="15" t="s">
        <v>4141</v>
      </c>
      <c r="K457" s="15" t="s">
        <v>4142</v>
      </c>
      <c r="L457" s="15" t="s">
        <v>4143</v>
      </c>
      <c r="M457" s="16" t="s">
        <v>931</v>
      </c>
      <c r="N457" s="13" t="s">
        <v>4144</v>
      </c>
      <c r="O457" s="13"/>
      <c r="P457" s="15" t="s">
        <v>94</v>
      </c>
      <c r="Q457" s="17" t="s">
        <v>4145</v>
      </c>
      <c r="R457" s="18">
        <v>165</v>
      </c>
      <c r="S457" s="19">
        <f t="shared" si="5"/>
        <v>26730</v>
      </c>
      <c r="T457" s="12" t="s">
        <v>46</v>
      </c>
      <c r="U457" s="15"/>
      <c r="V457" s="19">
        <v>44610</v>
      </c>
      <c r="W457" s="15" t="s">
        <v>71</v>
      </c>
      <c r="X457" s="13"/>
      <c r="Y457" s="20"/>
      <c r="Z457" s="13">
        <v>3888225</v>
      </c>
      <c r="AA457" s="13">
        <v>4709362</v>
      </c>
      <c r="AB457" s="13"/>
      <c r="AC457" s="15">
        <v>5616849</v>
      </c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</row>
    <row r="458" spans="1:46" ht="45" customHeight="1">
      <c r="A458" s="12" t="s">
        <v>4146</v>
      </c>
      <c r="B458" s="13" t="s">
        <v>4147</v>
      </c>
      <c r="C458" s="14" t="s">
        <v>4148</v>
      </c>
      <c r="D458" s="15" t="s">
        <v>4149</v>
      </c>
      <c r="E458" s="15" t="s">
        <v>1163</v>
      </c>
      <c r="F458" s="15" t="s">
        <v>3852</v>
      </c>
      <c r="G458" s="15" t="s">
        <v>4150</v>
      </c>
      <c r="H458" s="15"/>
      <c r="I458" s="15" t="s">
        <v>149</v>
      </c>
      <c r="J458" s="15" t="s">
        <v>4150</v>
      </c>
      <c r="K458" s="15"/>
      <c r="L458" s="15" t="s">
        <v>149</v>
      </c>
      <c r="M458" s="16" t="s">
        <v>4151</v>
      </c>
      <c r="N458" s="13">
        <v>2615049731</v>
      </c>
      <c r="O458" s="13"/>
      <c r="P458" s="15" t="s">
        <v>4152</v>
      </c>
      <c r="Q458" s="17" t="s">
        <v>4153</v>
      </c>
      <c r="R458" s="18">
        <v>360</v>
      </c>
      <c r="S458" s="19">
        <f t="shared" si="5"/>
        <v>58320</v>
      </c>
      <c r="T458" s="12" t="s">
        <v>46</v>
      </c>
      <c r="U458" s="15"/>
      <c r="V458" s="19">
        <v>44610</v>
      </c>
      <c r="W458" s="15"/>
      <c r="X458" s="13"/>
      <c r="Y458" s="20">
        <v>3115727</v>
      </c>
      <c r="Z458" s="13">
        <v>3891430</v>
      </c>
      <c r="AA458" s="13">
        <v>4753430</v>
      </c>
      <c r="AB458" s="13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</row>
    <row r="459" spans="1:46" ht="51" customHeight="1">
      <c r="A459" s="12" t="s">
        <v>4154</v>
      </c>
      <c r="B459" s="13" t="s">
        <v>4155</v>
      </c>
      <c r="C459" s="14" t="s">
        <v>4156</v>
      </c>
      <c r="D459" s="15" t="s">
        <v>4157</v>
      </c>
      <c r="E459" s="15" t="s">
        <v>928</v>
      </c>
      <c r="F459" s="15" t="s">
        <v>181</v>
      </c>
      <c r="G459" s="15" t="s">
        <v>4158</v>
      </c>
      <c r="H459" s="15" t="s">
        <v>4159</v>
      </c>
      <c r="I459" s="15" t="s">
        <v>2691</v>
      </c>
      <c r="J459" s="15" t="s">
        <v>4158</v>
      </c>
      <c r="K459" s="15" t="s">
        <v>4159</v>
      </c>
      <c r="L459" s="15" t="s">
        <v>2691</v>
      </c>
      <c r="M459" s="16" t="s">
        <v>4160</v>
      </c>
      <c r="N459" s="13" t="s">
        <v>4161</v>
      </c>
      <c r="O459" s="13"/>
      <c r="P459" s="15" t="s">
        <v>94</v>
      </c>
      <c r="Q459" s="17" t="s">
        <v>4162</v>
      </c>
      <c r="R459" s="18">
        <v>146</v>
      </c>
      <c r="S459" s="19">
        <f t="shared" si="5"/>
        <v>23652</v>
      </c>
      <c r="T459" s="12" t="s">
        <v>46</v>
      </c>
      <c r="U459" s="15"/>
      <c r="V459" s="19">
        <v>44610</v>
      </c>
      <c r="W459" s="15" t="s">
        <v>47</v>
      </c>
      <c r="X459" s="13">
        <v>1038248</v>
      </c>
      <c r="Y459" s="20">
        <v>3059115</v>
      </c>
      <c r="Z459" s="13">
        <v>3881649</v>
      </c>
      <c r="AA459" s="13">
        <v>4738650</v>
      </c>
      <c r="AB459" s="13"/>
      <c r="AC459" s="15">
        <v>5585294</v>
      </c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</row>
    <row r="460" spans="1:46" ht="45" customHeight="1">
      <c r="A460" s="12" t="s">
        <v>4163</v>
      </c>
      <c r="B460" s="13" t="s">
        <v>4164</v>
      </c>
      <c r="C460" s="14" t="s">
        <v>4165</v>
      </c>
      <c r="D460" s="15" t="s">
        <v>3755</v>
      </c>
      <c r="E460" s="15" t="s">
        <v>928</v>
      </c>
      <c r="F460" s="15" t="s">
        <v>181</v>
      </c>
      <c r="G460" s="15" t="s">
        <v>4166</v>
      </c>
      <c r="H460" s="15"/>
      <c r="I460" s="15" t="s">
        <v>65</v>
      </c>
      <c r="J460" s="15" t="s">
        <v>4167</v>
      </c>
      <c r="K460" s="15"/>
      <c r="L460" s="15" t="s">
        <v>38</v>
      </c>
      <c r="M460" s="16" t="s">
        <v>3757</v>
      </c>
      <c r="N460" s="13" t="s">
        <v>4168</v>
      </c>
      <c r="O460" s="13"/>
      <c r="P460" s="15" t="s">
        <v>94</v>
      </c>
      <c r="Q460" s="17" t="s">
        <v>4169</v>
      </c>
      <c r="R460" s="18">
        <v>91</v>
      </c>
      <c r="S460" s="19">
        <f t="shared" si="5"/>
        <v>14742</v>
      </c>
      <c r="T460" s="12" t="s">
        <v>46</v>
      </c>
      <c r="U460" s="15"/>
      <c r="V460" s="19">
        <v>44610</v>
      </c>
      <c r="W460" s="15" t="s">
        <v>71</v>
      </c>
      <c r="X460" s="13">
        <v>1032670</v>
      </c>
      <c r="Y460" s="20">
        <v>3093033</v>
      </c>
      <c r="Z460" s="13">
        <v>3852434</v>
      </c>
      <c r="AA460" s="13">
        <v>4668830</v>
      </c>
      <c r="AB460" s="13"/>
      <c r="AC460" s="15">
        <v>5596882</v>
      </c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</row>
    <row r="461" spans="1:46" ht="45" customHeight="1">
      <c r="A461" s="50" t="s">
        <v>4170</v>
      </c>
      <c r="B461" s="51" t="s">
        <v>4171</v>
      </c>
      <c r="C461" s="52" t="s">
        <v>4172</v>
      </c>
      <c r="D461" s="53" t="s">
        <v>4173</v>
      </c>
      <c r="E461" s="53" t="s">
        <v>4174</v>
      </c>
      <c r="F461" s="53" t="s">
        <v>204</v>
      </c>
      <c r="G461" s="53" t="s">
        <v>4175</v>
      </c>
      <c r="H461" s="53"/>
      <c r="I461" s="53" t="s">
        <v>149</v>
      </c>
      <c r="J461" s="53" t="s">
        <v>4176</v>
      </c>
      <c r="K461" s="53"/>
      <c r="L461" s="53" t="s">
        <v>149</v>
      </c>
      <c r="M461" s="68" t="s">
        <v>4177</v>
      </c>
      <c r="N461" s="51" t="s">
        <v>4178</v>
      </c>
      <c r="O461" s="51"/>
      <c r="P461" s="53" t="s">
        <v>855</v>
      </c>
      <c r="Q461" s="55" t="s">
        <v>4179</v>
      </c>
      <c r="R461" s="56">
        <v>505</v>
      </c>
      <c r="S461" s="57">
        <f t="shared" si="5"/>
        <v>81810</v>
      </c>
      <c r="T461" s="50" t="s">
        <v>46</v>
      </c>
      <c r="U461" s="53"/>
      <c r="V461" s="57">
        <v>44610</v>
      </c>
      <c r="W461" s="53"/>
      <c r="X461" s="51">
        <v>1006319</v>
      </c>
      <c r="Y461" s="58">
        <v>3073216</v>
      </c>
      <c r="Z461" s="51"/>
      <c r="AA461" s="51"/>
      <c r="AB461" s="51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</row>
    <row r="462" spans="1:46" ht="45" customHeight="1">
      <c r="A462" s="12" t="s">
        <v>4180</v>
      </c>
      <c r="B462" s="13" t="s">
        <v>4181</v>
      </c>
      <c r="C462" s="14" t="s">
        <v>4182</v>
      </c>
      <c r="D462" s="15" t="s">
        <v>4183</v>
      </c>
      <c r="E462" s="15" t="s">
        <v>4184</v>
      </c>
      <c r="F462" s="15" t="s">
        <v>680</v>
      </c>
      <c r="G462" s="15" t="s">
        <v>4185</v>
      </c>
      <c r="H462" s="15" t="s">
        <v>630</v>
      </c>
      <c r="I462" s="15" t="s">
        <v>80</v>
      </c>
      <c r="J462" s="15" t="s">
        <v>4185</v>
      </c>
      <c r="K462" s="15" t="s">
        <v>630</v>
      </c>
      <c r="L462" s="15" t="s">
        <v>80</v>
      </c>
      <c r="M462" s="16" t="s">
        <v>4186</v>
      </c>
      <c r="N462" s="13">
        <v>2612441417</v>
      </c>
      <c r="O462" s="73">
        <v>46382</v>
      </c>
      <c r="P462" s="15" t="s">
        <v>117</v>
      </c>
      <c r="Q462" s="17" t="s">
        <v>4187</v>
      </c>
      <c r="R462" s="18">
        <v>505</v>
      </c>
      <c r="S462" s="19">
        <f t="shared" si="5"/>
        <v>81810</v>
      </c>
      <c r="T462" s="12" t="s">
        <v>46</v>
      </c>
      <c r="U462" s="15"/>
      <c r="V462" s="19">
        <f>44610/2</f>
        <v>22305</v>
      </c>
      <c r="W462" s="15" t="s">
        <v>71</v>
      </c>
      <c r="X462" s="13">
        <v>110954</v>
      </c>
      <c r="Y462" s="20">
        <v>3103464</v>
      </c>
      <c r="Z462" s="13">
        <v>3899586</v>
      </c>
      <c r="AA462" s="13">
        <v>4751148</v>
      </c>
      <c r="AB462" s="13"/>
      <c r="AC462" s="15">
        <v>5562647</v>
      </c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</row>
    <row r="463" spans="1:46" ht="45" customHeight="1">
      <c r="A463" s="40" t="s">
        <v>4188</v>
      </c>
      <c r="B463" s="33" t="s">
        <v>4189</v>
      </c>
      <c r="C463" s="34" t="s">
        <v>4190</v>
      </c>
      <c r="D463" s="35" t="s">
        <v>4191</v>
      </c>
      <c r="E463" s="35" t="s">
        <v>4192</v>
      </c>
      <c r="F463" s="35" t="s">
        <v>204</v>
      </c>
      <c r="G463" s="35" t="s">
        <v>4193</v>
      </c>
      <c r="H463" s="35" t="s">
        <v>52</v>
      </c>
      <c r="I463" s="35" t="s">
        <v>53</v>
      </c>
      <c r="J463" s="35" t="s">
        <v>4194</v>
      </c>
      <c r="K463" s="35" t="s">
        <v>4195</v>
      </c>
      <c r="L463" s="35" t="s">
        <v>881</v>
      </c>
      <c r="M463" s="36" t="s">
        <v>4196</v>
      </c>
      <c r="N463" s="33">
        <v>4311848</v>
      </c>
      <c r="O463" s="33"/>
      <c r="P463" s="35" t="s">
        <v>94</v>
      </c>
      <c r="Q463" s="37" t="s">
        <v>4197</v>
      </c>
      <c r="R463" s="38">
        <v>85</v>
      </c>
      <c r="S463" s="39">
        <f t="shared" si="5"/>
        <v>13770</v>
      </c>
      <c r="T463" s="40" t="s">
        <v>46</v>
      </c>
      <c r="U463" s="35"/>
      <c r="V463" s="39">
        <v>44610</v>
      </c>
      <c r="W463" s="35"/>
      <c r="X463" s="33"/>
      <c r="Y463" s="41"/>
      <c r="Z463" s="33"/>
      <c r="AA463" s="33"/>
      <c r="AB463" s="33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</row>
    <row r="464" spans="1:46" ht="45" customHeight="1">
      <c r="A464" s="40" t="s">
        <v>4198</v>
      </c>
      <c r="B464" s="33" t="s">
        <v>4199</v>
      </c>
      <c r="C464" s="34" t="s">
        <v>4200</v>
      </c>
      <c r="D464" s="35" t="s">
        <v>4201</v>
      </c>
      <c r="E464" s="35" t="s">
        <v>3556</v>
      </c>
      <c r="F464" s="35" t="s">
        <v>181</v>
      </c>
      <c r="G464" s="35" t="s">
        <v>4202</v>
      </c>
      <c r="H464" s="35" t="s">
        <v>125</v>
      </c>
      <c r="I464" s="35" t="s">
        <v>115</v>
      </c>
      <c r="J464" s="35" t="s">
        <v>4203</v>
      </c>
      <c r="K464" s="35" t="s">
        <v>125</v>
      </c>
      <c r="L464" s="35" t="s">
        <v>115</v>
      </c>
      <c r="M464" s="144" t="s">
        <v>4204</v>
      </c>
      <c r="N464" s="33">
        <v>152012668</v>
      </c>
      <c r="O464" s="33"/>
      <c r="P464" s="35" t="s">
        <v>1310</v>
      </c>
      <c r="Q464" s="37" t="s">
        <v>4205</v>
      </c>
      <c r="R464" s="38">
        <v>4</v>
      </c>
      <c r="S464" s="39">
        <f t="shared" si="5"/>
        <v>648</v>
      </c>
      <c r="T464" s="40" t="s">
        <v>46</v>
      </c>
      <c r="U464" s="35"/>
      <c r="V464" s="39">
        <v>44610</v>
      </c>
      <c r="W464" s="35"/>
      <c r="X464" s="33"/>
      <c r="Y464" s="41"/>
      <c r="Z464" s="33"/>
      <c r="AA464" s="33"/>
      <c r="AB464" s="33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</row>
    <row r="465" spans="1:46" ht="45" customHeight="1">
      <c r="A465" s="12" t="s">
        <v>4206</v>
      </c>
      <c r="B465" s="13" t="s">
        <v>4207</v>
      </c>
      <c r="C465" s="14" t="s">
        <v>4208</v>
      </c>
      <c r="D465" s="15" t="s">
        <v>4209</v>
      </c>
      <c r="E465" s="15" t="s">
        <v>3556</v>
      </c>
      <c r="F465" s="15" t="s">
        <v>181</v>
      </c>
      <c r="G465" s="15" t="s">
        <v>4210</v>
      </c>
      <c r="H465" s="15"/>
      <c r="I465" s="15" t="s">
        <v>149</v>
      </c>
      <c r="J465" s="15" t="s">
        <v>4210</v>
      </c>
      <c r="K465" s="15"/>
      <c r="L465" s="15" t="s">
        <v>149</v>
      </c>
      <c r="M465" s="46" t="s">
        <v>4211</v>
      </c>
      <c r="N465" s="13">
        <v>2615902828</v>
      </c>
      <c r="O465" s="13"/>
      <c r="P465" s="15" t="s">
        <v>94</v>
      </c>
      <c r="Q465" s="17" t="s">
        <v>4212</v>
      </c>
      <c r="R465" s="18">
        <v>115</v>
      </c>
      <c r="S465" s="19">
        <f t="shared" si="5"/>
        <v>18630</v>
      </c>
      <c r="T465" s="12" t="s">
        <v>46</v>
      </c>
      <c r="U465" s="15"/>
      <c r="V465" s="19">
        <v>44610</v>
      </c>
      <c r="W465" s="15"/>
      <c r="X465" s="13"/>
      <c r="Y465" s="20"/>
      <c r="Z465" s="13"/>
      <c r="AA465" s="13"/>
      <c r="AB465" s="13">
        <v>4862544</v>
      </c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</row>
    <row r="466" spans="1:46" ht="45" customHeight="1">
      <c r="A466" s="12" t="s">
        <v>4213</v>
      </c>
      <c r="B466" s="13" t="s">
        <v>4214</v>
      </c>
      <c r="C466" s="14" t="s">
        <v>4215</v>
      </c>
      <c r="D466" s="15" t="s">
        <v>4216</v>
      </c>
      <c r="E466" s="15" t="s">
        <v>4217</v>
      </c>
      <c r="F466" s="15" t="s">
        <v>111</v>
      </c>
      <c r="G466" s="15" t="s">
        <v>4218</v>
      </c>
      <c r="H466" s="15" t="s">
        <v>405</v>
      </c>
      <c r="I466" s="15" t="s">
        <v>4219</v>
      </c>
      <c r="J466" s="49" t="s">
        <v>4220</v>
      </c>
      <c r="K466" s="15"/>
      <c r="L466" s="49" t="s">
        <v>80</v>
      </c>
      <c r="M466" s="74" t="s">
        <v>4221</v>
      </c>
      <c r="N466" s="13" t="s">
        <v>4222</v>
      </c>
      <c r="O466" s="13"/>
      <c r="P466" s="15" t="s">
        <v>4223</v>
      </c>
      <c r="Q466" s="17" t="s">
        <v>4224</v>
      </c>
      <c r="R466" s="18">
        <v>82</v>
      </c>
      <c r="S466" s="19">
        <f t="shared" si="5"/>
        <v>13284</v>
      </c>
      <c r="T466" s="12" t="s">
        <v>46</v>
      </c>
      <c r="U466" s="15"/>
      <c r="V466" s="19">
        <v>44610</v>
      </c>
      <c r="W466" s="15" t="s">
        <v>71</v>
      </c>
      <c r="X466" s="13">
        <v>1039399</v>
      </c>
      <c r="Y466" s="20">
        <v>3082507</v>
      </c>
      <c r="Z466" s="13">
        <v>3845751</v>
      </c>
      <c r="AA466" s="13">
        <v>4678241</v>
      </c>
      <c r="AB466" s="13"/>
      <c r="AC466" s="49">
        <v>5637248</v>
      </c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</row>
    <row r="467" spans="1:46" ht="45" customHeight="1">
      <c r="A467" s="12" t="s">
        <v>4225</v>
      </c>
      <c r="B467" s="13" t="s">
        <v>4226</v>
      </c>
      <c r="C467" s="14" t="s">
        <v>4227</v>
      </c>
      <c r="D467" s="15" t="s">
        <v>4228</v>
      </c>
      <c r="E467" s="15" t="s">
        <v>4229</v>
      </c>
      <c r="F467" s="15" t="s">
        <v>181</v>
      </c>
      <c r="G467" s="15" t="s">
        <v>4230</v>
      </c>
      <c r="H467" s="15" t="s">
        <v>4231</v>
      </c>
      <c r="I467" s="15" t="s">
        <v>38</v>
      </c>
      <c r="J467" s="15" t="s">
        <v>4230</v>
      </c>
      <c r="K467" s="15" t="s">
        <v>4231</v>
      </c>
      <c r="L467" s="15" t="s">
        <v>38</v>
      </c>
      <c r="M467" s="46" t="s">
        <v>4232</v>
      </c>
      <c r="N467" s="13" t="s">
        <v>4233</v>
      </c>
      <c r="O467" s="13"/>
      <c r="P467" s="15" t="s">
        <v>94</v>
      </c>
      <c r="Q467" s="17" t="s">
        <v>4234</v>
      </c>
      <c r="R467" s="18">
        <v>39</v>
      </c>
      <c r="S467" s="19">
        <f t="shared" si="5"/>
        <v>6318</v>
      </c>
      <c r="T467" s="12" t="s">
        <v>46</v>
      </c>
      <c r="U467" s="15"/>
      <c r="V467" s="19">
        <v>44610</v>
      </c>
      <c r="W467" s="15" t="s">
        <v>71</v>
      </c>
      <c r="X467" s="13">
        <v>1010903</v>
      </c>
      <c r="Y467" s="20">
        <v>3088295</v>
      </c>
      <c r="Z467" s="13">
        <v>3879940</v>
      </c>
      <c r="AA467" s="13">
        <v>4745130</v>
      </c>
      <c r="AB467" s="13"/>
      <c r="AC467" s="15">
        <v>5606469</v>
      </c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</row>
    <row r="468" spans="1:46" ht="45" customHeight="1">
      <c r="A468" s="21" t="s">
        <v>4235</v>
      </c>
      <c r="B468" s="22" t="s">
        <v>4236</v>
      </c>
      <c r="C468" s="23" t="s">
        <v>4237</v>
      </c>
      <c r="D468" s="24" t="s">
        <v>4238</v>
      </c>
      <c r="E468" s="24" t="s">
        <v>3298</v>
      </c>
      <c r="F468" s="24" t="s">
        <v>776</v>
      </c>
      <c r="G468" s="24" t="s">
        <v>4239</v>
      </c>
      <c r="H468" s="24" t="s">
        <v>2558</v>
      </c>
      <c r="I468" s="24" t="s">
        <v>80</v>
      </c>
      <c r="J468" s="24" t="s">
        <v>4239</v>
      </c>
      <c r="K468" s="24" t="s">
        <v>2558</v>
      </c>
      <c r="L468" s="24" t="s">
        <v>80</v>
      </c>
      <c r="M468" s="70" t="s">
        <v>4240</v>
      </c>
      <c r="N468" s="22" t="s">
        <v>4241</v>
      </c>
      <c r="O468" s="22"/>
      <c r="P468" s="24" t="s">
        <v>117</v>
      </c>
      <c r="Q468" s="28" t="s">
        <v>4242</v>
      </c>
      <c r="R468" s="29">
        <v>2040</v>
      </c>
      <c r="S468" s="30">
        <f t="shared" si="5"/>
        <v>330480</v>
      </c>
      <c r="T468" s="21" t="s">
        <v>96</v>
      </c>
      <c r="U468" s="24"/>
      <c r="V468" s="30">
        <v>368160</v>
      </c>
      <c r="W468" s="24" t="s">
        <v>71</v>
      </c>
      <c r="X468" s="22">
        <v>1096629</v>
      </c>
      <c r="Y468" s="31"/>
      <c r="Z468" s="22"/>
      <c r="AA468" s="22">
        <v>4753377</v>
      </c>
      <c r="AB468" s="22"/>
      <c r="AC468" s="24">
        <v>5620557</v>
      </c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</row>
    <row r="469" spans="1:46" ht="45" customHeight="1">
      <c r="A469" s="21" t="s">
        <v>4243</v>
      </c>
      <c r="B469" s="22" t="s">
        <v>4244</v>
      </c>
      <c r="C469" s="23" t="s">
        <v>4245</v>
      </c>
      <c r="D469" s="24" t="s">
        <v>4246</v>
      </c>
      <c r="E469" s="24" t="s">
        <v>4247</v>
      </c>
      <c r="F469" s="24" t="s">
        <v>3809</v>
      </c>
      <c r="G469" s="24" t="s">
        <v>4248</v>
      </c>
      <c r="H469" s="24" t="s">
        <v>52</v>
      </c>
      <c r="I469" s="24" t="s">
        <v>53</v>
      </c>
      <c r="J469" s="24" t="s">
        <v>4249</v>
      </c>
      <c r="K469" s="24" t="s">
        <v>4250</v>
      </c>
      <c r="L469" s="24" t="s">
        <v>41</v>
      </c>
      <c r="M469" s="43" t="s">
        <v>4251</v>
      </c>
      <c r="N469" s="22" t="s">
        <v>4252</v>
      </c>
      <c r="O469" s="22"/>
      <c r="P469" s="24" t="s">
        <v>94</v>
      </c>
      <c r="Q469" s="28" t="s">
        <v>4253</v>
      </c>
      <c r="R469" s="29">
        <v>1212</v>
      </c>
      <c r="S469" s="30">
        <f t="shared" si="5"/>
        <v>196344</v>
      </c>
      <c r="T469" s="21" t="s">
        <v>198</v>
      </c>
      <c r="U469" s="24"/>
      <c r="V469" s="30">
        <v>215940</v>
      </c>
      <c r="W469" s="45" t="s">
        <v>71</v>
      </c>
      <c r="X469" s="22"/>
      <c r="Y469" s="31">
        <v>3108123</v>
      </c>
      <c r="Z469" s="22">
        <v>3888263</v>
      </c>
      <c r="AA469" s="22">
        <v>4641420</v>
      </c>
      <c r="AB469" s="22"/>
      <c r="AC469" s="45">
        <v>5628208</v>
      </c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</row>
    <row r="470" spans="1:46" ht="45" customHeight="1">
      <c r="A470" s="40" t="s">
        <v>4254</v>
      </c>
      <c r="B470" s="33" t="s">
        <v>4255</v>
      </c>
      <c r="C470" s="34" t="s">
        <v>4256</v>
      </c>
      <c r="D470" s="35" t="s">
        <v>4257</v>
      </c>
      <c r="E470" s="35" t="s">
        <v>4258</v>
      </c>
      <c r="F470" s="35" t="s">
        <v>204</v>
      </c>
      <c r="G470" s="35" t="s">
        <v>4259</v>
      </c>
      <c r="H470" s="35"/>
      <c r="I470" s="35" t="s">
        <v>53</v>
      </c>
      <c r="J470" s="35" t="s">
        <v>4260</v>
      </c>
      <c r="K470" s="35"/>
      <c r="L470" s="35" t="s">
        <v>206</v>
      </c>
      <c r="M470" s="36" t="s">
        <v>4261</v>
      </c>
      <c r="N470" s="33">
        <v>4303045</v>
      </c>
      <c r="O470" s="33"/>
      <c r="P470" s="35" t="s">
        <v>855</v>
      </c>
      <c r="Q470" s="37" t="s">
        <v>4262</v>
      </c>
      <c r="R470" s="38">
        <v>13</v>
      </c>
      <c r="S470" s="39">
        <f t="shared" si="5"/>
        <v>2106</v>
      </c>
      <c r="T470" s="40" t="s">
        <v>46</v>
      </c>
      <c r="U470" s="35"/>
      <c r="V470" s="39">
        <v>44610</v>
      </c>
      <c r="W470" s="35"/>
      <c r="X470" s="33"/>
      <c r="Y470" s="41"/>
      <c r="Z470" s="33"/>
      <c r="AA470" s="33"/>
      <c r="AB470" s="33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</row>
    <row r="471" spans="1:46" ht="45" customHeight="1">
      <c r="A471" s="21" t="s">
        <v>4263</v>
      </c>
      <c r="B471" s="22" t="s">
        <v>4264</v>
      </c>
      <c r="C471" s="23" t="s">
        <v>4265</v>
      </c>
      <c r="D471" s="24" t="s">
        <v>4266</v>
      </c>
      <c r="E471" s="24" t="s">
        <v>1424</v>
      </c>
      <c r="F471" s="24" t="s">
        <v>966</v>
      </c>
      <c r="G471" s="24" t="s">
        <v>4267</v>
      </c>
      <c r="H471" s="24" t="s">
        <v>3079</v>
      </c>
      <c r="I471" s="24" t="s">
        <v>53</v>
      </c>
      <c r="J471" s="24" t="s">
        <v>4268</v>
      </c>
      <c r="K471" s="24"/>
      <c r="L471" s="24" t="s">
        <v>1058</v>
      </c>
      <c r="M471" s="59" t="s">
        <v>4269</v>
      </c>
      <c r="N471" s="22" t="s">
        <v>4270</v>
      </c>
      <c r="O471" s="22"/>
      <c r="P471" s="24" t="s">
        <v>44</v>
      </c>
      <c r="Q471" s="28" t="s">
        <v>4271</v>
      </c>
      <c r="R471" s="29">
        <v>647</v>
      </c>
      <c r="S471" s="30">
        <f t="shared" si="5"/>
        <v>104814</v>
      </c>
      <c r="T471" s="21" t="s">
        <v>252</v>
      </c>
      <c r="U471" s="24"/>
      <c r="V471" s="30">
        <v>123900</v>
      </c>
      <c r="W471" s="24" t="s">
        <v>71</v>
      </c>
      <c r="X471" s="22">
        <v>101882</v>
      </c>
      <c r="Y471" s="31">
        <v>3104766</v>
      </c>
      <c r="Z471" s="22"/>
      <c r="AA471" s="22">
        <v>4664889</v>
      </c>
      <c r="AB471" s="22"/>
      <c r="AC471" s="24">
        <v>5521898</v>
      </c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</row>
    <row r="472" spans="1:46" ht="45" customHeight="1">
      <c r="A472" s="12" t="s">
        <v>4272</v>
      </c>
      <c r="B472" s="13" t="s">
        <v>4273</v>
      </c>
      <c r="C472" s="66" t="s">
        <v>4274</v>
      </c>
      <c r="D472" s="15" t="s">
        <v>4275</v>
      </c>
      <c r="E472" s="15" t="s">
        <v>4276</v>
      </c>
      <c r="F472" s="15" t="s">
        <v>111</v>
      </c>
      <c r="G472" s="15" t="s">
        <v>4277</v>
      </c>
      <c r="H472" s="15" t="s">
        <v>457</v>
      </c>
      <c r="I472" s="15" t="s">
        <v>80</v>
      </c>
      <c r="J472" s="15" t="s">
        <v>4278</v>
      </c>
      <c r="K472" s="15" t="s">
        <v>2262</v>
      </c>
      <c r="L472" s="15" t="s">
        <v>80</v>
      </c>
      <c r="M472" s="46" t="s">
        <v>4279</v>
      </c>
      <c r="N472" s="13">
        <v>2614850595</v>
      </c>
      <c r="O472" s="13"/>
      <c r="P472" s="15" t="s">
        <v>94</v>
      </c>
      <c r="Q472" s="17" t="s">
        <v>4280</v>
      </c>
      <c r="R472" s="18">
        <v>30</v>
      </c>
      <c r="S472" s="19">
        <f t="shared" si="5"/>
        <v>4860</v>
      </c>
      <c r="T472" s="12" t="s">
        <v>46</v>
      </c>
      <c r="U472" s="15"/>
      <c r="V472" s="19">
        <v>44610</v>
      </c>
      <c r="W472" s="15" t="s">
        <v>71</v>
      </c>
      <c r="X472" s="13"/>
      <c r="Y472" s="20"/>
      <c r="Z472" s="13"/>
      <c r="AA472" s="13"/>
      <c r="AB472" s="13"/>
      <c r="AC472" s="15">
        <v>5560847</v>
      </c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</row>
    <row r="473" spans="1:46" ht="45" customHeight="1">
      <c r="A473" s="40" t="s">
        <v>4281</v>
      </c>
      <c r="B473" s="33" t="s">
        <v>4282</v>
      </c>
      <c r="C473" s="34" t="s">
        <v>4283</v>
      </c>
      <c r="D473" s="35" t="s">
        <v>4284</v>
      </c>
      <c r="E473" s="35" t="s">
        <v>4285</v>
      </c>
      <c r="F473" s="35" t="s">
        <v>2668</v>
      </c>
      <c r="G473" s="35" t="s">
        <v>4286</v>
      </c>
      <c r="H473" s="35" t="s">
        <v>671</v>
      </c>
      <c r="I473" s="35" t="s">
        <v>149</v>
      </c>
      <c r="J473" s="35" t="s">
        <v>4287</v>
      </c>
      <c r="K473" s="35" t="s">
        <v>114</v>
      </c>
      <c r="L473" s="35" t="s">
        <v>115</v>
      </c>
      <c r="M473" s="36" t="s">
        <v>4288</v>
      </c>
      <c r="N473" s="33">
        <v>4327299</v>
      </c>
      <c r="O473" s="33"/>
      <c r="P473" s="35" t="s">
        <v>855</v>
      </c>
      <c r="Q473" s="37" t="s">
        <v>4289</v>
      </c>
      <c r="R473" s="38">
        <v>73</v>
      </c>
      <c r="S473" s="39">
        <f t="shared" si="5"/>
        <v>11826</v>
      </c>
      <c r="T473" s="40" t="s">
        <v>46</v>
      </c>
      <c r="U473" s="35"/>
      <c r="V473" s="39">
        <v>44610</v>
      </c>
      <c r="W473" s="35"/>
      <c r="X473" s="33"/>
      <c r="Y473" s="41"/>
      <c r="Z473" s="33"/>
      <c r="AA473" s="33"/>
      <c r="AB473" s="33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</row>
    <row r="474" spans="1:46" ht="45" customHeight="1">
      <c r="A474" s="40" t="s">
        <v>4290</v>
      </c>
      <c r="B474" s="33" t="s">
        <v>4291</v>
      </c>
      <c r="C474" s="34" t="s">
        <v>4292</v>
      </c>
      <c r="D474" s="35" t="s">
        <v>4293</v>
      </c>
      <c r="E474" s="35" t="s">
        <v>4294</v>
      </c>
      <c r="F474" s="35" t="s">
        <v>111</v>
      </c>
      <c r="G474" s="35" t="s">
        <v>4295</v>
      </c>
      <c r="H474" s="35" t="s">
        <v>4034</v>
      </c>
      <c r="I474" s="35" t="s">
        <v>149</v>
      </c>
      <c r="J474" s="35" t="s">
        <v>4295</v>
      </c>
      <c r="K474" s="35" t="s">
        <v>4034</v>
      </c>
      <c r="L474" s="35" t="s">
        <v>149</v>
      </c>
      <c r="M474" s="36" t="s">
        <v>4296</v>
      </c>
      <c r="N474" s="33" t="s">
        <v>4297</v>
      </c>
      <c r="O474" s="33"/>
      <c r="P474" s="35" t="s">
        <v>94</v>
      </c>
      <c r="Q474" s="37" t="s">
        <v>4298</v>
      </c>
      <c r="R474" s="38">
        <v>23</v>
      </c>
      <c r="S474" s="39">
        <f t="shared" si="5"/>
        <v>3726</v>
      </c>
      <c r="T474" s="40" t="s">
        <v>46</v>
      </c>
      <c r="U474" s="35"/>
      <c r="V474" s="39">
        <v>44610</v>
      </c>
      <c r="W474" s="35"/>
      <c r="X474" s="33"/>
      <c r="Y474" s="41"/>
      <c r="Z474" s="33"/>
      <c r="AA474" s="33"/>
      <c r="AB474" s="33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</row>
    <row r="475" spans="1:46" ht="45" customHeight="1">
      <c r="A475" s="12" t="s">
        <v>4299</v>
      </c>
      <c r="B475" s="13" t="s">
        <v>4300</v>
      </c>
      <c r="C475" s="14" t="s">
        <v>4301</v>
      </c>
      <c r="D475" s="15" t="s">
        <v>4302</v>
      </c>
      <c r="E475" s="15" t="s">
        <v>524</v>
      </c>
      <c r="F475" s="15" t="s">
        <v>181</v>
      </c>
      <c r="G475" s="15" t="s">
        <v>4303</v>
      </c>
      <c r="H475" s="15" t="s">
        <v>1212</v>
      </c>
      <c r="I475" s="15" t="s">
        <v>80</v>
      </c>
      <c r="J475" s="15" t="s">
        <v>4303</v>
      </c>
      <c r="K475" s="15" t="s">
        <v>1212</v>
      </c>
      <c r="L475" s="15" t="s">
        <v>80</v>
      </c>
      <c r="M475" s="46" t="s">
        <v>4304</v>
      </c>
      <c r="N475" s="13" t="s">
        <v>4305</v>
      </c>
      <c r="O475" s="13"/>
      <c r="P475" s="15" t="s">
        <v>44</v>
      </c>
      <c r="Q475" s="17" t="s">
        <v>4306</v>
      </c>
      <c r="R475" s="18">
        <v>50.7</v>
      </c>
      <c r="S475" s="19">
        <f t="shared" si="5"/>
        <v>8213.4</v>
      </c>
      <c r="T475" s="12" t="s">
        <v>46</v>
      </c>
      <c r="U475" s="15"/>
      <c r="V475" s="19">
        <v>44610</v>
      </c>
      <c r="W475" s="15" t="s">
        <v>71</v>
      </c>
      <c r="X475" s="13"/>
      <c r="Y475" s="20"/>
      <c r="Z475" s="13">
        <v>3897734</v>
      </c>
      <c r="AA475" s="13"/>
      <c r="AB475" s="13"/>
      <c r="AC475" s="15">
        <v>5592763</v>
      </c>
      <c r="AD475" s="49">
        <v>6478424</v>
      </c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</row>
    <row r="476" spans="1:46" ht="45" customHeight="1">
      <c r="A476" s="12" t="s">
        <v>4307</v>
      </c>
      <c r="B476" s="13" t="s">
        <v>4308</v>
      </c>
      <c r="C476" s="14" t="s">
        <v>4309</v>
      </c>
      <c r="D476" s="15" t="s">
        <v>4310</v>
      </c>
      <c r="E476" s="15" t="s">
        <v>4311</v>
      </c>
      <c r="F476" s="15" t="s">
        <v>402</v>
      </c>
      <c r="G476" s="15" t="s">
        <v>4312</v>
      </c>
      <c r="H476" s="15" t="s">
        <v>52</v>
      </c>
      <c r="I476" s="15" t="s">
        <v>53</v>
      </c>
      <c r="J476" s="15" t="s">
        <v>4313</v>
      </c>
      <c r="K476" s="15"/>
      <c r="L476" s="15" t="s">
        <v>1058</v>
      </c>
      <c r="M476" s="16" t="s">
        <v>4314</v>
      </c>
      <c r="N476" s="13" t="s">
        <v>4315</v>
      </c>
      <c r="O476" s="73">
        <v>46645</v>
      </c>
      <c r="P476" s="15" t="s">
        <v>4316</v>
      </c>
      <c r="Q476" s="17" t="s">
        <v>4317</v>
      </c>
      <c r="R476" s="18">
        <v>110</v>
      </c>
      <c r="S476" s="19">
        <f t="shared" si="5"/>
        <v>17820</v>
      </c>
      <c r="T476" s="12" t="s">
        <v>46</v>
      </c>
      <c r="U476" s="15"/>
      <c r="V476" s="19">
        <f>44610/2</f>
        <v>22305</v>
      </c>
      <c r="W476" s="15" t="s">
        <v>71</v>
      </c>
      <c r="X476" s="13">
        <v>1032399</v>
      </c>
      <c r="Y476" s="20">
        <v>3111632</v>
      </c>
      <c r="Z476" s="13">
        <v>3854977</v>
      </c>
      <c r="AA476" s="13"/>
      <c r="AB476" s="13"/>
      <c r="AC476" s="15">
        <v>5549866</v>
      </c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</row>
    <row r="477" spans="1:46" ht="45" customHeight="1">
      <c r="A477" s="12" t="s">
        <v>4318</v>
      </c>
      <c r="B477" s="13" t="s">
        <v>4319</v>
      </c>
      <c r="C477" s="14" t="s">
        <v>4320</v>
      </c>
      <c r="D477" s="15" t="s">
        <v>4321</v>
      </c>
      <c r="E477" s="15" t="s">
        <v>4311</v>
      </c>
      <c r="F477" s="15" t="s">
        <v>402</v>
      </c>
      <c r="G477" s="15" t="s">
        <v>4322</v>
      </c>
      <c r="H477" s="15" t="s">
        <v>544</v>
      </c>
      <c r="I477" s="15" t="s">
        <v>38</v>
      </c>
      <c r="J477" s="15" t="s">
        <v>4322</v>
      </c>
      <c r="K477" s="15" t="s">
        <v>544</v>
      </c>
      <c r="L477" s="15" t="s">
        <v>38</v>
      </c>
      <c r="M477" s="16" t="s">
        <v>4323</v>
      </c>
      <c r="N477" s="13" t="s">
        <v>4324</v>
      </c>
      <c r="O477" s="73">
        <v>46645</v>
      </c>
      <c r="P477" s="15" t="s">
        <v>4316</v>
      </c>
      <c r="Q477" s="17" t="s">
        <v>4325</v>
      </c>
      <c r="R477" s="18">
        <v>118</v>
      </c>
      <c r="S477" s="19">
        <f t="shared" si="5"/>
        <v>19116</v>
      </c>
      <c r="T477" s="12" t="s">
        <v>46</v>
      </c>
      <c r="U477" s="15"/>
      <c r="V477" s="19">
        <f>44610</f>
        <v>44610</v>
      </c>
      <c r="W477" s="15" t="s">
        <v>71</v>
      </c>
      <c r="X477" s="13">
        <v>1031397</v>
      </c>
      <c r="Y477" s="20">
        <v>3113642</v>
      </c>
      <c r="Z477" s="13">
        <v>3853736</v>
      </c>
      <c r="AA477" s="13"/>
      <c r="AB477" s="13"/>
      <c r="AC477" s="15">
        <v>5580827</v>
      </c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</row>
    <row r="478" spans="1:46" ht="45" customHeight="1">
      <c r="A478" s="12" t="s">
        <v>4326</v>
      </c>
      <c r="B478" s="13" t="s">
        <v>4327</v>
      </c>
      <c r="C478" s="14" t="s">
        <v>4328</v>
      </c>
      <c r="D478" s="15" t="s">
        <v>4321</v>
      </c>
      <c r="E478" s="15" t="s">
        <v>4311</v>
      </c>
      <c r="F478" s="15" t="s">
        <v>402</v>
      </c>
      <c r="G478" s="15" t="s">
        <v>4313</v>
      </c>
      <c r="H478" s="15"/>
      <c r="I478" s="15" t="s">
        <v>1058</v>
      </c>
      <c r="J478" s="15" t="s">
        <v>4313</v>
      </c>
      <c r="K478" s="15"/>
      <c r="L478" s="15" t="s">
        <v>1058</v>
      </c>
      <c r="M478" s="16" t="s">
        <v>4329</v>
      </c>
      <c r="N478" s="13" t="s">
        <v>4324</v>
      </c>
      <c r="O478" s="73">
        <v>46645</v>
      </c>
      <c r="P478" s="15" t="s">
        <v>4330</v>
      </c>
      <c r="Q478" s="17" t="s">
        <v>4331</v>
      </c>
      <c r="R478" s="18">
        <v>112</v>
      </c>
      <c r="S478" s="19">
        <f t="shared" si="5"/>
        <v>18144</v>
      </c>
      <c r="T478" s="12" t="s">
        <v>46</v>
      </c>
      <c r="U478" s="15"/>
      <c r="V478" s="19">
        <f>44610/2</f>
        <v>22305</v>
      </c>
      <c r="W478" s="15" t="s">
        <v>71</v>
      </c>
      <c r="X478" s="13">
        <v>1032238</v>
      </c>
      <c r="Y478" s="20">
        <v>3109532</v>
      </c>
      <c r="Z478" s="13">
        <v>3851797</v>
      </c>
      <c r="AA478" s="13"/>
      <c r="AB478" s="13"/>
      <c r="AC478" s="15">
        <v>5545139</v>
      </c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</row>
    <row r="479" spans="1:46" ht="45" customHeight="1">
      <c r="A479" s="21" t="s">
        <v>4332</v>
      </c>
      <c r="B479" s="22" t="s">
        <v>4333</v>
      </c>
      <c r="C479" s="23" t="s">
        <v>4334</v>
      </c>
      <c r="D479" s="24" t="s">
        <v>4335</v>
      </c>
      <c r="E479" s="24" t="s">
        <v>4113</v>
      </c>
      <c r="F479" s="24" t="s">
        <v>776</v>
      </c>
      <c r="G479" s="24" t="s">
        <v>4336</v>
      </c>
      <c r="H479" s="24" t="s">
        <v>3902</v>
      </c>
      <c r="I479" s="24" t="s">
        <v>80</v>
      </c>
      <c r="J479" s="24" t="s">
        <v>4336</v>
      </c>
      <c r="K479" s="24" t="s">
        <v>3902</v>
      </c>
      <c r="L479" s="24" t="s">
        <v>80</v>
      </c>
      <c r="M479" s="70" t="s">
        <v>4337</v>
      </c>
      <c r="N479" s="22" t="s">
        <v>4338</v>
      </c>
      <c r="O479" s="71">
        <v>46504</v>
      </c>
      <c r="P479" s="24" t="s">
        <v>408</v>
      </c>
      <c r="Q479" s="28" t="s">
        <v>4339</v>
      </c>
      <c r="R479" s="29">
        <v>2715</v>
      </c>
      <c r="S479" s="30">
        <f t="shared" si="5"/>
        <v>439830</v>
      </c>
      <c r="T479" s="21" t="s">
        <v>96</v>
      </c>
      <c r="U479" s="24"/>
      <c r="V479" s="44">
        <v>184080</v>
      </c>
      <c r="W479" s="45" t="s">
        <v>71</v>
      </c>
      <c r="X479" s="22">
        <v>1026794</v>
      </c>
      <c r="Y479" s="31">
        <v>3085934</v>
      </c>
      <c r="Z479" s="22">
        <v>3829061</v>
      </c>
      <c r="AA479" s="22">
        <v>4735111</v>
      </c>
      <c r="AB479" s="22"/>
      <c r="AC479" s="45">
        <v>5631554</v>
      </c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</row>
    <row r="480" spans="1:46" ht="45" customHeight="1">
      <c r="A480" s="12" t="s">
        <v>4340</v>
      </c>
      <c r="B480" s="13" t="s">
        <v>4341</v>
      </c>
      <c r="C480" s="14" t="s">
        <v>4342</v>
      </c>
      <c r="D480" s="15" t="s">
        <v>4343</v>
      </c>
      <c r="E480" s="15" t="s">
        <v>4344</v>
      </c>
      <c r="F480" s="15" t="s">
        <v>181</v>
      </c>
      <c r="G480" s="15" t="s">
        <v>4345</v>
      </c>
      <c r="H480" s="15" t="s">
        <v>331</v>
      </c>
      <c r="I480" s="15" t="s">
        <v>321</v>
      </c>
      <c r="J480" s="15" t="s">
        <v>4346</v>
      </c>
      <c r="K480" s="15" t="s">
        <v>331</v>
      </c>
      <c r="L480" s="15" t="s">
        <v>321</v>
      </c>
      <c r="M480" s="46" t="s">
        <v>4347</v>
      </c>
      <c r="N480" s="13" t="s">
        <v>4348</v>
      </c>
      <c r="O480" s="13"/>
      <c r="P480" s="15" t="s">
        <v>94</v>
      </c>
      <c r="Q480" s="17" t="s">
        <v>4349</v>
      </c>
      <c r="R480" s="18">
        <v>561</v>
      </c>
      <c r="S480" s="19">
        <f t="shared" si="5"/>
        <v>90882</v>
      </c>
      <c r="T480" s="12" t="s">
        <v>46</v>
      </c>
      <c r="U480" s="15"/>
      <c r="V480" s="19">
        <v>44610</v>
      </c>
      <c r="W480" s="15" t="s">
        <v>47</v>
      </c>
      <c r="X480" s="13">
        <v>1009757</v>
      </c>
      <c r="Y480" s="20"/>
      <c r="Z480" s="13">
        <v>3835386</v>
      </c>
      <c r="AA480" s="13">
        <v>4738545</v>
      </c>
      <c r="AB480" s="13"/>
      <c r="AC480" s="15">
        <v>5548650</v>
      </c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</row>
    <row r="481" spans="1:46" ht="45" customHeight="1">
      <c r="A481" s="12" t="s">
        <v>4350</v>
      </c>
      <c r="B481" s="13" t="s">
        <v>4351</v>
      </c>
      <c r="C481" s="14" t="s">
        <v>4352</v>
      </c>
      <c r="D481" s="15" t="s">
        <v>4353</v>
      </c>
      <c r="E481" s="15" t="s">
        <v>247</v>
      </c>
      <c r="F481" s="15" t="s">
        <v>181</v>
      </c>
      <c r="G481" s="15" t="s">
        <v>4354</v>
      </c>
      <c r="H481" s="15" t="s">
        <v>331</v>
      </c>
      <c r="I481" s="15" t="s">
        <v>321</v>
      </c>
      <c r="J481" s="15" t="s">
        <v>4354</v>
      </c>
      <c r="K481" s="15" t="s">
        <v>331</v>
      </c>
      <c r="L481" s="15" t="s">
        <v>321</v>
      </c>
      <c r="M481" s="46" t="s">
        <v>4347</v>
      </c>
      <c r="N481" s="13" t="s">
        <v>4355</v>
      </c>
      <c r="O481" s="13"/>
      <c r="P481" s="15" t="s">
        <v>94</v>
      </c>
      <c r="Q481" s="17" t="s">
        <v>4356</v>
      </c>
      <c r="R481" s="18">
        <v>527</v>
      </c>
      <c r="S481" s="19">
        <f t="shared" si="5"/>
        <v>85374</v>
      </c>
      <c r="T481" s="12" t="s">
        <v>46</v>
      </c>
      <c r="U481" s="15"/>
      <c r="V481" s="19">
        <v>44610</v>
      </c>
      <c r="W481" s="15" t="s">
        <v>71</v>
      </c>
      <c r="X481" s="13">
        <v>1140047</v>
      </c>
      <c r="Y481" s="20">
        <v>3121885</v>
      </c>
      <c r="Z481" s="13">
        <v>3887777</v>
      </c>
      <c r="AA481" s="13">
        <v>4740934</v>
      </c>
      <c r="AB481" s="13"/>
      <c r="AC481" s="15">
        <v>5585369</v>
      </c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</row>
    <row r="482" spans="1:46" ht="45" customHeight="1">
      <c r="A482" s="21" t="s">
        <v>4357</v>
      </c>
      <c r="B482" s="22" t="s">
        <v>4358</v>
      </c>
      <c r="C482" s="23" t="s">
        <v>4359</v>
      </c>
      <c r="D482" s="24" t="s">
        <v>4360</v>
      </c>
      <c r="E482" s="24" t="s">
        <v>4361</v>
      </c>
      <c r="F482" s="24" t="s">
        <v>77</v>
      </c>
      <c r="G482" s="24" t="s">
        <v>4362</v>
      </c>
      <c r="H482" s="24"/>
      <c r="I482" s="24" t="s">
        <v>38</v>
      </c>
      <c r="J482" s="24" t="s">
        <v>4362</v>
      </c>
      <c r="K482" s="24"/>
      <c r="L482" s="24" t="s">
        <v>38</v>
      </c>
      <c r="M482" s="43" t="s">
        <v>4363</v>
      </c>
      <c r="N482" s="22" t="s">
        <v>4364</v>
      </c>
      <c r="O482" s="22"/>
      <c r="P482" s="24" t="s">
        <v>117</v>
      </c>
      <c r="Q482" s="28" t="s">
        <v>4365</v>
      </c>
      <c r="R482" s="29">
        <v>940</v>
      </c>
      <c r="S482" s="30">
        <f t="shared" si="5"/>
        <v>152280</v>
      </c>
      <c r="T482" s="21" t="s">
        <v>252</v>
      </c>
      <c r="U482" s="24"/>
      <c r="V482" s="30">
        <v>123900</v>
      </c>
      <c r="W482" s="45" t="s">
        <v>47</v>
      </c>
      <c r="X482" s="22"/>
      <c r="Y482" s="31"/>
      <c r="Z482" s="22"/>
      <c r="AA482" s="22">
        <v>4636921</v>
      </c>
      <c r="AB482" s="22"/>
      <c r="AC482" s="45">
        <v>5635003</v>
      </c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</row>
    <row r="483" spans="1:46" ht="45" customHeight="1">
      <c r="A483" s="12" t="s">
        <v>4366</v>
      </c>
      <c r="B483" s="13" t="s">
        <v>4367</v>
      </c>
      <c r="C483" s="14" t="s">
        <v>4368</v>
      </c>
      <c r="D483" s="15" t="s">
        <v>4369</v>
      </c>
      <c r="E483" s="15" t="s">
        <v>4370</v>
      </c>
      <c r="F483" s="15" t="s">
        <v>204</v>
      </c>
      <c r="G483" s="49" t="s">
        <v>4371</v>
      </c>
      <c r="H483" s="15"/>
      <c r="I483" s="49" t="s">
        <v>80</v>
      </c>
      <c r="J483" s="49" t="s">
        <v>4371</v>
      </c>
      <c r="K483" s="15"/>
      <c r="L483" s="49" t="s">
        <v>80</v>
      </c>
      <c r="M483" s="145" t="s">
        <v>4372</v>
      </c>
      <c r="N483" s="13" t="s">
        <v>4373</v>
      </c>
      <c r="O483" s="73"/>
      <c r="P483" s="15" t="s">
        <v>4374</v>
      </c>
      <c r="Q483" s="17" t="s">
        <v>4375</v>
      </c>
      <c r="R483" s="18">
        <v>436</v>
      </c>
      <c r="S483" s="19">
        <f t="shared" si="5"/>
        <v>70632</v>
      </c>
      <c r="T483" s="12" t="s">
        <v>46</v>
      </c>
      <c r="U483" s="15"/>
      <c r="V483" s="19">
        <v>44610</v>
      </c>
      <c r="W483" s="15"/>
      <c r="X483" s="13"/>
      <c r="Y483" s="20"/>
      <c r="Z483" s="13">
        <v>3788752</v>
      </c>
      <c r="AA483" s="13">
        <v>4681501</v>
      </c>
      <c r="AB483" s="13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</row>
    <row r="484" spans="1:46" ht="45" customHeight="1">
      <c r="A484" s="50" t="s">
        <v>4376</v>
      </c>
      <c r="B484" s="51" t="s">
        <v>4377</v>
      </c>
      <c r="C484" s="52" t="s">
        <v>4378</v>
      </c>
      <c r="D484" s="53" t="s">
        <v>4379</v>
      </c>
      <c r="E484" s="53" t="s">
        <v>4380</v>
      </c>
      <c r="F484" s="53" t="s">
        <v>77</v>
      </c>
      <c r="G484" s="53" t="s">
        <v>1189</v>
      </c>
      <c r="H484" s="53" t="s">
        <v>1190</v>
      </c>
      <c r="I484" s="53" t="s">
        <v>38</v>
      </c>
      <c r="J484" s="53" t="s">
        <v>4381</v>
      </c>
      <c r="K484" s="53"/>
      <c r="L484" s="53" t="s">
        <v>1058</v>
      </c>
      <c r="M484" s="54" t="s">
        <v>4382</v>
      </c>
      <c r="N484" s="51" t="s">
        <v>1289</v>
      </c>
      <c r="O484" s="51"/>
      <c r="P484" s="53" t="s">
        <v>44</v>
      </c>
      <c r="Q484" s="55" t="s">
        <v>4383</v>
      </c>
      <c r="R484" s="56">
        <v>1208</v>
      </c>
      <c r="S484" s="57">
        <f t="shared" si="5"/>
        <v>195696</v>
      </c>
      <c r="T484" s="50" t="s">
        <v>198</v>
      </c>
      <c r="U484" s="53"/>
      <c r="V484" s="57">
        <v>215940</v>
      </c>
      <c r="W484" s="53"/>
      <c r="X484" s="51">
        <v>1132542</v>
      </c>
      <c r="Y484" s="58">
        <v>3118425</v>
      </c>
      <c r="Z484" s="51"/>
      <c r="AA484" s="51"/>
      <c r="AB484" s="51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</row>
    <row r="485" spans="1:46" ht="45" customHeight="1">
      <c r="A485" s="21" t="s">
        <v>4384</v>
      </c>
      <c r="B485" s="22" t="s">
        <v>4385</v>
      </c>
      <c r="C485" s="23" t="s">
        <v>4386</v>
      </c>
      <c r="D485" s="24" t="s">
        <v>4379</v>
      </c>
      <c r="E485" s="24" t="s">
        <v>4380</v>
      </c>
      <c r="F485" s="24" t="s">
        <v>77</v>
      </c>
      <c r="G485" s="24" t="s">
        <v>1189</v>
      </c>
      <c r="H485" s="24" t="s">
        <v>1190</v>
      </c>
      <c r="I485" s="24" t="s">
        <v>38</v>
      </c>
      <c r="J485" s="24" t="s">
        <v>4387</v>
      </c>
      <c r="K485" s="24" t="s">
        <v>4388</v>
      </c>
      <c r="L485" s="24" t="s">
        <v>1058</v>
      </c>
      <c r="M485" s="25" t="s">
        <v>4389</v>
      </c>
      <c r="N485" s="22" t="s">
        <v>1289</v>
      </c>
      <c r="O485" s="22"/>
      <c r="P485" s="24" t="s">
        <v>44</v>
      </c>
      <c r="Q485" s="28" t="s">
        <v>4390</v>
      </c>
      <c r="R485" s="29">
        <v>1148</v>
      </c>
      <c r="S485" s="30">
        <f t="shared" si="5"/>
        <v>185976</v>
      </c>
      <c r="T485" s="21" t="s">
        <v>198</v>
      </c>
      <c r="U485" s="24"/>
      <c r="V485" s="30">
        <v>215940</v>
      </c>
      <c r="W485" s="24"/>
      <c r="X485" s="22">
        <v>1132474</v>
      </c>
      <c r="Y485" s="31">
        <v>3118422</v>
      </c>
      <c r="Z485" s="22"/>
      <c r="AA485" s="22"/>
      <c r="AB485" s="22">
        <v>4902347</v>
      </c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</row>
    <row r="486" spans="1:46" ht="45" customHeight="1">
      <c r="A486" s="21" t="s">
        <v>4391</v>
      </c>
      <c r="B486" s="22" t="s">
        <v>4392</v>
      </c>
      <c r="C486" s="23" t="s">
        <v>4393</v>
      </c>
      <c r="D486" s="24" t="s">
        <v>4394</v>
      </c>
      <c r="E486" s="24" t="s">
        <v>4395</v>
      </c>
      <c r="F486" s="24" t="s">
        <v>4396</v>
      </c>
      <c r="G486" s="24" t="s">
        <v>4397</v>
      </c>
      <c r="H486" s="24" t="s">
        <v>4398</v>
      </c>
      <c r="I486" s="24" t="s">
        <v>80</v>
      </c>
      <c r="J486" s="24" t="s">
        <v>4397</v>
      </c>
      <c r="K486" s="24" t="s">
        <v>4398</v>
      </c>
      <c r="L486" s="24" t="s">
        <v>80</v>
      </c>
      <c r="M486" s="25" t="s">
        <v>4399</v>
      </c>
      <c r="N486" s="94" t="s">
        <v>4400</v>
      </c>
      <c r="O486" s="26">
        <v>46421</v>
      </c>
      <c r="P486" s="24" t="s">
        <v>4401</v>
      </c>
      <c r="Q486" s="28" t="s">
        <v>4402</v>
      </c>
      <c r="R486" s="29">
        <v>1125</v>
      </c>
      <c r="S486" s="30">
        <f t="shared" si="5"/>
        <v>182250</v>
      </c>
      <c r="T486" s="21" t="s">
        <v>198</v>
      </c>
      <c r="U486" s="24"/>
      <c r="V486" s="44">
        <v>107970</v>
      </c>
      <c r="W486" s="24" t="s">
        <v>71</v>
      </c>
      <c r="X486" s="22">
        <v>1135436</v>
      </c>
      <c r="Y486" s="31">
        <v>3109258</v>
      </c>
      <c r="Z486" s="22">
        <v>38576774</v>
      </c>
      <c r="AA486" s="22">
        <v>4728251</v>
      </c>
      <c r="AB486" s="22"/>
      <c r="AC486" s="24">
        <v>5556830</v>
      </c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</row>
    <row r="487" spans="1:46" ht="45" customHeight="1">
      <c r="A487" s="21" t="s">
        <v>4403</v>
      </c>
      <c r="B487" s="22" t="s">
        <v>4404</v>
      </c>
      <c r="C487" s="23" t="s">
        <v>4405</v>
      </c>
      <c r="D487" s="24" t="s">
        <v>4406</v>
      </c>
      <c r="E487" s="24" t="s">
        <v>4407</v>
      </c>
      <c r="F487" s="24" t="s">
        <v>158</v>
      </c>
      <c r="G487" s="24" t="s">
        <v>4408</v>
      </c>
      <c r="H487" s="24"/>
      <c r="I487" s="24" t="s">
        <v>80</v>
      </c>
      <c r="J487" s="24" t="s">
        <v>4409</v>
      </c>
      <c r="K487" s="24" t="s">
        <v>2334</v>
      </c>
      <c r="L487" s="24" t="s">
        <v>2325</v>
      </c>
      <c r="M487" s="76" t="s">
        <v>4410</v>
      </c>
      <c r="N487" s="22" t="s">
        <v>4411</v>
      </c>
      <c r="O487" s="22"/>
      <c r="P487" s="24" t="s">
        <v>1245</v>
      </c>
      <c r="Q487" s="28" t="s">
        <v>4412</v>
      </c>
      <c r="R487" s="29">
        <v>25040.6</v>
      </c>
      <c r="S487" s="30">
        <f t="shared" si="5"/>
        <v>4056577.1999999997</v>
      </c>
      <c r="T487" s="21" t="s">
        <v>70</v>
      </c>
      <c r="U487" s="24"/>
      <c r="V487" s="30">
        <f>S487</f>
        <v>4056577.1999999997</v>
      </c>
      <c r="W487" s="24" t="s">
        <v>71</v>
      </c>
      <c r="X487" s="22"/>
      <c r="Y487" s="22">
        <v>3106053</v>
      </c>
      <c r="Z487" s="22">
        <v>3795865</v>
      </c>
      <c r="AA487" s="22">
        <v>4686069</v>
      </c>
      <c r="AB487" s="22"/>
      <c r="AC487" s="24">
        <v>5560784</v>
      </c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</row>
    <row r="488" spans="1:46" ht="45" customHeight="1">
      <c r="A488" s="50" t="s">
        <v>4413</v>
      </c>
      <c r="B488" s="51" t="s">
        <v>4414</v>
      </c>
      <c r="C488" s="95" t="s">
        <v>4415</v>
      </c>
      <c r="D488" s="53" t="s">
        <v>4416</v>
      </c>
      <c r="E488" s="53" t="s">
        <v>4417</v>
      </c>
      <c r="F488" s="53" t="s">
        <v>204</v>
      </c>
      <c r="G488" s="53" t="s">
        <v>4418</v>
      </c>
      <c r="H488" s="53"/>
      <c r="I488" s="53" t="s">
        <v>149</v>
      </c>
      <c r="J488" s="53" t="s">
        <v>4419</v>
      </c>
      <c r="K488" s="53"/>
      <c r="L488" s="53" t="s">
        <v>38</v>
      </c>
      <c r="M488" s="54" t="s">
        <v>4420</v>
      </c>
      <c r="N488" s="51" t="s">
        <v>4421</v>
      </c>
      <c r="O488" s="51"/>
      <c r="P488" s="53" t="s">
        <v>117</v>
      </c>
      <c r="Q488" s="55" t="s">
        <v>4422</v>
      </c>
      <c r="R488" s="56">
        <v>63</v>
      </c>
      <c r="S488" s="57">
        <f t="shared" si="5"/>
        <v>10206</v>
      </c>
      <c r="T488" s="50" t="s">
        <v>46</v>
      </c>
      <c r="U488" s="53"/>
      <c r="V488" s="57">
        <v>44610</v>
      </c>
      <c r="W488" s="53"/>
      <c r="X488" s="51"/>
      <c r="Y488" s="58"/>
      <c r="Z488" s="51"/>
      <c r="AA488" s="51"/>
      <c r="AB488" s="51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</row>
    <row r="489" spans="1:46" ht="45" customHeight="1">
      <c r="A489" s="12" t="s">
        <v>4423</v>
      </c>
      <c r="B489" s="13" t="s">
        <v>4424</v>
      </c>
      <c r="C489" s="14" t="s">
        <v>4425</v>
      </c>
      <c r="D489" s="15" t="s">
        <v>4426</v>
      </c>
      <c r="E489" s="15" t="s">
        <v>4427</v>
      </c>
      <c r="F489" s="15" t="s">
        <v>181</v>
      </c>
      <c r="G489" s="15" t="s">
        <v>4428</v>
      </c>
      <c r="H489" s="15" t="s">
        <v>4429</v>
      </c>
      <c r="I489" s="15" t="s">
        <v>332</v>
      </c>
      <c r="J489" s="15" t="s">
        <v>4428</v>
      </c>
      <c r="K489" s="15" t="s">
        <v>4429</v>
      </c>
      <c r="L489" s="15" t="s">
        <v>332</v>
      </c>
      <c r="M489" s="46" t="s">
        <v>4430</v>
      </c>
      <c r="N489" s="13" t="s">
        <v>4431</v>
      </c>
      <c r="O489" s="13"/>
      <c r="P489" s="15" t="s">
        <v>94</v>
      </c>
      <c r="Q489" s="17" t="s">
        <v>4432</v>
      </c>
      <c r="R489" s="18">
        <v>74</v>
      </c>
      <c r="S489" s="19">
        <f t="shared" si="5"/>
        <v>11988</v>
      </c>
      <c r="T489" s="12" t="s">
        <v>46</v>
      </c>
      <c r="U489" s="15"/>
      <c r="V489" s="19">
        <v>44610</v>
      </c>
      <c r="W489" s="15" t="s">
        <v>47</v>
      </c>
      <c r="X489" s="13">
        <v>1044774</v>
      </c>
      <c r="Y489" s="20"/>
      <c r="Z489" s="13">
        <v>3843931</v>
      </c>
      <c r="AA489" s="13">
        <v>4740627</v>
      </c>
      <c r="AB489" s="13"/>
      <c r="AC489" s="15">
        <v>5547912</v>
      </c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</row>
    <row r="490" spans="1:46" ht="45" customHeight="1">
      <c r="A490" s="40" t="s">
        <v>4433</v>
      </c>
      <c r="B490" s="33" t="s">
        <v>4434</v>
      </c>
      <c r="C490" s="34" t="s">
        <v>4435</v>
      </c>
      <c r="D490" s="35" t="s">
        <v>4436</v>
      </c>
      <c r="E490" s="35" t="s">
        <v>4437</v>
      </c>
      <c r="F490" s="35" t="s">
        <v>181</v>
      </c>
      <c r="G490" s="35" t="s">
        <v>4438</v>
      </c>
      <c r="H490" s="35" t="s">
        <v>1212</v>
      </c>
      <c r="I490" s="35" t="s">
        <v>80</v>
      </c>
      <c r="J490" s="35" t="s">
        <v>4439</v>
      </c>
      <c r="K490" s="35" t="s">
        <v>2470</v>
      </c>
      <c r="L490" s="35" t="s">
        <v>115</v>
      </c>
      <c r="M490" s="36" t="s">
        <v>4440</v>
      </c>
      <c r="N490" s="33">
        <v>154158927</v>
      </c>
      <c r="O490" s="33"/>
      <c r="P490" s="35" t="s">
        <v>3014</v>
      </c>
      <c r="Q490" s="37" t="s">
        <v>4441</v>
      </c>
      <c r="R490" s="38">
        <v>13</v>
      </c>
      <c r="S490" s="39">
        <f t="shared" si="5"/>
        <v>2106</v>
      </c>
      <c r="T490" s="40" t="s">
        <v>46</v>
      </c>
      <c r="U490" s="35"/>
      <c r="V490" s="39">
        <v>44610</v>
      </c>
      <c r="W490" s="35"/>
      <c r="X490" s="33"/>
      <c r="Y490" s="41"/>
      <c r="Z490" s="33"/>
      <c r="AA490" s="33"/>
      <c r="AB490" s="33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</row>
    <row r="491" spans="1:46" ht="45" customHeight="1">
      <c r="A491" s="21" t="s">
        <v>4442</v>
      </c>
      <c r="B491" s="22" t="s">
        <v>4443</v>
      </c>
      <c r="C491" s="23" t="s">
        <v>4444</v>
      </c>
      <c r="D491" s="24" t="s">
        <v>4445</v>
      </c>
      <c r="E491" s="24" t="s">
        <v>4446</v>
      </c>
      <c r="F491" s="24" t="s">
        <v>77</v>
      </c>
      <c r="G491" s="24" t="s">
        <v>4447</v>
      </c>
      <c r="H491" s="24" t="s">
        <v>671</v>
      </c>
      <c r="I491" s="24" t="s">
        <v>149</v>
      </c>
      <c r="J491" s="24" t="s">
        <v>4447</v>
      </c>
      <c r="K491" s="24" t="s">
        <v>671</v>
      </c>
      <c r="L491" s="24" t="s">
        <v>149</v>
      </c>
      <c r="M491" s="25" t="s">
        <v>4448</v>
      </c>
      <c r="N491" s="77">
        <v>2614412647</v>
      </c>
      <c r="O491" s="71">
        <v>46840</v>
      </c>
      <c r="P491" s="24" t="s">
        <v>1466</v>
      </c>
      <c r="Q491" s="28" t="s">
        <v>4449</v>
      </c>
      <c r="R491" s="29">
        <v>2456</v>
      </c>
      <c r="S491" s="30">
        <f t="shared" si="5"/>
        <v>397872</v>
      </c>
      <c r="T491" s="21" t="s">
        <v>96</v>
      </c>
      <c r="U491" s="24"/>
      <c r="V491" s="44">
        <v>184080</v>
      </c>
      <c r="W491" s="24" t="s">
        <v>71</v>
      </c>
      <c r="X491" s="22"/>
      <c r="Y491" s="31">
        <v>3117262</v>
      </c>
      <c r="Z491" s="22">
        <v>3822442</v>
      </c>
      <c r="AA491" s="22">
        <v>4644307</v>
      </c>
      <c r="AB491" s="22"/>
      <c r="AC491" s="24">
        <v>5568394</v>
      </c>
      <c r="AD491" s="45">
        <v>6463489</v>
      </c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</row>
    <row r="492" spans="1:46" ht="45" customHeight="1">
      <c r="A492" s="12" t="s">
        <v>4450</v>
      </c>
      <c r="B492" s="13" t="s">
        <v>4451</v>
      </c>
      <c r="C492" s="14" t="s">
        <v>4452</v>
      </c>
      <c r="D492" s="15" t="s">
        <v>4453</v>
      </c>
      <c r="E492" s="15" t="s">
        <v>4454</v>
      </c>
      <c r="F492" s="146" t="s">
        <v>966</v>
      </c>
      <c r="G492" s="15" t="s">
        <v>4455</v>
      </c>
      <c r="H492" s="15" t="s">
        <v>4456</v>
      </c>
      <c r="I492" s="15" t="s">
        <v>38</v>
      </c>
      <c r="J492" s="15" t="s">
        <v>4457</v>
      </c>
      <c r="K492" s="15" t="s">
        <v>4456</v>
      </c>
      <c r="L492" s="15" t="s">
        <v>38</v>
      </c>
      <c r="M492" s="16" t="s">
        <v>4458</v>
      </c>
      <c r="N492" s="13" t="s">
        <v>4459</v>
      </c>
      <c r="O492" s="13"/>
      <c r="P492" s="15" t="s">
        <v>4460</v>
      </c>
      <c r="Q492" s="17" t="s">
        <v>4461</v>
      </c>
      <c r="R492" s="18">
        <v>493</v>
      </c>
      <c r="S492" s="19">
        <f t="shared" si="5"/>
        <v>79866</v>
      </c>
      <c r="T492" s="12" t="s">
        <v>46</v>
      </c>
      <c r="U492" s="15"/>
      <c r="V492" s="19">
        <v>44610</v>
      </c>
      <c r="W492" s="15" t="s">
        <v>71</v>
      </c>
      <c r="X492" s="13">
        <v>1026356</v>
      </c>
      <c r="Y492" s="20">
        <v>3105943</v>
      </c>
      <c r="Z492" s="13">
        <v>3858993</v>
      </c>
      <c r="AA492" s="13">
        <v>4753293</v>
      </c>
      <c r="AB492" s="13"/>
      <c r="AC492" s="15">
        <v>5538965</v>
      </c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</row>
    <row r="493" spans="1:46" ht="45" customHeight="1">
      <c r="A493" s="12" t="s">
        <v>4462</v>
      </c>
      <c r="B493" s="13" t="s">
        <v>4463</v>
      </c>
      <c r="C493" s="14" t="s">
        <v>4464</v>
      </c>
      <c r="D493" s="15" t="s">
        <v>4465</v>
      </c>
      <c r="E493" s="15" t="s">
        <v>4466</v>
      </c>
      <c r="F493" s="15" t="s">
        <v>181</v>
      </c>
      <c r="G493" s="15" t="s">
        <v>4467</v>
      </c>
      <c r="H493" s="15" t="s">
        <v>289</v>
      </c>
      <c r="I493" s="15" t="s">
        <v>38</v>
      </c>
      <c r="J493" s="15" t="s">
        <v>4467</v>
      </c>
      <c r="K493" s="15" t="s">
        <v>289</v>
      </c>
      <c r="L493" s="15" t="s">
        <v>38</v>
      </c>
      <c r="M493" s="114" t="s">
        <v>4468</v>
      </c>
      <c r="N493" s="13" t="s">
        <v>4469</v>
      </c>
      <c r="O493" s="13"/>
      <c r="P493" s="15" t="s">
        <v>94</v>
      </c>
      <c r="Q493" s="17" t="s">
        <v>4470</v>
      </c>
      <c r="R493" s="18">
        <v>567</v>
      </c>
      <c r="S493" s="19">
        <f t="shared" si="5"/>
        <v>91854</v>
      </c>
      <c r="T493" s="12" t="s">
        <v>46</v>
      </c>
      <c r="U493" s="15"/>
      <c r="V493" s="19">
        <v>44610</v>
      </c>
      <c r="W493" s="15"/>
      <c r="X493" s="13"/>
      <c r="Y493" s="20"/>
      <c r="Z493" s="13">
        <v>3898475</v>
      </c>
      <c r="AA493" s="13"/>
      <c r="AB493" s="13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</row>
    <row r="494" spans="1:46" ht="45" customHeight="1">
      <c r="A494" s="12" t="s">
        <v>4471</v>
      </c>
      <c r="B494" s="13" t="s">
        <v>4472</v>
      </c>
      <c r="C494" s="14" t="s">
        <v>4473</v>
      </c>
      <c r="D494" s="15" t="s">
        <v>4474</v>
      </c>
      <c r="E494" s="15" t="s">
        <v>4475</v>
      </c>
      <c r="F494" s="15" t="s">
        <v>204</v>
      </c>
      <c r="G494" s="15" t="s">
        <v>4476</v>
      </c>
      <c r="H494" s="15"/>
      <c r="I494" s="15" t="s">
        <v>80</v>
      </c>
      <c r="J494" s="15" t="s">
        <v>4477</v>
      </c>
      <c r="K494" s="15" t="s">
        <v>216</v>
      </c>
      <c r="L494" s="15" t="s">
        <v>149</v>
      </c>
      <c r="M494" s="16" t="s">
        <v>4478</v>
      </c>
      <c r="N494" s="13">
        <v>2616615460</v>
      </c>
      <c r="O494" s="13"/>
      <c r="P494" s="15" t="s">
        <v>4479</v>
      </c>
      <c r="Q494" s="17" t="s">
        <v>4480</v>
      </c>
      <c r="R494" s="18">
        <v>138</v>
      </c>
      <c r="S494" s="19">
        <f t="shared" si="5"/>
        <v>22356</v>
      </c>
      <c r="T494" s="12" t="s">
        <v>46</v>
      </c>
      <c r="U494" s="15"/>
      <c r="V494" s="19">
        <v>44610</v>
      </c>
      <c r="W494" s="15" t="s">
        <v>47</v>
      </c>
      <c r="X494" s="13"/>
      <c r="Y494" s="20"/>
      <c r="Z494" s="13"/>
      <c r="AA494" s="13"/>
      <c r="AB494" s="13">
        <v>4837850</v>
      </c>
      <c r="AC494" s="15">
        <v>5596636</v>
      </c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</row>
    <row r="495" spans="1:46" ht="45" customHeight="1">
      <c r="A495" s="12" t="s">
        <v>4481</v>
      </c>
      <c r="B495" s="13" t="s">
        <v>4482</v>
      </c>
      <c r="C495" s="14" t="s">
        <v>4483</v>
      </c>
      <c r="D495" s="15" t="s">
        <v>4484</v>
      </c>
      <c r="E495" s="15" t="s">
        <v>4485</v>
      </c>
      <c r="F495" s="15" t="s">
        <v>181</v>
      </c>
      <c r="G495" s="15" t="s">
        <v>4486</v>
      </c>
      <c r="H495" s="15"/>
      <c r="I495" s="15" t="s">
        <v>149</v>
      </c>
      <c r="J495" s="15" t="s">
        <v>4487</v>
      </c>
      <c r="K495" s="15"/>
      <c r="L495" s="15" t="s">
        <v>4143</v>
      </c>
      <c r="M495" s="16" t="s">
        <v>4488</v>
      </c>
      <c r="N495" s="13">
        <v>2616631257</v>
      </c>
      <c r="O495" s="13"/>
      <c r="P495" s="15" t="s">
        <v>44</v>
      </c>
      <c r="Q495" s="17" t="s">
        <v>4489</v>
      </c>
      <c r="R495" s="18">
        <v>239</v>
      </c>
      <c r="S495" s="19">
        <f t="shared" si="5"/>
        <v>38718</v>
      </c>
      <c r="T495" s="12" t="s">
        <v>46</v>
      </c>
      <c r="U495" s="15"/>
      <c r="V495" s="19">
        <v>44610</v>
      </c>
      <c r="W495" s="15" t="s">
        <v>71</v>
      </c>
      <c r="X495" s="13">
        <v>1019928</v>
      </c>
      <c r="Y495" s="20">
        <v>3071709</v>
      </c>
      <c r="Z495" s="13">
        <v>3843915</v>
      </c>
      <c r="AA495" s="13">
        <v>4671569</v>
      </c>
      <c r="AB495" s="13"/>
      <c r="AC495" s="15">
        <v>5532728</v>
      </c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</row>
    <row r="496" spans="1:46" ht="45" customHeight="1">
      <c r="A496" s="50" t="s">
        <v>4490</v>
      </c>
      <c r="B496" s="51" t="s">
        <v>4491</v>
      </c>
      <c r="C496" s="52" t="s">
        <v>4492</v>
      </c>
      <c r="D496" s="53" t="s">
        <v>4493</v>
      </c>
      <c r="E496" s="53" t="s">
        <v>4494</v>
      </c>
      <c r="F496" s="53" t="s">
        <v>147</v>
      </c>
      <c r="G496" s="53" t="s">
        <v>4495</v>
      </c>
      <c r="H496" s="53" t="s">
        <v>114</v>
      </c>
      <c r="I496" s="53" t="s">
        <v>115</v>
      </c>
      <c r="J496" s="53" t="s">
        <v>4495</v>
      </c>
      <c r="K496" s="53" t="s">
        <v>114</v>
      </c>
      <c r="L496" s="53" t="s">
        <v>115</v>
      </c>
      <c r="M496" s="54" t="s">
        <v>4496</v>
      </c>
      <c r="N496" s="51" t="s">
        <v>4497</v>
      </c>
      <c r="O496" s="51"/>
      <c r="P496" s="53" t="s">
        <v>151</v>
      </c>
      <c r="Q496" s="55" t="s">
        <v>4498</v>
      </c>
      <c r="R496" s="56">
        <v>40</v>
      </c>
      <c r="S496" s="57">
        <f t="shared" si="5"/>
        <v>6480</v>
      </c>
      <c r="T496" s="50" t="s">
        <v>46</v>
      </c>
      <c r="U496" s="53"/>
      <c r="V496" s="57">
        <v>44610</v>
      </c>
      <c r="W496" s="53"/>
      <c r="X496" s="51"/>
      <c r="Y496" s="58">
        <v>3104238</v>
      </c>
      <c r="Z496" s="51"/>
      <c r="AA496" s="51"/>
      <c r="AB496" s="51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</row>
    <row r="497" spans="1:46" ht="45" customHeight="1">
      <c r="A497" s="12" t="s">
        <v>4499</v>
      </c>
      <c r="B497" s="13" t="s">
        <v>4500</v>
      </c>
      <c r="C497" s="14" t="s">
        <v>4501</v>
      </c>
      <c r="D497" s="15" t="s">
        <v>4502</v>
      </c>
      <c r="E497" s="15" t="s">
        <v>4503</v>
      </c>
      <c r="F497" s="15" t="s">
        <v>204</v>
      </c>
      <c r="G497" s="15" t="s">
        <v>4504</v>
      </c>
      <c r="H497" s="15" t="s">
        <v>630</v>
      </c>
      <c r="I497" s="15" t="s">
        <v>80</v>
      </c>
      <c r="J497" s="15" t="s">
        <v>4504</v>
      </c>
      <c r="K497" s="15" t="s">
        <v>630</v>
      </c>
      <c r="L497" s="15" t="s">
        <v>80</v>
      </c>
      <c r="M497" s="16" t="s">
        <v>4505</v>
      </c>
      <c r="N497" s="13" t="s">
        <v>4506</v>
      </c>
      <c r="O497" s="13"/>
      <c r="P497" s="15" t="s">
        <v>44</v>
      </c>
      <c r="Q497" s="17" t="s">
        <v>4507</v>
      </c>
      <c r="R497" s="18">
        <v>28</v>
      </c>
      <c r="S497" s="19">
        <f t="shared" si="5"/>
        <v>4536</v>
      </c>
      <c r="T497" s="12" t="s">
        <v>46</v>
      </c>
      <c r="U497" s="15"/>
      <c r="V497" s="19">
        <v>44610</v>
      </c>
      <c r="W497" s="15" t="s">
        <v>71</v>
      </c>
      <c r="X497" s="13">
        <v>1034410</v>
      </c>
      <c r="Y497" s="20">
        <v>3103853</v>
      </c>
      <c r="Z497" s="13">
        <v>3863295</v>
      </c>
      <c r="AA497" s="13">
        <v>4735079</v>
      </c>
      <c r="AB497" s="13"/>
      <c r="AC497" s="15">
        <v>5565052</v>
      </c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</row>
    <row r="498" spans="1:46" ht="45" customHeight="1">
      <c r="A498" s="50" t="s">
        <v>4508</v>
      </c>
      <c r="B498" s="51" t="s">
        <v>4509</v>
      </c>
      <c r="C498" s="95" t="s">
        <v>4510</v>
      </c>
      <c r="D498" s="53" t="s">
        <v>4511</v>
      </c>
      <c r="E498" s="53" t="s">
        <v>2094</v>
      </c>
      <c r="F498" s="53" t="s">
        <v>181</v>
      </c>
      <c r="G498" s="53" t="s">
        <v>4512</v>
      </c>
      <c r="H498" s="53"/>
      <c r="I498" s="53" t="s">
        <v>149</v>
      </c>
      <c r="J498" s="53" t="s">
        <v>4513</v>
      </c>
      <c r="K498" s="53" t="s">
        <v>630</v>
      </c>
      <c r="L498" s="53" t="s">
        <v>80</v>
      </c>
      <c r="M498" s="68"/>
      <c r="N498" s="51">
        <v>2615272630</v>
      </c>
      <c r="O498" s="51"/>
      <c r="P498" s="53" t="s">
        <v>94</v>
      </c>
      <c r="Q498" s="55" t="s">
        <v>4514</v>
      </c>
      <c r="R498" s="56">
        <v>21</v>
      </c>
      <c r="S498" s="57">
        <f t="shared" si="5"/>
        <v>3402</v>
      </c>
      <c r="T498" s="50" t="s">
        <v>46</v>
      </c>
      <c r="U498" s="53"/>
      <c r="V498" s="57">
        <v>44610</v>
      </c>
      <c r="W498" s="53"/>
      <c r="X498" s="51"/>
      <c r="Y498" s="58"/>
      <c r="Z498" s="51"/>
      <c r="AA498" s="51"/>
      <c r="AB498" s="51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</row>
    <row r="499" spans="1:46" ht="45" customHeight="1">
      <c r="A499" s="21" t="s">
        <v>4515</v>
      </c>
      <c r="B499" s="22" t="s">
        <v>4516</v>
      </c>
      <c r="C499" s="23" t="s">
        <v>4517</v>
      </c>
      <c r="D499" s="24" t="s">
        <v>1321</v>
      </c>
      <c r="E499" s="24" t="s">
        <v>4518</v>
      </c>
      <c r="F499" s="24" t="s">
        <v>776</v>
      </c>
      <c r="G499" s="24" t="s">
        <v>4519</v>
      </c>
      <c r="H499" s="24" t="s">
        <v>4520</v>
      </c>
      <c r="I499" s="24" t="s">
        <v>41</v>
      </c>
      <c r="J499" s="24" t="s">
        <v>4519</v>
      </c>
      <c r="K499" s="24" t="s">
        <v>4520</v>
      </c>
      <c r="L499" s="24" t="s">
        <v>41</v>
      </c>
      <c r="M499" s="25" t="s">
        <v>4521</v>
      </c>
      <c r="N499" s="22" t="s">
        <v>4522</v>
      </c>
      <c r="O499" s="22"/>
      <c r="P499" s="24" t="s">
        <v>408</v>
      </c>
      <c r="Q499" s="28" t="s">
        <v>4523</v>
      </c>
      <c r="R499" s="29">
        <v>2856</v>
      </c>
      <c r="S499" s="30">
        <f t="shared" si="5"/>
        <v>462672</v>
      </c>
      <c r="T499" s="21" t="s">
        <v>96</v>
      </c>
      <c r="U499" s="24"/>
      <c r="V499" s="30">
        <v>368160</v>
      </c>
      <c r="W499" s="24" t="s">
        <v>71</v>
      </c>
      <c r="X499" s="22"/>
      <c r="Y499" s="31">
        <v>3116707</v>
      </c>
      <c r="Z499" s="22">
        <v>3890472</v>
      </c>
      <c r="AA499" s="22">
        <v>4720246</v>
      </c>
      <c r="AB499" s="22"/>
      <c r="AC499" s="24">
        <v>5617729</v>
      </c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</row>
    <row r="500" spans="1:46" ht="45" customHeight="1">
      <c r="A500" s="21" t="s">
        <v>4524</v>
      </c>
      <c r="B500" s="22" t="s">
        <v>4525</v>
      </c>
      <c r="C500" s="23" t="s">
        <v>4526</v>
      </c>
      <c r="D500" s="24" t="s">
        <v>4527</v>
      </c>
      <c r="E500" s="24" t="s">
        <v>4528</v>
      </c>
      <c r="F500" s="24" t="s">
        <v>77</v>
      </c>
      <c r="G500" s="24" t="s">
        <v>4529</v>
      </c>
      <c r="H500" s="24" t="s">
        <v>52</v>
      </c>
      <c r="I500" s="24" t="s">
        <v>53</v>
      </c>
      <c r="J500" s="24" t="s">
        <v>4530</v>
      </c>
      <c r="K500" s="24" t="s">
        <v>4086</v>
      </c>
      <c r="L500" s="24" t="s">
        <v>41</v>
      </c>
      <c r="M500" s="70" t="s">
        <v>4531</v>
      </c>
      <c r="N500" s="22" t="s">
        <v>4532</v>
      </c>
      <c r="O500" s="22"/>
      <c r="P500" s="24" t="s">
        <v>94</v>
      </c>
      <c r="Q500" s="28" t="s">
        <v>4533</v>
      </c>
      <c r="R500" s="29">
        <v>12242</v>
      </c>
      <c r="S500" s="30">
        <f t="shared" si="5"/>
        <v>1983204</v>
      </c>
      <c r="T500" s="21" t="s">
        <v>70</v>
      </c>
      <c r="U500" s="24"/>
      <c r="V500" s="30">
        <f>S500</f>
        <v>1983204</v>
      </c>
      <c r="W500" s="24"/>
      <c r="X500" s="22">
        <v>1108964</v>
      </c>
      <c r="Y500" s="31">
        <v>3120029</v>
      </c>
      <c r="Z500" s="22">
        <v>3858955</v>
      </c>
      <c r="AA500" s="22">
        <v>4730988</v>
      </c>
      <c r="AB500" s="22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</row>
    <row r="501" spans="1:46" ht="45" customHeight="1">
      <c r="A501" s="12" t="s">
        <v>4534</v>
      </c>
      <c r="B501" s="13" t="s">
        <v>4535</v>
      </c>
      <c r="C501" s="14" t="s">
        <v>4536</v>
      </c>
      <c r="D501" s="15" t="s">
        <v>4537</v>
      </c>
      <c r="E501" s="15" t="s">
        <v>524</v>
      </c>
      <c r="F501" s="15" t="s">
        <v>181</v>
      </c>
      <c r="G501" s="15" t="s">
        <v>4538</v>
      </c>
      <c r="H501" s="15" t="s">
        <v>3403</v>
      </c>
      <c r="I501" s="15" t="s">
        <v>80</v>
      </c>
      <c r="J501" s="15" t="s">
        <v>4538</v>
      </c>
      <c r="K501" s="15" t="s">
        <v>3403</v>
      </c>
      <c r="L501" s="15" t="s">
        <v>80</v>
      </c>
      <c r="M501" s="46" t="s">
        <v>4539</v>
      </c>
      <c r="N501" s="13" t="s">
        <v>4540</v>
      </c>
      <c r="O501" s="13"/>
      <c r="P501" s="15" t="s">
        <v>44</v>
      </c>
      <c r="Q501" s="17" t="s">
        <v>4541</v>
      </c>
      <c r="R501" s="18">
        <v>234</v>
      </c>
      <c r="S501" s="19">
        <f t="shared" si="5"/>
        <v>37908</v>
      </c>
      <c r="T501" s="12" t="s">
        <v>46</v>
      </c>
      <c r="U501" s="15"/>
      <c r="V501" s="19">
        <v>44610</v>
      </c>
      <c r="W501" s="15" t="s">
        <v>71</v>
      </c>
      <c r="X501" s="13"/>
      <c r="Y501" s="20">
        <v>3120796</v>
      </c>
      <c r="Z501" s="13">
        <v>3821480</v>
      </c>
      <c r="AA501" s="13">
        <v>4734909</v>
      </c>
      <c r="AB501" s="13"/>
      <c r="AC501" s="15">
        <v>5612193</v>
      </c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</row>
    <row r="502" spans="1:46" ht="45" customHeight="1">
      <c r="A502" s="12" t="s">
        <v>4542</v>
      </c>
      <c r="B502" s="13" t="s">
        <v>4543</v>
      </c>
      <c r="C502" s="66" t="s">
        <v>4544</v>
      </c>
      <c r="D502" s="15" t="s">
        <v>4545</v>
      </c>
      <c r="E502" s="15" t="s">
        <v>2387</v>
      </c>
      <c r="F502" s="15" t="s">
        <v>147</v>
      </c>
      <c r="G502" s="15" t="s">
        <v>4546</v>
      </c>
      <c r="H502" s="15" t="s">
        <v>1202</v>
      </c>
      <c r="I502" s="15" t="s">
        <v>115</v>
      </c>
      <c r="J502" s="15" t="s">
        <v>4546</v>
      </c>
      <c r="K502" s="15" t="s">
        <v>1202</v>
      </c>
      <c r="L502" s="15" t="s">
        <v>115</v>
      </c>
      <c r="M502" s="46" t="s">
        <v>4547</v>
      </c>
      <c r="N502" s="13" t="s">
        <v>4548</v>
      </c>
      <c r="O502" s="13"/>
      <c r="P502" s="15" t="s">
        <v>4549</v>
      </c>
      <c r="Q502" s="17" t="s">
        <v>4550</v>
      </c>
      <c r="R502" s="18">
        <v>318</v>
      </c>
      <c r="S502" s="19">
        <f t="shared" si="5"/>
        <v>51516</v>
      </c>
      <c r="T502" s="12" t="s">
        <v>46</v>
      </c>
      <c r="U502" s="15"/>
      <c r="V502" s="19">
        <v>44610</v>
      </c>
      <c r="W502" s="15"/>
      <c r="X502" s="13"/>
      <c r="Y502" s="20"/>
      <c r="Z502" s="13"/>
      <c r="AA502" s="13"/>
      <c r="AB502" s="13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</row>
    <row r="503" spans="1:46" ht="45" customHeight="1">
      <c r="A503" s="12" t="s">
        <v>4551</v>
      </c>
      <c r="B503" s="13" t="s">
        <v>4552</v>
      </c>
      <c r="C503" s="66" t="s">
        <v>4553</v>
      </c>
      <c r="D503" s="15" t="s">
        <v>4554</v>
      </c>
      <c r="E503" s="15" t="s">
        <v>4555</v>
      </c>
      <c r="F503" s="15" t="s">
        <v>966</v>
      </c>
      <c r="G503" s="15" t="s">
        <v>4556</v>
      </c>
      <c r="H503" s="15" t="s">
        <v>4557</v>
      </c>
      <c r="I503" s="15" t="s">
        <v>38</v>
      </c>
      <c r="J503" s="15" t="s">
        <v>4558</v>
      </c>
      <c r="K503" s="15" t="s">
        <v>4559</v>
      </c>
      <c r="L503" s="15" t="s">
        <v>38</v>
      </c>
      <c r="M503" s="16" t="s">
        <v>4560</v>
      </c>
      <c r="N503" s="13" t="s">
        <v>4561</v>
      </c>
      <c r="O503" s="13"/>
      <c r="P503" s="15" t="s">
        <v>117</v>
      </c>
      <c r="Q503" s="17" t="s">
        <v>4562</v>
      </c>
      <c r="R503" s="18">
        <v>62</v>
      </c>
      <c r="S503" s="19">
        <f t="shared" si="5"/>
        <v>10044</v>
      </c>
      <c r="T503" s="12" t="s">
        <v>46</v>
      </c>
      <c r="U503" s="15"/>
      <c r="V503" s="19">
        <v>44610</v>
      </c>
      <c r="W503" s="15" t="s">
        <v>71</v>
      </c>
      <c r="X503" s="13">
        <v>1105199</v>
      </c>
      <c r="Y503" s="20"/>
      <c r="Z503" s="13"/>
      <c r="AA503" s="13"/>
      <c r="AB503" s="13"/>
      <c r="AC503" s="15">
        <v>5609958</v>
      </c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</row>
    <row r="504" spans="1:46" ht="45" customHeight="1">
      <c r="A504" s="12" t="s">
        <v>4563</v>
      </c>
      <c r="B504" s="13" t="s">
        <v>4564</v>
      </c>
      <c r="C504" s="14" t="s">
        <v>4565</v>
      </c>
      <c r="D504" s="15" t="s">
        <v>4566</v>
      </c>
      <c r="E504" s="15" t="s">
        <v>4567</v>
      </c>
      <c r="F504" s="15" t="s">
        <v>909</v>
      </c>
      <c r="G504" s="15" t="s">
        <v>4486</v>
      </c>
      <c r="H504" s="15"/>
      <c r="I504" s="15" t="s">
        <v>149</v>
      </c>
      <c r="J504" s="15" t="s">
        <v>4486</v>
      </c>
      <c r="K504" s="15"/>
      <c r="L504" s="15" t="s">
        <v>149</v>
      </c>
      <c r="M504" s="114" t="s">
        <v>4568</v>
      </c>
      <c r="N504" s="13" t="s">
        <v>1670</v>
      </c>
      <c r="O504" s="13"/>
      <c r="P504" s="15" t="s">
        <v>1381</v>
      </c>
      <c r="Q504" s="17" t="s">
        <v>4569</v>
      </c>
      <c r="R504" s="18">
        <v>124</v>
      </c>
      <c r="S504" s="19">
        <f t="shared" si="5"/>
        <v>20088</v>
      </c>
      <c r="T504" s="12" t="s">
        <v>46</v>
      </c>
      <c r="U504" s="15"/>
      <c r="V504" s="19">
        <v>44610</v>
      </c>
      <c r="W504" s="15" t="s">
        <v>71</v>
      </c>
      <c r="X504" s="13">
        <v>1018186</v>
      </c>
      <c r="Y504" s="20">
        <v>3071661</v>
      </c>
      <c r="Z504" s="13">
        <v>3835361</v>
      </c>
      <c r="AA504" s="13">
        <v>4671572</v>
      </c>
      <c r="AB504" s="13"/>
      <c r="AC504" s="15">
        <v>5531653</v>
      </c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</row>
    <row r="505" spans="1:46" ht="45" customHeight="1">
      <c r="A505" s="40" t="s">
        <v>4570</v>
      </c>
      <c r="B505" s="33" t="s">
        <v>4571</v>
      </c>
      <c r="C505" s="34" t="s">
        <v>4572</v>
      </c>
      <c r="D505" s="35" t="s">
        <v>4573</v>
      </c>
      <c r="E505" s="35" t="s">
        <v>4574</v>
      </c>
      <c r="F505" s="35" t="s">
        <v>181</v>
      </c>
      <c r="G505" s="35" t="s">
        <v>4575</v>
      </c>
      <c r="H505" s="35" t="s">
        <v>125</v>
      </c>
      <c r="I505" s="35" t="s">
        <v>115</v>
      </c>
      <c r="J505" s="35" t="s">
        <v>4575</v>
      </c>
      <c r="K505" s="35" t="s">
        <v>125</v>
      </c>
      <c r="L505" s="35" t="s">
        <v>115</v>
      </c>
      <c r="M505" s="136" t="s">
        <v>4576</v>
      </c>
      <c r="N505" s="33">
        <v>2615342413</v>
      </c>
      <c r="O505" s="33"/>
      <c r="P505" s="35" t="s">
        <v>94</v>
      </c>
      <c r="Q505" s="37" t="s">
        <v>4577</v>
      </c>
      <c r="R505" s="38">
        <v>79</v>
      </c>
      <c r="S505" s="39">
        <f t="shared" si="5"/>
        <v>12798</v>
      </c>
      <c r="T505" s="40" t="s">
        <v>46</v>
      </c>
      <c r="U505" s="35"/>
      <c r="V505" s="39">
        <v>44610</v>
      </c>
      <c r="W505" s="35"/>
      <c r="X505" s="33"/>
      <c r="Y505" s="41"/>
      <c r="Z505" s="33"/>
      <c r="AA505" s="33"/>
      <c r="AB505" s="33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</row>
    <row r="506" spans="1:46" ht="45" customHeight="1">
      <c r="A506" s="12" t="s">
        <v>4578</v>
      </c>
      <c r="B506" s="13" t="s">
        <v>4579</v>
      </c>
      <c r="C506" s="66" t="s">
        <v>4580</v>
      </c>
      <c r="D506" s="15" t="s">
        <v>4581</v>
      </c>
      <c r="E506" s="15" t="s">
        <v>4582</v>
      </c>
      <c r="F506" s="15" t="s">
        <v>181</v>
      </c>
      <c r="G506" s="15" t="s">
        <v>4583</v>
      </c>
      <c r="H506" s="15" t="s">
        <v>331</v>
      </c>
      <c r="I506" s="15" t="s">
        <v>352</v>
      </c>
      <c r="J506" s="15" t="s">
        <v>4583</v>
      </c>
      <c r="K506" s="15" t="s">
        <v>331</v>
      </c>
      <c r="L506" s="15" t="s">
        <v>352</v>
      </c>
      <c r="M506" s="46" t="s">
        <v>4584</v>
      </c>
      <c r="N506" s="13" t="s">
        <v>4585</v>
      </c>
      <c r="O506" s="13"/>
      <c r="P506" s="15" t="s">
        <v>94</v>
      </c>
      <c r="Q506" s="17" t="s">
        <v>4586</v>
      </c>
      <c r="R506" s="18">
        <v>500</v>
      </c>
      <c r="S506" s="19">
        <f t="shared" si="5"/>
        <v>81000</v>
      </c>
      <c r="T506" s="12" t="s">
        <v>46</v>
      </c>
      <c r="U506" s="15"/>
      <c r="V506" s="19">
        <v>44610</v>
      </c>
      <c r="W506" s="15"/>
      <c r="X506" s="13"/>
      <c r="Y506" s="20">
        <v>3121336</v>
      </c>
      <c r="Z506" s="13"/>
      <c r="AA506" s="13"/>
      <c r="AB506" s="13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</row>
    <row r="507" spans="1:46" ht="45" customHeight="1">
      <c r="A507" s="12" t="s">
        <v>4587</v>
      </c>
      <c r="B507" s="13" t="s">
        <v>4588</v>
      </c>
      <c r="C507" s="14" t="s">
        <v>4589</v>
      </c>
      <c r="D507" s="15" t="s">
        <v>4590</v>
      </c>
      <c r="E507" s="15" t="s">
        <v>4591</v>
      </c>
      <c r="F507" s="15" t="s">
        <v>909</v>
      </c>
      <c r="G507" s="15" t="s">
        <v>4592</v>
      </c>
      <c r="H507" s="15" t="s">
        <v>291</v>
      </c>
      <c r="I507" s="15" t="s">
        <v>115</v>
      </c>
      <c r="J507" s="15" t="s">
        <v>4593</v>
      </c>
      <c r="K507" s="15" t="s">
        <v>405</v>
      </c>
      <c r="L507" s="15" t="s">
        <v>115</v>
      </c>
      <c r="M507" s="16" t="s">
        <v>4594</v>
      </c>
      <c r="N507" s="13" t="s">
        <v>4595</v>
      </c>
      <c r="O507" s="13"/>
      <c r="P507" s="15" t="s">
        <v>94</v>
      </c>
      <c r="Q507" s="17" t="s">
        <v>4596</v>
      </c>
      <c r="R507" s="18">
        <v>61</v>
      </c>
      <c r="S507" s="19">
        <f t="shared" si="5"/>
        <v>9882</v>
      </c>
      <c r="T507" s="12" t="s">
        <v>46</v>
      </c>
      <c r="U507" s="15"/>
      <c r="V507" s="19">
        <v>44610</v>
      </c>
      <c r="W507" s="15" t="s">
        <v>71</v>
      </c>
      <c r="X507" s="13">
        <v>1084524</v>
      </c>
      <c r="Y507" s="20">
        <v>3104261</v>
      </c>
      <c r="Z507" s="13">
        <v>3887504</v>
      </c>
      <c r="AA507" s="13">
        <v>4712902</v>
      </c>
      <c r="AB507" s="13"/>
      <c r="AC507" s="15">
        <v>5583910</v>
      </c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</row>
    <row r="508" spans="1:46" ht="45" customHeight="1">
      <c r="A508" s="12" t="s">
        <v>4597</v>
      </c>
      <c r="B508" s="13" t="s">
        <v>4598</v>
      </c>
      <c r="C508" s="14" t="s">
        <v>4599</v>
      </c>
      <c r="D508" s="15" t="s">
        <v>4600</v>
      </c>
      <c r="E508" s="15" t="s">
        <v>4601</v>
      </c>
      <c r="F508" s="15" t="s">
        <v>181</v>
      </c>
      <c r="G508" s="15" t="s">
        <v>4602</v>
      </c>
      <c r="H508" s="15"/>
      <c r="I508" s="15" t="s">
        <v>149</v>
      </c>
      <c r="J508" s="15" t="s">
        <v>4602</v>
      </c>
      <c r="K508" s="15"/>
      <c r="L508" s="15" t="s">
        <v>149</v>
      </c>
      <c r="M508" s="46" t="s">
        <v>4603</v>
      </c>
      <c r="N508" s="13" t="s">
        <v>4604</v>
      </c>
      <c r="O508" s="13"/>
      <c r="P508" s="15" t="s">
        <v>94</v>
      </c>
      <c r="Q508" s="17" t="s">
        <v>4605</v>
      </c>
      <c r="R508" s="18">
        <v>224</v>
      </c>
      <c r="S508" s="19">
        <f t="shared" si="5"/>
        <v>36288</v>
      </c>
      <c r="T508" s="12" t="s">
        <v>46</v>
      </c>
      <c r="U508" s="15"/>
      <c r="V508" s="19">
        <v>44610</v>
      </c>
      <c r="W508" s="15" t="s">
        <v>71</v>
      </c>
      <c r="X508" s="13">
        <v>1010861</v>
      </c>
      <c r="Y508" s="20">
        <v>3087818</v>
      </c>
      <c r="Z508" s="13">
        <v>3873469</v>
      </c>
      <c r="AA508" s="13">
        <v>4740992</v>
      </c>
      <c r="AB508" s="13"/>
      <c r="AC508" s="15">
        <v>5601572</v>
      </c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</row>
    <row r="509" spans="1:46" ht="45" customHeight="1">
      <c r="A509" s="21" t="s">
        <v>4606</v>
      </c>
      <c r="B509" s="22" t="s">
        <v>4607</v>
      </c>
      <c r="C509" s="23" t="s">
        <v>4608</v>
      </c>
      <c r="D509" s="24" t="s">
        <v>4609</v>
      </c>
      <c r="E509" s="24" t="s">
        <v>4610</v>
      </c>
      <c r="F509" s="24" t="s">
        <v>542</v>
      </c>
      <c r="G509" s="24" t="s">
        <v>370</v>
      </c>
      <c r="H509" s="24" t="s">
        <v>125</v>
      </c>
      <c r="I509" s="24" t="s">
        <v>115</v>
      </c>
      <c r="J509" s="24" t="s">
        <v>4611</v>
      </c>
      <c r="K509" s="24"/>
      <c r="L509" s="24" t="s">
        <v>41</v>
      </c>
      <c r="M509" s="25" t="s">
        <v>4612</v>
      </c>
      <c r="N509" s="22" t="s">
        <v>4613</v>
      </c>
      <c r="O509" s="22"/>
      <c r="P509" s="24" t="s">
        <v>622</v>
      </c>
      <c r="Q509" s="28" t="s">
        <v>4614</v>
      </c>
      <c r="R509" s="29">
        <v>1794</v>
      </c>
      <c r="S509" s="30">
        <f t="shared" si="5"/>
        <v>290628</v>
      </c>
      <c r="T509" s="21" t="s">
        <v>198</v>
      </c>
      <c r="U509" s="24"/>
      <c r="V509" s="30">
        <v>215940</v>
      </c>
      <c r="W509" s="24" t="s">
        <v>71</v>
      </c>
      <c r="X509" s="22">
        <v>1038244</v>
      </c>
      <c r="Y509" s="31">
        <v>3091037</v>
      </c>
      <c r="Z509" s="22"/>
      <c r="AA509" s="22">
        <v>4709427</v>
      </c>
      <c r="AB509" s="22"/>
      <c r="AC509" s="24">
        <v>5591570</v>
      </c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</row>
    <row r="510" spans="1:46" ht="45" customHeight="1">
      <c r="A510" s="50" t="s">
        <v>4615</v>
      </c>
      <c r="B510" s="51" t="s">
        <v>4616</v>
      </c>
      <c r="C510" s="52" t="s">
        <v>4617</v>
      </c>
      <c r="D510" s="53" t="s">
        <v>4618</v>
      </c>
      <c r="E510" s="53" t="s">
        <v>4619</v>
      </c>
      <c r="F510" s="53" t="s">
        <v>542</v>
      </c>
      <c r="G510" s="53" t="s">
        <v>4620</v>
      </c>
      <c r="H510" s="53" t="s">
        <v>1262</v>
      </c>
      <c r="I510" s="53" t="s">
        <v>115</v>
      </c>
      <c r="J510" s="53" t="s">
        <v>4620</v>
      </c>
      <c r="K510" s="53" t="s">
        <v>1262</v>
      </c>
      <c r="L510" s="53" t="s">
        <v>115</v>
      </c>
      <c r="M510" s="54" t="s">
        <v>4621</v>
      </c>
      <c r="N510" s="51" t="s">
        <v>4622</v>
      </c>
      <c r="O510" s="51"/>
      <c r="P510" s="53" t="s">
        <v>4623</v>
      </c>
      <c r="Q510" s="55" t="s">
        <v>4624</v>
      </c>
      <c r="R510" s="56">
        <v>89</v>
      </c>
      <c r="S510" s="57">
        <f t="shared" si="5"/>
        <v>14418</v>
      </c>
      <c r="T510" s="50" t="s">
        <v>46</v>
      </c>
      <c r="U510" s="53"/>
      <c r="V510" s="57">
        <v>44610</v>
      </c>
      <c r="W510" s="53"/>
      <c r="X510" s="51"/>
      <c r="Y510" s="58"/>
      <c r="Z510" s="51"/>
      <c r="AA510" s="51"/>
      <c r="AB510" s="51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</row>
    <row r="511" spans="1:46" ht="45" customHeight="1">
      <c r="A511" s="12" t="s">
        <v>4625</v>
      </c>
      <c r="B511" s="13" t="s">
        <v>4626</v>
      </c>
      <c r="C511" s="66" t="s">
        <v>4627</v>
      </c>
      <c r="D511" s="15" t="s">
        <v>4628</v>
      </c>
      <c r="E511" s="15" t="s">
        <v>4629</v>
      </c>
      <c r="F511" s="15" t="s">
        <v>158</v>
      </c>
      <c r="G511" s="15" t="s">
        <v>4630</v>
      </c>
      <c r="H511" s="15" t="s">
        <v>52</v>
      </c>
      <c r="I511" s="15" t="s">
        <v>53</v>
      </c>
      <c r="J511" s="15" t="s">
        <v>4631</v>
      </c>
      <c r="K511" s="15" t="s">
        <v>4632</v>
      </c>
      <c r="L511" s="15" t="s">
        <v>41</v>
      </c>
      <c r="M511" s="74" t="s">
        <v>4633</v>
      </c>
      <c r="N511" s="13" t="s">
        <v>4634</v>
      </c>
      <c r="O511" s="13"/>
      <c r="P511" s="15" t="s">
        <v>1835</v>
      </c>
      <c r="Q511" s="17" t="s">
        <v>4635</v>
      </c>
      <c r="R511" s="18">
        <v>5834.23</v>
      </c>
      <c r="S511" s="19">
        <f t="shared" si="5"/>
        <v>945145.25999999989</v>
      </c>
      <c r="T511" s="12" t="s">
        <v>105</v>
      </c>
      <c r="U511" s="15"/>
      <c r="V511" s="19">
        <v>736320</v>
      </c>
      <c r="W511" s="15"/>
      <c r="X511" s="13">
        <v>1128602</v>
      </c>
      <c r="Y511" s="20"/>
      <c r="Z511" s="13"/>
      <c r="AA511" s="13"/>
      <c r="AB511" s="13"/>
      <c r="AC511" s="49" t="s">
        <v>130</v>
      </c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</row>
    <row r="512" spans="1:46" ht="45" customHeight="1">
      <c r="A512" s="21" t="s">
        <v>4636</v>
      </c>
      <c r="B512" s="22" t="s">
        <v>4637</v>
      </c>
      <c r="C512" s="147" t="s">
        <v>4638</v>
      </c>
      <c r="D512" s="24" t="s">
        <v>4639</v>
      </c>
      <c r="E512" s="24" t="s">
        <v>4640</v>
      </c>
      <c r="F512" s="24" t="s">
        <v>181</v>
      </c>
      <c r="G512" s="24" t="s">
        <v>4641</v>
      </c>
      <c r="H512" s="24" t="s">
        <v>291</v>
      </c>
      <c r="I512" s="24" t="s">
        <v>115</v>
      </c>
      <c r="J512" s="24" t="s">
        <v>4642</v>
      </c>
      <c r="K512" s="24" t="s">
        <v>4643</v>
      </c>
      <c r="L512" s="24" t="s">
        <v>149</v>
      </c>
      <c r="M512" s="59" t="s">
        <v>4644</v>
      </c>
      <c r="N512" s="22">
        <v>2614684001</v>
      </c>
      <c r="O512" s="22"/>
      <c r="P512" s="24" t="s">
        <v>1310</v>
      </c>
      <c r="Q512" s="28" t="s">
        <v>4645</v>
      </c>
      <c r="R512" s="29">
        <v>15</v>
      </c>
      <c r="S512" s="30">
        <f t="shared" si="5"/>
        <v>2430</v>
      </c>
      <c r="T512" s="21" t="s">
        <v>46</v>
      </c>
      <c r="U512" s="24"/>
      <c r="V512" s="30">
        <v>44610</v>
      </c>
      <c r="W512" s="24"/>
      <c r="X512" s="22"/>
      <c r="Y512" s="31"/>
      <c r="Z512" s="22"/>
      <c r="AA512" s="22"/>
      <c r="AB512" s="22">
        <v>4860290</v>
      </c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</row>
    <row r="513" spans="1:46" ht="45" customHeight="1">
      <c r="A513" s="40" t="s">
        <v>4646</v>
      </c>
      <c r="B513" s="33" t="s">
        <v>4647</v>
      </c>
      <c r="C513" s="34" t="s">
        <v>4648</v>
      </c>
      <c r="D513" s="35" t="s">
        <v>4649</v>
      </c>
      <c r="E513" s="35" t="s">
        <v>4650</v>
      </c>
      <c r="F513" s="35" t="s">
        <v>542</v>
      </c>
      <c r="G513" s="35" t="s">
        <v>4651</v>
      </c>
      <c r="H513" s="35"/>
      <c r="I513" s="35" t="s">
        <v>149</v>
      </c>
      <c r="J513" s="35" t="s">
        <v>4652</v>
      </c>
      <c r="K513" s="35" t="s">
        <v>1013</v>
      </c>
      <c r="L513" s="35" t="s">
        <v>149</v>
      </c>
      <c r="M513" s="36" t="s">
        <v>4653</v>
      </c>
      <c r="N513" s="33">
        <v>4521678</v>
      </c>
      <c r="O513" s="33"/>
      <c r="P513" s="35" t="s">
        <v>44</v>
      </c>
      <c r="Q513" s="37" t="s">
        <v>4654</v>
      </c>
      <c r="R513" s="38">
        <v>343</v>
      </c>
      <c r="S513" s="39">
        <f t="shared" si="5"/>
        <v>55566</v>
      </c>
      <c r="T513" s="40" t="s">
        <v>46</v>
      </c>
      <c r="U513" s="35"/>
      <c r="V513" s="39">
        <v>44610</v>
      </c>
      <c r="W513" s="35"/>
      <c r="X513" s="33"/>
      <c r="Y513" s="41"/>
      <c r="Z513" s="33"/>
      <c r="AA513" s="33"/>
      <c r="AB513" s="33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</row>
    <row r="514" spans="1:46" ht="45" customHeight="1">
      <c r="A514" s="12" t="s">
        <v>4655</v>
      </c>
      <c r="B514" s="13" t="s">
        <v>4656</v>
      </c>
      <c r="C514" s="14" t="s">
        <v>4657</v>
      </c>
      <c r="D514" s="15" t="s">
        <v>4658</v>
      </c>
      <c r="E514" s="15" t="s">
        <v>4659</v>
      </c>
      <c r="F514" s="15" t="s">
        <v>909</v>
      </c>
      <c r="G514" s="15" t="s">
        <v>4660</v>
      </c>
      <c r="H514" s="15"/>
      <c r="I514" s="15" t="s">
        <v>38</v>
      </c>
      <c r="J514" s="15" t="s">
        <v>4660</v>
      </c>
      <c r="K514" s="15"/>
      <c r="L514" s="15" t="s">
        <v>38</v>
      </c>
      <c r="M514" s="46" t="s">
        <v>4661</v>
      </c>
      <c r="N514" s="13" t="s">
        <v>4662</v>
      </c>
      <c r="O514" s="13"/>
      <c r="P514" s="15" t="s">
        <v>4663</v>
      </c>
      <c r="Q514" s="17" t="s">
        <v>4664</v>
      </c>
      <c r="R514" s="18">
        <v>78</v>
      </c>
      <c r="S514" s="19">
        <f t="shared" si="5"/>
        <v>12636</v>
      </c>
      <c r="T514" s="12" t="s">
        <v>46</v>
      </c>
      <c r="U514" s="15"/>
      <c r="V514" s="19">
        <v>44610</v>
      </c>
      <c r="W514" s="15" t="s">
        <v>71</v>
      </c>
      <c r="X514" s="13">
        <v>1032297</v>
      </c>
      <c r="Y514" s="20"/>
      <c r="Z514" s="13">
        <v>3876941</v>
      </c>
      <c r="AA514" s="13"/>
      <c r="AB514" s="13"/>
      <c r="AC514" s="15">
        <v>5615815</v>
      </c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</row>
    <row r="515" spans="1:46" ht="45" customHeight="1">
      <c r="A515" s="12" t="s">
        <v>4665</v>
      </c>
      <c r="B515" s="13" t="s">
        <v>4666</v>
      </c>
      <c r="C515" s="66" t="s">
        <v>4667</v>
      </c>
      <c r="D515" s="15" t="s">
        <v>4668</v>
      </c>
      <c r="E515" s="15" t="s">
        <v>4669</v>
      </c>
      <c r="F515" s="15" t="s">
        <v>909</v>
      </c>
      <c r="G515" s="15" t="s">
        <v>4670</v>
      </c>
      <c r="H515" s="15" t="s">
        <v>4671</v>
      </c>
      <c r="I515" s="15" t="s">
        <v>149</v>
      </c>
      <c r="J515" s="15" t="s">
        <v>4670</v>
      </c>
      <c r="K515" s="15" t="s">
        <v>4671</v>
      </c>
      <c r="L515" s="15" t="s">
        <v>149</v>
      </c>
      <c r="M515" s="46" t="s">
        <v>4672</v>
      </c>
      <c r="N515" s="13" t="s">
        <v>4673</v>
      </c>
      <c r="O515" s="13"/>
      <c r="P515" s="15" t="s">
        <v>94</v>
      </c>
      <c r="Q515" s="17" t="s">
        <v>4674</v>
      </c>
      <c r="R515" s="18">
        <v>121</v>
      </c>
      <c r="S515" s="19">
        <f t="shared" si="5"/>
        <v>19602</v>
      </c>
      <c r="T515" s="12" t="s">
        <v>46</v>
      </c>
      <c r="U515" s="15"/>
      <c r="V515" s="19">
        <v>44610</v>
      </c>
      <c r="W515" s="15"/>
      <c r="X515" s="13"/>
      <c r="Y515" s="20">
        <v>3081796</v>
      </c>
      <c r="Z515" s="13"/>
      <c r="AA515" s="13"/>
      <c r="AB515" s="13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</row>
    <row r="516" spans="1:46" ht="45" customHeight="1">
      <c r="A516" s="21" t="s">
        <v>4675</v>
      </c>
      <c r="B516" s="22" t="s">
        <v>4676</v>
      </c>
      <c r="C516" s="23" t="s">
        <v>4677</v>
      </c>
      <c r="D516" s="24" t="s">
        <v>4678</v>
      </c>
      <c r="E516" s="24" t="s">
        <v>4679</v>
      </c>
      <c r="F516" s="24" t="s">
        <v>111</v>
      </c>
      <c r="G516" s="24" t="s">
        <v>553</v>
      </c>
      <c r="H516" s="24"/>
      <c r="I516" s="24" t="s">
        <v>149</v>
      </c>
      <c r="J516" s="24" t="s">
        <v>4680</v>
      </c>
      <c r="K516" s="24"/>
      <c r="L516" s="24" t="s">
        <v>149</v>
      </c>
      <c r="M516" s="148" t="s">
        <v>554</v>
      </c>
      <c r="N516" s="22">
        <v>2615751114</v>
      </c>
      <c r="O516" s="22"/>
      <c r="P516" s="24" t="s">
        <v>117</v>
      </c>
      <c r="Q516" s="28" t="s">
        <v>4681</v>
      </c>
      <c r="R516" s="29">
        <v>2545</v>
      </c>
      <c r="S516" s="30">
        <f t="shared" si="5"/>
        <v>412290</v>
      </c>
      <c r="T516" s="21" t="s">
        <v>96</v>
      </c>
      <c r="U516" s="24"/>
      <c r="V516" s="30">
        <v>368160</v>
      </c>
      <c r="W516" s="24" t="s">
        <v>71</v>
      </c>
      <c r="X516" s="22"/>
      <c r="Y516" s="31"/>
      <c r="Z516" s="22"/>
      <c r="AA516" s="22"/>
      <c r="AB516" s="22">
        <v>4902250</v>
      </c>
      <c r="AC516" s="24">
        <v>5484921</v>
      </c>
      <c r="AD516" s="45">
        <v>6457877</v>
      </c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</row>
    <row r="517" spans="1:46" ht="38.25" customHeight="1">
      <c r="A517" s="21" t="s">
        <v>4682</v>
      </c>
      <c r="B517" s="22" t="s">
        <v>4683</v>
      </c>
      <c r="C517" s="23" t="s">
        <v>4684</v>
      </c>
      <c r="D517" s="24" t="s">
        <v>4685</v>
      </c>
      <c r="E517" s="24" t="s">
        <v>4686</v>
      </c>
      <c r="F517" s="24" t="s">
        <v>181</v>
      </c>
      <c r="G517" s="24" t="s">
        <v>4687</v>
      </c>
      <c r="H517" s="24" t="s">
        <v>52</v>
      </c>
      <c r="I517" s="24" t="s">
        <v>53</v>
      </c>
      <c r="J517" s="24" t="s">
        <v>4688</v>
      </c>
      <c r="K517" s="24" t="s">
        <v>4689</v>
      </c>
      <c r="L517" s="24" t="s">
        <v>206</v>
      </c>
      <c r="M517" s="59" t="s">
        <v>2326</v>
      </c>
      <c r="N517" s="22" t="s">
        <v>4690</v>
      </c>
      <c r="O517" s="22"/>
      <c r="P517" s="24" t="s">
        <v>94</v>
      </c>
      <c r="Q517" s="28" t="s">
        <v>4691</v>
      </c>
      <c r="R517" s="29">
        <v>808</v>
      </c>
      <c r="S517" s="30">
        <f t="shared" si="5"/>
        <v>130896</v>
      </c>
      <c r="T517" s="21" t="s">
        <v>252</v>
      </c>
      <c r="U517" s="24"/>
      <c r="V517" s="30">
        <v>123900</v>
      </c>
      <c r="W517" s="24" t="s">
        <v>71</v>
      </c>
      <c r="X517" s="22">
        <v>1023507</v>
      </c>
      <c r="Y517" s="31">
        <v>3090424</v>
      </c>
      <c r="Z517" s="22"/>
      <c r="AA517" s="22">
        <v>4629771</v>
      </c>
      <c r="AB517" s="22"/>
      <c r="AC517" s="24">
        <v>5532898</v>
      </c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</row>
    <row r="518" spans="1:46" ht="45" customHeight="1">
      <c r="A518" s="12" t="s">
        <v>4692</v>
      </c>
      <c r="B518" s="13" t="s">
        <v>4693</v>
      </c>
      <c r="C518" s="14" t="s">
        <v>4694</v>
      </c>
      <c r="D518" s="15" t="s">
        <v>4695</v>
      </c>
      <c r="E518" s="15" t="s">
        <v>4696</v>
      </c>
      <c r="F518" s="15" t="s">
        <v>204</v>
      </c>
      <c r="G518" s="15" t="s">
        <v>4697</v>
      </c>
      <c r="H518" s="15" t="s">
        <v>2698</v>
      </c>
      <c r="I518" s="15" t="s">
        <v>38</v>
      </c>
      <c r="J518" s="15" t="s">
        <v>4697</v>
      </c>
      <c r="K518" s="15" t="s">
        <v>2698</v>
      </c>
      <c r="L518" s="15" t="s">
        <v>38</v>
      </c>
      <c r="M518" s="16" t="s">
        <v>4698</v>
      </c>
      <c r="N518" s="13" t="s">
        <v>4699</v>
      </c>
      <c r="O518" s="13"/>
      <c r="P518" s="15" t="s">
        <v>44</v>
      </c>
      <c r="Q518" s="17" t="s">
        <v>4700</v>
      </c>
      <c r="R518" s="18">
        <v>230</v>
      </c>
      <c r="S518" s="19">
        <f t="shared" si="5"/>
        <v>37260</v>
      </c>
      <c r="T518" s="12" t="s">
        <v>46</v>
      </c>
      <c r="U518" s="15"/>
      <c r="V518" s="19">
        <v>44610</v>
      </c>
      <c r="W518" s="15" t="s">
        <v>71</v>
      </c>
      <c r="X518" s="13"/>
      <c r="Y518" s="20"/>
      <c r="Z518" s="13">
        <v>3893196</v>
      </c>
      <c r="AA518" s="13">
        <v>4721418</v>
      </c>
      <c r="AB518" s="13"/>
      <c r="AC518" s="15">
        <v>5581204</v>
      </c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</row>
    <row r="519" spans="1:46" ht="45" customHeight="1">
      <c r="A519" s="50" t="s">
        <v>4701</v>
      </c>
      <c r="B519" s="51" t="s">
        <v>4702</v>
      </c>
      <c r="C519" s="52" t="s">
        <v>4703</v>
      </c>
      <c r="D519" s="53" t="s">
        <v>4704</v>
      </c>
      <c r="E519" s="53" t="s">
        <v>2387</v>
      </c>
      <c r="F519" s="53" t="s">
        <v>147</v>
      </c>
      <c r="G519" s="53" t="s">
        <v>4705</v>
      </c>
      <c r="H519" s="53"/>
      <c r="I519" s="53" t="s">
        <v>149</v>
      </c>
      <c r="J519" s="53" t="s">
        <v>4705</v>
      </c>
      <c r="K519" s="53"/>
      <c r="L519" s="53" t="s">
        <v>149</v>
      </c>
      <c r="M519" s="54" t="s">
        <v>4706</v>
      </c>
      <c r="N519" s="51" t="s">
        <v>4707</v>
      </c>
      <c r="O519" s="51"/>
      <c r="P519" s="53" t="s">
        <v>4708</v>
      </c>
      <c r="Q519" s="55" t="s">
        <v>4709</v>
      </c>
      <c r="R519" s="56">
        <v>104</v>
      </c>
      <c r="S519" s="57">
        <f t="shared" si="5"/>
        <v>16848</v>
      </c>
      <c r="T519" s="50" t="s">
        <v>46</v>
      </c>
      <c r="U519" s="53"/>
      <c r="V519" s="57">
        <v>44610</v>
      </c>
      <c r="W519" s="53"/>
      <c r="X519" s="51"/>
      <c r="Y519" s="58"/>
      <c r="Z519" s="51"/>
      <c r="AA519" s="51"/>
      <c r="AB519" s="51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</row>
    <row r="520" spans="1:46" ht="45" customHeight="1">
      <c r="A520" s="50" t="s">
        <v>4710</v>
      </c>
      <c r="B520" s="51" t="s">
        <v>4711</v>
      </c>
      <c r="C520" s="52" t="s">
        <v>4712</v>
      </c>
      <c r="D520" s="53" t="s">
        <v>4713</v>
      </c>
      <c r="E520" s="53" t="s">
        <v>4714</v>
      </c>
      <c r="F520" s="53" t="s">
        <v>4715</v>
      </c>
      <c r="G520" s="53"/>
      <c r="H520" s="53"/>
      <c r="I520" s="53"/>
      <c r="J520" s="53" t="s">
        <v>4716</v>
      </c>
      <c r="K520" s="53" t="s">
        <v>4717</v>
      </c>
      <c r="L520" s="53" t="s">
        <v>332</v>
      </c>
      <c r="M520" s="68" t="s">
        <v>4718</v>
      </c>
      <c r="N520" s="51" t="s">
        <v>4719</v>
      </c>
      <c r="O520" s="51"/>
      <c r="P520" s="53" t="s">
        <v>408</v>
      </c>
      <c r="Q520" s="55" t="s">
        <v>4720</v>
      </c>
      <c r="R520" s="149" t="s">
        <v>770</v>
      </c>
      <c r="S520" s="57" t="e">
        <f t="shared" si="5"/>
        <v>#VALUE!</v>
      </c>
      <c r="T520" s="150" t="s">
        <v>770</v>
      </c>
      <c r="U520" s="53"/>
      <c r="V520" s="57">
        <v>0</v>
      </c>
      <c r="W520" s="53"/>
      <c r="X520" s="51"/>
      <c r="Y520" s="58"/>
      <c r="Z520" s="51"/>
      <c r="AA520" s="51"/>
      <c r="AB520" s="51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</row>
    <row r="521" spans="1:46" ht="45" customHeight="1">
      <c r="A521" s="50" t="s">
        <v>4721</v>
      </c>
      <c r="B521" s="51" t="s">
        <v>4722</v>
      </c>
      <c r="C521" s="52" t="s">
        <v>4723</v>
      </c>
      <c r="D521" s="53" t="s">
        <v>4713</v>
      </c>
      <c r="E521" s="53" t="s">
        <v>4714</v>
      </c>
      <c r="F521" s="53" t="s">
        <v>4715</v>
      </c>
      <c r="G521" s="53"/>
      <c r="H521" s="53"/>
      <c r="I521" s="53"/>
      <c r="J521" s="53" t="s">
        <v>4724</v>
      </c>
      <c r="K521" s="53" t="s">
        <v>4725</v>
      </c>
      <c r="L521" s="53" t="s">
        <v>321</v>
      </c>
      <c r="M521" s="68" t="s">
        <v>4718</v>
      </c>
      <c r="N521" s="51" t="s">
        <v>4719</v>
      </c>
      <c r="O521" s="51"/>
      <c r="P521" s="53" t="s">
        <v>408</v>
      </c>
      <c r="Q521" s="55" t="s">
        <v>4726</v>
      </c>
      <c r="R521" s="149" t="s">
        <v>770</v>
      </c>
      <c r="S521" s="57" t="e">
        <f t="shared" si="5"/>
        <v>#VALUE!</v>
      </c>
      <c r="T521" s="150" t="s">
        <v>770</v>
      </c>
      <c r="U521" s="53"/>
      <c r="V521" s="57">
        <v>0</v>
      </c>
      <c r="W521" s="53"/>
      <c r="X521" s="51"/>
      <c r="Y521" s="58"/>
      <c r="Z521" s="51"/>
      <c r="AA521" s="51"/>
      <c r="AB521" s="51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</row>
    <row r="522" spans="1:46" ht="45" customHeight="1">
      <c r="A522" s="12" t="s">
        <v>4727</v>
      </c>
      <c r="B522" s="13" t="s">
        <v>4728</v>
      </c>
      <c r="C522" s="14" t="s">
        <v>4729</v>
      </c>
      <c r="D522" s="15" t="s">
        <v>4730</v>
      </c>
      <c r="E522" s="15" t="s">
        <v>4731</v>
      </c>
      <c r="F522" s="15" t="s">
        <v>204</v>
      </c>
      <c r="G522" s="15" t="s">
        <v>370</v>
      </c>
      <c r="H522" s="15" t="s">
        <v>125</v>
      </c>
      <c r="I522" s="15" t="s">
        <v>115</v>
      </c>
      <c r="J522" s="15" t="s">
        <v>4732</v>
      </c>
      <c r="K522" s="15"/>
      <c r="L522" s="15" t="s">
        <v>41</v>
      </c>
      <c r="M522" s="46" t="s">
        <v>4733</v>
      </c>
      <c r="N522" s="13" t="s">
        <v>4734</v>
      </c>
      <c r="O522" s="13"/>
      <c r="P522" s="15" t="s">
        <v>1381</v>
      </c>
      <c r="Q522" s="17" t="s">
        <v>4735</v>
      </c>
      <c r="R522" s="18">
        <v>236</v>
      </c>
      <c r="S522" s="19">
        <f t="shared" si="5"/>
        <v>38232</v>
      </c>
      <c r="T522" s="12" t="s">
        <v>46</v>
      </c>
      <c r="U522" s="15"/>
      <c r="V522" s="19">
        <v>44610</v>
      </c>
      <c r="W522" s="15" t="s">
        <v>71</v>
      </c>
      <c r="X522" s="13">
        <v>1006338</v>
      </c>
      <c r="Y522" s="20">
        <v>3066961</v>
      </c>
      <c r="Z522" s="13">
        <v>3827564</v>
      </c>
      <c r="AA522" s="13">
        <v>4669010</v>
      </c>
      <c r="AB522" s="13"/>
      <c r="AC522" s="15">
        <v>5571156</v>
      </c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</row>
    <row r="523" spans="1:46" ht="45" customHeight="1">
      <c r="A523" s="12" t="s">
        <v>4736</v>
      </c>
      <c r="B523" s="13" t="s">
        <v>4737</v>
      </c>
      <c r="C523" s="14" t="s">
        <v>4738</v>
      </c>
      <c r="D523" s="15" t="s">
        <v>4739</v>
      </c>
      <c r="E523" s="15" t="s">
        <v>4740</v>
      </c>
      <c r="F523" s="15" t="s">
        <v>909</v>
      </c>
      <c r="G523" s="15" t="s">
        <v>4741</v>
      </c>
      <c r="H523" s="15"/>
      <c r="I523" s="15" t="s">
        <v>149</v>
      </c>
      <c r="J523" s="15" t="s">
        <v>4741</v>
      </c>
      <c r="K523" s="15"/>
      <c r="L523" s="15" t="s">
        <v>149</v>
      </c>
      <c r="M523" s="16" t="s">
        <v>4742</v>
      </c>
      <c r="N523" s="13" t="s">
        <v>4743</v>
      </c>
      <c r="O523" s="13"/>
      <c r="P523" s="15" t="s">
        <v>685</v>
      </c>
      <c r="Q523" s="17" t="s">
        <v>4744</v>
      </c>
      <c r="R523" s="18">
        <v>150</v>
      </c>
      <c r="S523" s="19">
        <f t="shared" si="5"/>
        <v>24300</v>
      </c>
      <c r="T523" s="12" t="s">
        <v>46</v>
      </c>
      <c r="U523" s="15"/>
      <c r="V523" s="19">
        <v>44610</v>
      </c>
      <c r="W523" s="15" t="s">
        <v>71</v>
      </c>
      <c r="X523" s="13"/>
      <c r="Y523" s="20"/>
      <c r="Z523" s="13">
        <v>3882170</v>
      </c>
      <c r="AA523" s="13">
        <v>4753612</v>
      </c>
      <c r="AB523" s="13"/>
      <c r="AC523" s="15">
        <v>5550726</v>
      </c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</row>
    <row r="524" spans="1:46" ht="45" customHeight="1">
      <c r="A524" s="12" t="s">
        <v>4745</v>
      </c>
      <c r="B524" s="13" t="s">
        <v>4746</v>
      </c>
      <c r="C524" s="14" t="s">
        <v>4747</v>
      </c>
      <c r="D524" s="15" t="s">
        <v>4748</v>
      </c>
      <c r="E524" s="15" t="s">
        <v>4749</v>
      </c>
      <c r="F524" s="15" t="s">
        <v>909</v>
      </c>
      <c r="G524" s="15" t="s">
        <v>4750</v>
      </c>
      <c r="H524" s="15" t="s">
        <v>4751</v>
      </c>
      <c r="I524" s="15" t="s">
        <v>115</v>
      </c>
      <c r="J524" s="15" t="s">
        <v>4750</v>
      </c>
      <c r="K524" s="15" t="s">
        <v>4752</v>
      </c>
      <c r="L524" s="15" t="s">
        <v>115</v>
      </c>
      <c r="M524" s="16" t="s">
        <v>4753</v>
      </c>
      <c r="N524" s="13" t="s">
        <v>4754</v>
      </c>
      <c r="O524" s="13"/>
      <c r="P524" s="15" t="s">
        <v>44</v>
      </c>
      <c r="Q524" s="17" t="s">
        <v>4755</v>
      </c>
      <c r="R524" s="18">
        <v>31</v>
      </c>
      <c r="S524" s="19">
        <f t="shared" si="5"/>
        <v>5022</v>
      </c>
      <c r="T524" s="12" t="s">
        <v>46</v>
      </c>
      <c r="U524" s="15"/>
      <c r="V524" s="19">
        <v>44610</v>
      </c>
      <c r="W524" s="15" t="s">
        <v>47</v>
      </c>
      <c r="X524" s="13"/>
      <c r="Y524" s="20">
        <v>3120598</v>
      </c>
      <c r="Z524" s="13">
        <v>3836122</v>
      </c>
      <c r="AA524" s="13"/>
      <c r="AB524" s="13"/>
      <c r="AC524" s="15">
        <v>5571059</v>
      </c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</row>
    <row r="525" spans="1:46" ht="45" customHeight="1">
      <c r="A525" s="12" t="s">
        <v>4756</v>
      </c>
      <c r="B525" s="13" t="s">
        <v>4757</v>
      </c>
      <c r="C525" s="14" t="s">
        <v>4758</v>
      </c>
      <c r="D525" s="15" t="s">
        <v>4759</v>
      </c>
      <c r="E525" s="15" t="s">
        <v>4749</v>
      </c>
      <c r="F525" s="15" t="s">
        <v>909</v>
      </c>
      <c r="G525" s="15" t="s">
        <v>4760</v>
      </c>
      <c r="H525" s="15" t="s">
        <v>630</v>
      </c>
      <c r="I525" s="15" t="s">
        <v>80</v>
      </c>
      <c r="J525" s="15" t="s">
        <v>4760</v>
      </c>
      <c r="K525" s="15" t="s">
        <v>630</v>
      </c>
      <c r="L525" s="15" t="s">
        <v>80</v>
      </c>
      <c r="M525" s="46" t="s">
        <v>4761</v>
      </c>
      <c r="N525" s="13" t="s">
        <v>4762</v>
      </c>
      <c r="O525" s="13"/>
      <c r="P525" s="15" t="s">
        <v>1381</v>
      </c>
      <c r="Q525" s="17" t="s">
        <v>4763</v>
      </c>
      <c r="R525" s="18">
        <v>205</v>
      </c>
      <c r="S525" s="19">
        <f t="shared" si="5"/>
        <v>33210</v>
      </c>
      <c r="T525" s="12" t="s">
        <v>46</v>
      </c>
      <c r="U525" s="15"/>
      <c r="V525" s="19">
        <v>44610</v>
      </c>
      <c r="W525" s="15" t="s">
        <v>71</v>
      </c>
      <c r="X525" s="13">
        <v>1021893</v>
      </c>
      <c r="Y525" s="20">
        <v>3067103</v>
      </c>
      <c r="Z525" s="13">
        <v>3835370</v>
      </c>
      <c r="AA525" s="13">
        <v>4669012</v>
      </c>
      <c r="AB525" s="13"/>
      <c r="AC525" s="15">
        <v>5531436</v>
      </c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</row>
    <row r="526" spans="1:46" ht="45" customHeight="1">
      <c r="A526" s="12" t="s">
        <v>4764</v>
      </c>
      <c r="B526" s="13" t="s">
        <v>4765</v>
      </c>
      <c r="C526" s="14" t="s">
        <v>4766</v>
      </c>
      <c r="D526" s="15" t="s">
        <v>4767</v>
      </c>
      <c r="E526" s="15" t="s">
        <v>4768</v>
      </c>
      <c r="F526" s="15" t="s">
        <v>909</v>
      </c>
      <c r="G526" s="15" t="s">
        <v>4769</v>
      </c>
      <c r="H526" s="15" t="s">
        <v>4770</v>
      </c>
      <c r="I526" s="15" t="s">
        <v>321</v>
      </c>
      <c r="J526" s="15" t="s">
        <v>4769</v>
      </c>
      <c r="K526" s="15" t="s">
        <v>4770</v>
      </c>
      <c r="L526" s="15" t="s">
        <v>321</v>
      </c>
      <c r="M526" s="16" t="s">
        <v>4771</v>
      </c>
      <c r="N526" s="13" t="s">
        <v>4772</v>
      </c>
      <c r="O526" s="13"/>
      <c r="P526" s="15" t="s">
        <v>151</v>
      </c>
      <c r="Q526" s="17" t="s">
        <v>4773</v>
      </c>
      <c r="R526" s="18">
        <v>54</v>
      </c>
      <c r="S526" s="19">
        <f t="shared" si="5"/>
        <v>8748</v>
      </c>
      <c r="T526" s="12" t="s">
        <v>46</v>
      </c>
      <c r="U526" s="15"/>
      <c r="V526" s="19">
        <v>44610</v>
      </c>
      <c r="W526" s="15"/>
      <c r="X526" s="13"/>
      <c r="Y526" s="20"/>
      <c r="Z526" s="13"/>
      <c r="AA526" s="13"/>
      <c r="AB526" s="13">
        <v>4906310</v>
      </c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</row>
    <row r="527" spans="1:46" ht="45" customHeight="1">
      <c r="A527" s="12" t="s">
        <v>4774</v>
      </c>
      <c r="B527" s="13" t="s">
        <v>4775</v>
      </c>
      <c r="C527" s="14" t="s">
        <v>4776</v>
      </c>
      <c r="D527" s="15" t="s">
        <v>4777</v>
      </c>
      <c r="E527" s="15" t="s">
        <v>4749</v>
      </c>
      <c r="F527" s="15" t="s">
        <v>909</v>
      </c>
      <c r="G527" s="15" t="s">
        <v>4778</v>
      </c>
      <c r="H527" s="15" t="s">
        <v>1446</v>
      </c>
      <c r="I527" s="15" t="s">
        <v>80</v>
      </c>
      <c r="J527" s="15" t="s">
        <v>4779</v>
      </c>
      <c r="K527" s="15" t="s">
        <v>1446</v>
      </c>
      <c r="L527" s="15" t="s">
        <v>80</v>
      </c>
      <c r="M527" s="16" t="s">
        <v>4780</v>
      </c>
      <c r="N527" s="13" t="s">
        <v>4781</v>
      </c>
      <c r="O527" s="13"/>
      <c r="P527" s="15" t="s">
        <v>4782</v>
      </c>
      <c r="Q527" s="17" t="s">
        <v>4783</v>
      </c>
      <c r="R527" s="18">
        <v>24</v>
      </c>
      <c r="S527" s="19">
        <f t="shared" si="5"/>
        <v>3888</v>
      </c>
      <c r="T527" s="12" t="s">
        <v>46</v>
      </c>
      <c r="U527" s="15"/>
      <c r="V527" s="19">
        <v>44610</v>
      </c>
      <c r="W527" s="15"/>
      <c r="X527" s="13">
        <v>988936</v>
      </c>
      <c r="Y527" s="20">
        <v>3091287</v>
      </c>
      <c r="Z527" s="13"/>
      <c r="AA527" s="13">
        <v>4726659</v>
      </c>
      <c r="AB527" s="13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</row>
    <row r="528" spans="1:46" ht="45" customHeight="1">
      <c r="A528" s="12" t="s">
        <v>4784</v>
      </c>
      <c r="B528" s="13" t="s">
        <v>4785</v>
      </c>
      <c r="C528" s="14" t="s">
        <v>4786</v>
      </c>
      <c r="D528" s="15" t="s">
        <v>4787</v>
      </c>
      <c r="E528" s="15" t="s">
        <v>4788</v>
      </c>
      <c r="F528" s="15" t="s">
        <v>909</v>
      </c>
      <c r="G528" s="15" t="s">
        <v>4789</v>
      </c>
      <c r="H528" s="15" t="s">
        <v>4790</v>
      </c>
      <c r="I528" s="15" t="s">
        <v>80</v>
      </c>
      <c r="J528" s="15" t="s">
        <v>4789</v>
      </c>
      <c r="K528" s="15" t="s">
        <v>4791</v>
      </c>
      <c r="L528" s="15" t="s">
        <v>80</v>
      </c>
      <c r="M528" s="46" t="s">
        <v>4792</v>
      </c>
      <c r="N528" s="13" t="s">
        <v>4793</v>
      </c>
      <c r="O528" s="13"/>
      <c r="P528" s="15" t="s">
        <v>44</v>
      </c>
      <c r="Q528" s="17" t="s">
        <v>4794</v>
      </c>
      <c r="R528" s="18">
        <v>48</v>
      </c>
      <c r="S528" s="19">
        <f t="shared" si="5"/>
        <v>7776</v>
      </c>
      <c r="T528" s="12" t="s">
        <v>46</v>
      </c>
      <c r="U528" s="15"/>
      <c r="V528" s="19">
        <v>44610</v>
      </c>
      <c r="W528" s="15" t="s">
        <v>47</v>
      </c>
      <c r="X528" s="13"/>
      <c r="Y528" s="20">
        <v>3065897</v>
      </c>
      <c r="Z528" s="13"/>
      <c r="AA528" s="13"/>
      <c r="AB528" s="13">
        <v>4849646</v>
      </c>
      <c r="AC528" s="15">
        <v>5571066</v>
      </c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</row>
    <row r="529" spans="1:46" ht="45" customHeight="1">
      <c r="A529" s="12" t="s">
        <v>4795</v>
      </c>
      <c r="B529" s="13" t="s">
        <v>4796</v>
      </c>
      <c r="C529" s="14" t="s">
        <v>4797</v>
      </c>
      <c r="D529" s="15" t="s">
        <v>4798</v>
      </c>
      <c r="E529" s="15" t="s">
        <v>4799</v>
      </c>
      <c r="F529" s="15" t="s">
        <v>909</v>
      </c>
      <c r="G529" s="15" t="s">
        <v>4800</v>
      </c>
      <c r="H529" s="15" t="s">
        <v>4770</v>
      </c>
      <c r="I529" s="15" t="s">
        <v>321</v>
      </c>
      <c r="J529" s="15" t="s">
        <v>4800</v>
      </c>
      <c r="K529" s="15" t="s">
        <v>4770</v>
      </c>
      <c r="L529" s="15" t="s">
        <v>321</v>
      </c>
      <c r="M529" s="16" t="s">
        <v>4801</v>
      </c>
      <c r="N529" s="13" t="s">
        <v>4802</v>
      </c>
      <c r="O529" s="13"/>
      <c r="P529" s="15" t="s">
        <v>44</v>
      </c>
      <c r="Q529" s="17" t="s">
        <v>4803</v>
      </c>
      <c r="R529" s="18">
        <v>53</v>
      </c>
      <c r="S529" s="19">
        <f t="shared" si="5"/>
        <v>8586</v>
      </c>
      <c r="T529" s="12" t="s">
        <v>46</v>
      </c>
      <c r="U529" s="15"/>
      <c r="V529" s="19">
        <v>44610</v>
      </c>
      <c r="W529" s="15"/>
      <c r="X529" s="13">
        <v>1122110</v>
      </c>
      <c r="Y529" s="20"/>
      <c r="Z529" s="13"/>
      <c r="AA529" s="13"/>
      <c r="AB529" s="13">
        <v>4855567</v>
      </c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</row>
    <row r="530" spans="1:46" ht="45" customHeight="1">
      <c r="A530" s="40" t="s">
        <v>4804</v>
      </c>
      <c r="B530" s="33" t="s">
        <v>4805</v>
      </c>
      <c r="C530" s="34" t="s">
        <v>4806</v>
      </c>
      <c r="D530" s="35" t="s">
        <v>4807</v>
      </c>
      <c r="E530" s="35" t="s">
        <v>4749</v>
      </c>
      <c r="F530" s="35" t="s">
        <v>909</v>
      </c>
      <c r="G530" s="35" t="s">
        <v>4808</v>
      </c>
      <c r="H530" s="35" t="s">
        <v>2539</v>
      </c>
      <c r="I530" s="35" t="s">
        <v>38</v>
      </c>
      <c r="J530" s="35" t="s">
        <v>4809</v>
      </c>
      <c r="K530" s="35" t="s">
        <v>1013</v>
      </c>
      <c r="L530" s="35" t="s">
        <v>149</v>
      </c>
      <c r="M530" s="36" t="s">
        <v>4810</v>
      </c>
      <c r="N530" s="33" t="s">
        <v>4811</v>
      </c>
      <c r="O530" s="33"/>
      <c r="P530" s="35" t="s">
        <v>44</v>
      </c>
      <c r="Q530" s="37" t="s">
        <v>4812</v>
      </c>
      <c r="R530" s="38">
        <v>15</v>
      </c>
      <c r="S530" s="39">
        <f t="shared" si="5"/>
        <v>2430</v>
      </c>
      <c r="T530" s="40" t="s">
        <v>46</v>
      </c>
      <c r="U530" s="35"/>
      <c r="V530" s="39">
        <v>44610</v>
      </c>
      <c r="W530" s="35"/>
      <c r="X530" s="33"/>
      <c r="Y530" s="41"/>
      <c r="Z530" s="33"/>
      <c r="AA530" s="33"/>
      <c r="AB530" s="33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</row>
    <row r="531" spans="1:46" ht="45" customHeight="1">
      <c r="A531" s="12" t="s">
        <v>4813</v>
      </c>
      <c r="B531" s="13" t="s">
        <v>4814</v>
      </c>
      <c r="C531" s="14" t="s">
        <v>4815</v>
      </c>
      <c r="D531" s="15" t="s">
        <v>4816</v>
      </c>
      <c r="E531" s="15" t="s">
        <v>4799</v>
      </c>
      <c r="F531" s="15" t="s">
        <v>909</v>
      </c>
      <c r="G531" s="15" t="s">
        <v>4817</v>
      </c>
      <c r="H531" s="15" t="s">
        <v>2539</v>
      </c>
      <c r="I531" s="15" t="s">
        <v>38</v>
      </c>
      <c r="J531" s="15" t="s">
        <v>4818</v>
      </c>
      <c r="K531" s="15" t="s">
        <v>4520</v>
      </c>
      <c r="L531" s="15" t="s">
        <v>41</v>
      </c>
      <c r="M531" s="46" t="s">
        <v>3487</v>
      </c>
      <c r="N531" s="13" t="s">
        <v>4819</v>
      </c>
      <c r="O531" s="13"/>
      <c r="P531" s="15" t="s">
        <v>44</v>
      </c>
      <c r="Q531" s="17" t="s">
        <v>4820</v>
      </c>
      <c r="R531" s="18">
        <v>61</v>
      </c>
      <c r="S531" s="19">
        <f t="shared" si="5"/>
        <v>9882</v>
      </c>
      <c r="T531" s="12" t="s">
        <v>46</v>
      </c>
      <c r="U531" s="15"/>
      <c r="V531" s="19">
        <v>44610</v>
      </c>
      <c r="W531" s="15" t="s">
        <v>71</v>
      </c>
      <c r="X531" s="13">
        <v>1031541</v>
      </c>
      <c r="Y531" s="20">
        <v>3101747</v>
      </c>
      <c r="Z531" s="13">
        <v>3887709</v>
      </c>
      <c r="AA531" s="13">
        <v>4697824</v>
      </c>
      <c r="AB531" s="13"/>
      <c r="AC531" s="15">
        <v>5532885</v>
      </c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</row>
    <row r="532" spans="1:46" ht="45" customHeight="1">
      <c r="A532" s="50" t="s">
        <v>4821</v>
      </c>
      <c r="B532" s="51" t="s">
        <v>4822</v>
      </c>
      <c r="C532" s="52" t="s">
        <v>4823</v>
      </c>
      <c r="D532" s="53" t="s">
        <v>4824</v>
      </c>
      <c r="E532" s="53" t="s">
        <v>4768</v>
      </c>
      <c r="F532" s="53" t="s">
        <v>909</v>
      </c>
      <c r="G532" s="53" t="s">
        <v>4825</v>
      </c>
      <c r="H532" s="53" t="s">
        <v>125</v>
      </c>
      <c r="I532" s="53" t="s">
        <v>115</v>
      </c>
      <c r="J532" s="53" t="s">
        <v>4825</v>
      </c>
      <c r="K532" s="53" t="s">
        <v>125</v>
      </c>
      <c r="L532" s="53" t="s">
        <v>115</v>
      </c>
      <c r="M532" s="54" t="s">
        <v>4826</v>
      </c>
      <c r="N532" s="51">
        <v>2615365254</v>
      </c>
      <c r="O532" s="51"/>
      <c r="P532" s="53" t="s">
        <v>1381</v>
      </c>
      <c r="Q532" s="55" t="s">
        <v>4827</v>
      </c>
      <c r="R532" s="56">
        <v>39</v>
      </c>
      <c r="S532" s="57">
        <f t="shared" si="5"/>
        <v>6318</v>
      </c>
      <c r="T532" s="50" t="s">
        <v>46</v>
      </c>
      <c r="U532" s="53"/>
      <c r="V532" s="57">
        <v>44610</v>
      </c>
      <c r="W532" s="53"/>
      <c r="X532" s="51">
        <v>1093976</v>
      </c>
      <c r="Y532" s="58"/>
      <c r="Z532" s="51"/>
      <c r="AA532" s="51"/>
      <c r="AB532" s="51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</row>
    <row r="533" spans="1:46" ht="45" customHeight="1">
      <c r="A533" s="12" t="s">
        <v>4828</v>
      </c>
      <c r="B533" s="13" t="s">
        <v>4829</v>
      </c>
      <c r="C533" s="14" t="s">
        <v>4830</v>
      </c>
      <c r="D533" s="15" t="s">
        <v>4831</v>
      </c>
      <c r="E533" s="15" t="s">
        <v>4799</v>
      </c>
      <c r="F533" s="15" t="s">
        <v>909</v>
      </c>
      <c r="G533" s="15" t="s">
        <v>4832</v>
      </c>
      <c r="H533" s="15" t="s">
        <v>4833</v>
      </c>
      <c r="I533" s="15" t="s">
        <v>65</v>
      </c>
      <c r="J533" s="15" t="s">
        <v>4832</v>
      </c>
      <c r="K533" s="15" t="s">
        <v>4833</v>
      </c>
      <c r="L533" s="15" t="s">
        <v>65</v>
      </c>
      <c r="M533" s="46" t="s">
        <v>3487</v>
      </c>
      <c r="N533" s="13">
        <v>2613050927</v>
      </c>
      <c r="O533" s="13"/>
      <c r="P533" s="15" t="s">
        <v>44</v>
      </c>
      <c r="Q533" s="17" t="s">
        <v>4834</v>
      </c>
      <c r="R533" s="18">
        <v>51</v>
      </c>
      <c r="S533" s="19">
        <f t="shared" si="5"/>
        <v>8262</v>
      </c>
      <c r="T533" s="12" t="s">
        <v>46</v>
      </c>
      <c r="U533" s="15"/>
      <c r="V533" s="19">
        <v>44610</v>
      </c>
      <c r="W533" s="15" t="s">
        <v>71</v>
      </c>
      <c r="X533" s="13">
        <v>1128070</v>
      </c>
      <c r="Y533" s="20">
        <v>3103798</v>
      </c>
      <c r="Z533" s="13">
        <v>3887714</v>
      </c>
      <c r="AA533" s="13">
        <v>4734826</v>
      </c>
      <c r="AB533" s="13"/>
      <c r="AC533" s="15">
        <v>5596660</v>
      </c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</row>
    <row r="534" spans="1:46" ht="45" customHeight="1">
      <c r="A534" s="12" t="s">
        <v>4835</v>
      </c>
      <c r="B534" s="13" t="s">
        <v>4836</v>
      </c>
      <c r="C534" s="14" t="s">
        <v>4837</v>
      </c>
      <c r="D534" s="15" t="s">
        <v>4838</v>
      </c>
      <c r="E534" s="15" t="s">
        <v>4799</v>
      </c>
      <c r="F534" s="15" t="s">
        <v>909</v>
      </c>
      <c r="G534" s="15" t="s">
        <v>4839</v>
      </c>
      <c r="H534" s="15"/>
      <c r="I534" s="15" t="s">
        <v>65</v>
      </c>
      <c r="J534" s="15" t="s">
        <v>4840</v>
      </c>
      <c r="K534" s="15"/>
      <c r="L534" s="15" t="s">
        <v>332</v>
      </c>
      <c r="M534" s="46" t="s">
        <v>4841</v>
      </c>
      <c r="N534" s="13">
        <v>2634512129</v>
      </c>
      <c r="O534" s="13"/>
      <c r="P534" s="15" t="s">
        <v>44</v>
      </c>
      <c r="Q534" s="17" t="s">
        <v>4842</v>
      </c>
      <c r="R534" s="18">
        <v>63</v>
      </c>
      <c r="S534" s="19">
        <f t="shared" si="5"/>
        <v>10206</v>
      </c>
      <c r="T534" s="12" t="s">
        <v>46</v>
      </c>
      <c r="U534" s="15"/>
      <c r="V534" s="19">
        <v>44610</v>
      </c>
      <c r="W534" s="15" t="s">
        <v>71</v>
      </c>
      <c r="X534" s="13">
        <v>1031262</v>
      </c>
      <c r="Y534" s="20">
        <v>3055396</v>
      </c>
      <c r="Z534" s="13">
        <v>3788837</v>
      </c>
      <c r="AA534" s="13">
        <v>4625113</v>
      </c>
      <c r="AB534" s="13"/>
      <c r="AC534" s="15">
        <v>5479459</v>
      </c>
      <c r="AD534" s="49">
        <v>6458598</v>
      </c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</row>
    <row r="535" spans="1:46" ht="45" customHeight="1">
      <c r="A535" s="12" t="s">
        <v>4843</v>
      </c>
      <c r="B535" s="13" t="s">
        <v>4844</v>
      </c>
      <c r="C535" s="14" t="s">
        <v>4845</v>
      </c>
      <c r="D535" s="15" t="s">
        <v>4846</v>
      </c>
      <c r="E535" s="15" t="s">
        <v>4847</v>
      </c>
      <c r="F535" s="15" t="s">
        <v>181</v>
      </c>
      <c r="G535" s="15" t="s">
        <v>4848</v>
      </c>
      <c r="H535" s="15" t="s">
        <v>125</v>
      </c>
      <c r="I535" s="15" t="s">
        <v>115</v>
      </c>
      <c r="J535" s="15" t="s">
        <v>4849</v>
      </c>
      <c r="K535" s="15" t="s">
        <v>4850</v>
      </c>
      <c r="L535" s="15" t="s">
        <v>2325</v>
      </c>
      <c r="M535" s="16" t="s">
        <v>4851</v>
      </c>
      <c r="N535" s="13" t="s">
        <v>4852</v>
      </c>
      <c r="O535" s="13"/>
      <c r="P535" s="15" t="s">
        <v>94</v>
      </c>
      <c r="Q535" s="17" t="s">
        <v>4853</v>
      </c>
      <c r="R535" s="18">
        <v>544</v>
      </c>
      <c r="S535" s="19">
        <f t="shared" si="5"/>
        <v>88128</v>
      </c>
      <c r="T535" s="12" t="s">
        <v>46</v>
      </c>
      <c r="U535" s="15"/>
      <c r="V535" s="19">
        <v>44610</v>
      </c>
      <c r="W535" s="15" t="s">
        <v>71</v>
      </c>
      <c r="X535" s="13">
        <v>1138163</v>
      </c>
      <c r="Y535" s="20"/>
      <c r="Z535" s="13"/>
      <c r="AA535" s="13"/>
      <c r="AB535" s="13">
        <v>4904717</v>
      </c>
      <c r="AC535" s="15">
        <v>5620424</v>
      </c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</row>
    <row r="536" spans="1:46" ht="45" customHeight="1">
      <c r="A536" s="12" t="s">
        <v>4854</v>
      </c>
      <c r="B536" s="13" t="s">
        <v>4855</v>
      </c>
      <c r="C536" s="14" t="s">
        <v>4856</v>
      </c>
      <c r="D536" s="15" t="s">
        <v>4857</v>
      </c>
      <c r="E536" s="15" t="s">
        <v>4858</v>
      </c>
      <c r="F536" s="15" t="s">
        <v>909</v>
      </c>
      <c r="G536" s="15" t="s">
        <v>4859</v>
      </c>
      <c r="H536" s="15"/>
      <c r="I536" s="15" t="s">
        <v>41</v>
      </c>
      <c r="J536" s="15" t="s">
        <v>4859</v>
      </c>
      <c r="K536" s="15"/>
      <c r="L536" s="15" t="s">
        <v>41</v>
      </c>
      <c r="M536" s="46" t="s">
        <v>4860</v>
      </c>
      <c r="N536" s="13" t="s">
        <v>4861</v>
      </c>
      <c r="O536" s="13"/>
      <c r="P536" s="15" t="s">
        <v>44</v>
      </c>
      <c r="Q536" s="17" t="s">
        <v>4862</v>
      </c>
      <c r="R536" s="18">
        <v>41</v>
      </c>
      <c r="S536" s="19">
        <f t="shared" si="5"/>
        <v>6642</v>
      </c>
      <c r="T536" s="12" t="s">
        <v>46</v>
      </c>
      <c r="U536" s="15"/>
      <c r="V536" s="19">
        <v>44610</v>
      </c>
      <c r="W536" s="15" t="s">
        <v>47</v>
      </c>
      <c r="X536" s="13">
        <v>1030416</v>
      </c>
      <c r="Y536" s="20">
        <v>3059803</v>
      </c>
      <c r="Z536" s="13">
        <v>3851307</v>
      </c>
      <c r="AA536" s="13">
        <v>4698091</v>
      </c>
      <c r="AB536" s="13"/>
      <c r="AC536" s="15">
        <v>5571072</v>
      </c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</row>
    <row r="537" spans="1:46" ht="45" customHeight="1">
      <c r="A537" s="12" t="s">
        <v>4863</v>
      </c>
      <c r="B537" s="13" t="s">
        <v>4864</v>
      </c>
      <c r="C537" s="14" t="s">
        <v>4865</v>
      </c>
      <c r="D537" s="15" t="s">
        <v>4866</v>
      </c>
      <c r="E537" s="15" t="s">
        <v>4799</v>
      </c>
      <c r="F537" s="15" t="s">
        <v>909</v>
      </c>
      <c r="G537" s="15" t="s">
        <v>4867</v>
      </c>
      <c r="H537" s="15"/>
      <c r="I537" s="15" t="s">
        <v>1367</v>
      </c>
      <c r="J537" s="15" t="s">
        <v>4868</v>
      </c>
      <c r="K537" s="15"/>
      <c r="L537" s="15" t="s">
        <v>321</v>
      </c>
      <c r="M537" s="46" t="s">
        <v>4869</v>
      </c>
      <c r="N537" s="13" t="s">
        <v>4870</v>
      </c>
      <c r="O537" s="13"/>
      <c r="P537" s="15" t="s">
        <v>1381</v>
      </c>
      <c r="Q537" s="17" t="s">
        <v>4871</v>
      </c>
      <c r="R537" s="18">
        <v>34</v>
      </c>
      <c r="S537" s="19">
        <f t="shared" si="5"/>
        <v>5508</v>
      </c>
      <c r="T537" s="12" t="s">
        <v>46</v>
      </c>
      <c r="U537" s="15"/>
      <c r="V537" s="19">
        <v>44610</v>
      </c>
      <c r="W537" s="15"/>
      <c r="X537" s="13"/>
      <c r="Y537" s="20"/>
      <c r="Z537" s="13">
        <v>3845182</v>
      </c>
      <c r="AA537" s="13"/>
      <c r="AB537" s="13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</row>
    <row r="538" spans="1:46" ht="45" customHeight="1">
      <c r="A538" s="12" t="s">
        <v>4872</v>
      </c>
      <c r="B538" s="13" t="s">
        <v>4873</v>
      </c>
      <c r="C538" s="14" t="s">
        <v>4874</v>
      </c>
      <c r="D538" s="15" t="s">
        <v>4875</v>
      </c>
      <c r="E538" s="15" t="s">
        <v>4799</v>
      </c>
      <c r="F538" s="15" t="s">
        <v>909</v>
      </c>
      <c r="G538" s="15" t="s">
        <v>4876</v>
      </c>
      <c r="H538" s="15" t="s">
        <v>2591</v>
      </c>
      <c r="I538" s="15" t="s">
        <v>149</v>
      </c>
      <c r="J538" s="15" t="s">
        <v>4876</v>
      </c>
      <c r="K538" s="15" t="s">
        <v>2591</v>
      </c>
      <c r="L538" s="15" t="s">
        <v>149</v>
      </c>
      <c r="M538" s="46" t="s">
        <v>4877</v>
      </c>
      <c r="N538" s="13" t="s">
        <v>4878</v>
      </c>
      <c r="O538" s="13"/>
      <c r="P538" s="15" t="s">
        <v>1381</v>
      </c>
      <c r="Q538" s="17" t="s">
        <v>4879</v>
      </c>
      <c r="R538" s="18">
        <v>35</v>
      </c>
      <c r="S538" s="19">
        <f t="shared" si="5"/>
        <v>5670</v>
      </c>
      <c r="T538" s="12" t="s">
        <v>46</v>
      </c>
      <c r="U538" s="15"/>
      <c r="V538" s="19">
        <v>44610</v>
      </c>
      <c r="W538" s="15" t="s">
        <v>71</v>
      </c>
      <c r="X538" s="13">
        <v>1020775</v>
      </c>
      <c r="Y538" s="20">
        <v>3093970</v>
      </c>
      <c r="Z538" s="13">
        <v>3861451</v>
      </c>
      <c r="AA538" s="13">
        <v>4695384</v>
      </c>
      <c r="AB538" s="13"/>
      <c r="AC538" s="15">
        <v>5552982</v>
      </c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</row>
    <row r="539" spans="1:46" ht="45" customHeight="1">
      <c r="A539" s="12" t="s">
        <v>4880</v>
      </c>
      <c r="B539" s="13" t="s">
        <v>4881</v>
      </c>
      <c r="C539" s="14" t="s">
        <v>4882</v>
      </c>
      <c r="D539" s="15" t="s">
        <v>4883</v>
      </c>
      <c r="E539" s="15" t="s">
        <v>4768</v>
      </c>
      <c r="F539" s="15" t="s">
        <v>909</v>
      </c>
      <c r="G539" s="151" t="s">
        <v>4884</v>
      </c>
      <c r="H539" s="15"/>
      <c r="I539" s="15" t="s">
        <v>1058</v>
      </c>
      <c r="J539" s="151" t="s">
        <v>4884</v>
      </c>
      <c r="K539" s="15"/>
      <c r="L539" s="15" t="s">
        <v>1058</v>
      </c>
      <c r="M539" s="16" t="s">
        <v>4885</v>
      </c>
      <c r="N539" s="13" t="s">
        <v>4886</v>
      </c>
      <c r="O539" s="13"/>
      <c r="P539" s="15" t="s">
        <v>44</v>
      </c>
      <c r="Q539" s="17" t="s">
        <v>4887</v>
      </c>
      <c r="R539" s="18">
        <v>15</v>
      </c>
      <c r="S539" s="19">
        <f t="shared" si="5"/>
        <v>2430</v>
      </c>
      <c r="T539" s="12" t="s">
        <v>46</v>
      </c>
      <c r="U539" s="15"/>
      <c r="V539" s="19">
        <v>44610</v>
      </c>
      <c r="W539" s="15"/>
      <c r="X539" s="13"/>
      <c r="Y539" s="20"/>
      <c r="Z539" s="13"/>
      <c r="AA539" s="13"/>
      <c r="AB539" s="13">
        <v>4896642</v>
      </c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</row>
    <row r="540" spans="1:46" ht="45" customHeight="1">
      <c r="A540" s="40" t="s">
        <v>4888</v>
      </c>
      <c r="B540" s="33" t="s">
        <v>4889</v>
      </c>
      <c r="C540" s="34" t="s">
        <v>4890</v>
      </c>
      <c r="D540" s="35" t="s">
        <v>4891</v>
      </c>
      <c r="E540" s="35" t="s">
        <v>4892</v>
      </c>
      <c r="F540" s="35" t="s">
        <v>204</v>
      </c>
      <c r="G540" s="35" t="s">
        <v>4893</v>
      </c>
      <c r="H540" s="35"/>
      <c r="I540" s="35" t="s">
        <v>149</v>
      </c>
      <c r="J540" s="35" t="s">
        <v>4893</v>
      </c>
      <c r="K540" s="35"/>
      <c r="L540" s="35" t="s">
        <v>149</v>
      </c>
      <c r="M540" s="36" t="s">
        <v>4894</v>
      </c>
      <c r="N540" s="33" t="s">
        <v>4895</v>
      </c>
      <c r="O540" s="33"/>
      <c r="P540" s="35" t="s">
        <v>855</v>
      </c>
      <c r="Q540" s="37" t="s">
        <v>4896</v>
      </c>
      <c r="R540" s="38">
        <v>94</v>
      </c>
      <c r="S540" s="39">
        <f t="shared" si="5"/>
        <v>15228</v>
      </c>
      <c r="T540" s="40" t="s">
        <v>46</v>
      </c>
      <c r="U540" s="35"/>
      <c r="V540" s="39">
        <v>44610</v>
      </c>
      <c r="W540" s="35"/>
      <c r="X540" s="33"/>
      <c r="Y540" s="41"/>
      <c r="Z540" s="33"/>
      <c r="AA540" s="33"/>
      <c r="AB540" s="33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</row>
    <row r="541" spans="1:46" ht="45" customHeight="1">
      <c r="A541" s="21" t="s">
        <v>4897</v>
      </c>
      <c r="B541" s="22" t="s">
        <v>4898</v>
      </c>
      <c r="C541" s="23" t="s">
        <v>4899</v>
      </c>
      <c r="D541" s="24" t="s">
        <v>591</v>
      </c>
      <c r="E541" s="24" t="s">
        <v>4900</v>
      </c>
      <c r="F541" s="24" t="s">
        <v>593</v>
      </c>
      <c r="G541" s="24" t="s">
        <v>594</v>
      </c>
      <c r="H541" s="24" t="s">
        <v>1345</v>
      </c>
      <c r="I541" s="24" t="s">
        <v>65</v>
      </c>
      <c r="J541" s="24" t="s">
        <v>4901</v>
      </c>
      <c r="K541" s="24" t="s">
        <v>64</v>
      </c>
      <c r="L541" s="24" t="s">
        <v>65</v>
      </c>
      <c r="M541" s="76" t="s">
        <v>598</v>
      </c>
      <c r="N541" s="22" t="s">
        <v>3191</v>
      </c>
      <c r="O541" s="22"/>
      <c r="P541" s="24" t="s">
        <v>4902</v>
      </c>
      <c r="Q541" s="28" t="s">
        <v>4903</v>
      </c>
      <c r="R541" s="29">
        <v>6954</v>
      </c>
      <c r="S541" s="30">
        <f t="shared" si="5"/>
        <v>1126548</v>
      </c>
      <c r="T541" s="21" t="s">
        <v>70</v>
      </c>
      <c r="U541" s="24"/>
      <c r="V541" s="30">
        <f>S541</f>
        <v>1126548</v>
      </c>
      <c r="W541" s="45" t="s">
        <v>71</v>
      </c>
      <c r="X541" s="22">
        <v>1132918</v>
      </c>
      <c r="Y541" s="31">
        <v>3121556</v>
      </c>
      <c r="Z541" s="22">
        <v>3904545</v>
      </c>
      <c r="AA541" s="22">
        <v>4753369</v>
      </c>
      <c r="AB541" s="22"/>
      <c r="AC541" s="45">
        <v>5633321</v>
      </c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</row>
    <row r="542" spans="1:46" ht="45" customHeight="1">
      <c r="A542" s="21" t="s">
        <v>4904</v>
      </c>
      <c r="B542" s="22" t="s">
        <v>4905</v>
      </c>
      <c r="C542" s="23" t="s">
        <v>4906</v>
      </c>
      <c r="D542" s="24" t="s">
        <v>4907</v>
      </c>
      <c r="E542" s="24" t="s">
        <v>4908</v>
      </c>
      <c r="F542" s="24" t="s">
        <v>181</v>
      </c>
      <c r="G542" s="24" t="s">
        <v>4909</v>
      </c>
      <c r="H542" s="24"/>
      <c r="I542" s="24" t="s">
        <v>149</v>
      </c>
      <c r="J542" s="24" t="s">
        <v>4909</v>
      </c>
      <c r="K542" s="24"/>
      <c r="L542" s="24" t="s">
        <v>149</v>
      </c>
      <c r="M542" s="59" t="s">
        <v>4910</v>
      </c>
      <c r="N542" s="22" t="s">
        <v>4911</v>
      </c>
      <c r="O542" s="22"/>
      <c r="P542" s="24" t="s">
        <v>117</v>
      </c>
      <c r="Q542" s="28" t="s">
        <v>4912</v>
      </c>
      <c r="R542" s="29">
        <v>642</v>
      </c>
      <c r="S542" s="30">
        <f t="shared" si="5"/>
        <v>104004</v>
      </c>
      <c r="T542" s="21" t="s">
        <v>252</v>
      </c>
      <c r="U542" s="24"/>
      <c r="V542" s="30">
        <v>123900</v>
      </c>
      <c r="W542" s="24" t="s">
        <v>47</v>
      </c>
      <c r="X542" s="22">
        <v>1010888</v>
      </c>
      <c r="Y542" s="31">
        <v>3088276</v>
      </c>
      <c r="Z542" s="22">
        <v>3879444</v>
      </c>
      <c r="AA542" s="22">
        <v>4744882</v>
      </c>
      <c r="AB542" s="22"/>
      <c r="AC542" s="24">
        <v>5606383</v>
      </c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</row>
    <row r="543" spans="1:46" ht="45" customHeight="1">
      <c r="A543" s="21" t="s">
        <v>4913</v>
      </c>
      <c r="B543" s="22" t="s">
        <v>4914</v>
      </c>
      <c r="C543" s="23" t="s">
        <v>4915</v>
      </c>
      <c r="D543" s="24" t="s">
        <v>4846</v>
      </c>
      <c r="E543" s="24" t="s">
        <v>4847</v>
      </c>
      <c r="F543" s="24" t="s">
        <v>181</v>
      </c>
      <c r="G543" s="24" t="s">
        <v>4848</v>
      </c>
      <c r="H543" s="24" t="s">
        <v>125</v>
      </c>
      <c r="I543" s="24" t="s">
        <v>115</v>
      </c>
      <c r="J543" s="24" t="s">
        <v>4916</v>
      </c>
      <c r="K543" s="24" t="s">
        <v>3887</v>
      </c>
      <c r="L543" s="24" t="s">
        <v>38</v>
      </c>
      <c r="M543" s="25" t="s">
        <v>4851</v>
      </c>
      <c r="N543" s="22">
        <v>2614543175</v>
      </c>
      <c r="O543" s="22"/>
      <c r="P543" s="24" t="s">
        <v>94</v>
      </c>
      <c r="Q543" s="28" t="s">
        <v>4917</v>
      </c>
      <c r="R543" s="29">
        <v>646</v>
      </c>
      <c r="S543" s="30">
        <f t="shared" si="5"/>
        <v>104652</v>
      </c>
      <c r="T543" s="21" t="s">
        <v>252</v>
      </c>
      <c r="U543" s="24"/>
      <c r="V543" s="30">
        <v>123900</v>
      </c>
      <c r="W543" s="24" t="s">
        <v>71</v>
      </c>
      <c r="X543" s="22"/>
      <c r="Y543" s="31"/>
      <c r="Z543" s="22"/>
      <c r="AA543" s="22"/>
      <c r="AB543" s="22">
        <v>4904937</v>
      </c>
      <c r="AC543" s="24">
        <v>5620564</v>
      </c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</row>
    <row r="544" spans="1:46" ht="45" customHeight="1">
      <c r="A544" s="12" t="s">
        <v>4918</v>
      </c>
      <c r="B544" s="13" t="s">
        <v>4919</v>
      </c>
      <c r="C544" s="14" t="s">
        <v>4920</v>
      </c>
      <c r="D544" s="15" t="s">
        <v>4921</v>
      </c>
      <c r="E544" s="15" t="s">
        <v>4922</v>
      </c>
      <c r="F544" s="15" t="s">
        <v>111</v>
      </c>
      <c r="G544" s="15" t="s">
        <v>4923</v>
      </c>
      <c r="H544" s="15" t="s">
        <v>125</v>
      </c>
      <c r="I544" s="15" t="s">
        <v>115</v>
      </c>
      <c r="J544" s="15" t="s">
        <v>4923</v>
      </c>
      <c r="K544" s="15" t="s">
        <v>125</v>
      </c>
      <c r="L544" s="15" t="s">
        <v>115</v>
      </c>
      <c r="M544" s="46" t="s">
        <v>4924</v>
      </c>
      <c r="N544" s="13">
        <v>4218719</v>
      </c>
      <c r="O544" s="13"/>
      <c r="P544" s="15" t="s">
        <v>94</v>
      </c>
      <c r="Q544" s="17" t="s">
        <v>4925</v>
      </c>
      <c r="R544" s="18">
        <v>64</v>
      </c>
      <c r="S544" s="19">
        <f t="shared" si="5"/>
        <v>10368</v>
      </c>
      <c r="T544" s="12" t="s">
        <v>46</v>
      </c>
      <c r="U544" s="15"/>
      <c r="V544" s="19">
        <v>44610</v>
      </c>
      <c r="W544" s="15"/>
      <c r="X544" s="13">
        <v>1036585</v>
      </c>
      <c r="Y544" s="20">
        <v>3117033</v>
      </c>
      <c r="Z544" s="13">
        <v>3896779</v>
      </c>
      <c r="AA544" s="13">
        <v>4715527</v>
      </c>
      <c r="AB544" s="13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</row>
    <row r="545" spans="1:46" ht="45" customHeight="1">
      <c r="A545" s="40" t="s">
        <v>4926</v>
      </c>
      <c r="B545" s="33" t="s">
        <v>4927</v>
      </c>
      <c r="C545" s="34" t="s">
        <v>4928</v>
      </c>
      <c r="D545" s="35" t="s">
        <v>4929</v>
      </c>
      <c r="E545" s="35" t="s">
        <v>4930</v>
      </c>
      <c r="F545" s="35" t="s">
        <v>909</v>
      </c>
      <c r="G545" s="35" t="s">
        <v>4931</v>
      </c>
      <c r="H545" s="35" t="s">
        <v>52</v>
      </c>
      <c r="I545" s="35" t="s">
        <v>53</v>
      </c>
      <c r="J545" s="35" t="s">
        <v>4932</v>
      </c>
      <c r="K545" s="35" t="s">
        <v>3079</v>
      </c>
      <c r="L545" s="35" t="s">
        <v>53</v>
      </c>
      <c r="M545" s="36" t="s">
        <v>4933</v>
      </c>
      <c r="N545" s="33">
        <v>4242323</v>
      </c>
      <c r="O545" s="33"/>
      <c r="P545" s="35" t="s">
        <v>117</v>
      </c>
      <c r="Q545" s="37" t="s">
        <v>4934</v>
      </c>
      <c r="R545" s="38">
        <v>220</v>
      </c>
      <c r="S545" s="39">
        <f t="shared" si="5"/>
        <v>35640</v>
      </c>
      <c r="T545" s="40" t="s">
        <v>46</v>
      </c>
      <c r="U545" s="35"/>
      <c r="V545" s="39">
        <v>44610</v>
      </c>
      <c r="W545" s="35"/>
      <c r="X545" s="33"/>
      <c r="Y545" s="41"/>
      <c r="Z545" s="33"/>
      <c r="AA545" s="33"/>
      <c r="AB545" s="33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</row>
    <row r="546" spans="1:46" ht="45" customHeight="1">
      <c r="A546" s="12" t="s">
        <v>4935</v>
      </c>
      <c r="B546" s="13" t="s">
        <v>4936</v>
      </c>
      <c r="C546" s="66" t="s">
        <v>4937</v>
      </c>
      <c r="D546" s="15" t="s">
        <v>4938</v>
      </c>
      <c r="E546" s="15" t="s">
        <v>4939</v>
      </c>
      <c r="F546" s="15" t="s">
        <v>111</v>
      </c>
      <c r="G546" s="15" t="s">
        <v>4940</v>
      </c>
      <c r="H546" s="15" t="s">
        <v>52</v>
      </c>
      <c r="I546" s="15" t="s">
        <v>53</v>
      </c>
      <c r="J546" s="15" t="s">
        <v>4940</v>
      </c>
      <c r="K546" s="15" t="s">
        <v>52</v>
      </c>
      <c r="L546" s="15" t="s">
        <v>53</v>
      </c>
      <c r="M546" s="16" t="s">
        <v>4941</v>
      </c>
      <c r="N546" s="13">
        <v>5943713</v>
      </c>
      <c r="O546" s="13"/>
      <c r="P546" s="15" t="s">
        <v>44</v>
      </c>
      <c r="Q546" s="17" t="s">
        <v>4942</v>
      </c>
      <c r="R546" s="18">
        <v>83</v>
      </c>
      <c r="S546" s="19">
        <f t="shared" si="5"/>
        <v>13446</v>
      </c>
      <c r="T546" s="12" t="s">
        <v>46</v>
      </c>
      <c r="U546" s="15"/>
      <c r="V546" s="19">
        <v>44610</v>
      </c>
      <c r="W546" s="15"/>
      <c r="X546" s="13">
        <v>1030139</v>
      </c>
      <c r="Y546" s="20"/>
      <c r="Z546" s="13"/>
      <c r="AA546" s="13"/>
      <c r="AB546" s="13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</row>
    <row r="547" spans="1:46" ht="45" customHeight="1">
      <c r="A547" s="12" t="s">
        <v>4943</v>
      </c>
      <c r="B547" s="13" t="s">
        <v>4944</v>
      </c>
      <c r="C547" s="14" t="s">
        <v>4945</v>
      </c>
      <c r="D547" s="15" t="s">
        <v>4946</v>
      </c>
      <c r="E547" s="15" t="s">
        <v>4947</v>
      </c>
      <c r="F547" s="15" t="s">
        <v>181</v>
      </c>
      <c r="G547" s="15" t="s">
        <v>3693</v>
      </c>
      <c r="H547" s="15" t="s">
        <v>2262</v>
      </c>
      <c r="I547" s="15" t="s">
        <v>80</v>
      </c>
      <c r="J547" s="15" t="s">
        <v>3694</v>
      </c>
      <c r="K547" s="15" t="s">
        <v>3695</v>
      </c>
      <c r="L547" s="15" t="s">
        <v>41</v>
      </c>
      <c r="M547" s="16" t="s">
        <v>4948</v>
      </c>
      <c r="N547" s="13" t="s">
        <v>4949</v>
      </c>
      <c r="O547" s="13"/>
      <c r="P547" s="15" t="s">
        <v>94</v>
      </c>
      <c r="Q547" s="17" t="s">
        <v>4950</v>
      </c>
      <c r="R547" s="18">
        <v>74</v>
      </c>
      <c r="S547" s="19">
        <f t="shared" si="5"/>
        <v>11988</v>
      </c>
      <c r="T547" s="12" t="s">
        <v>46</v>
      </c>
      <c r="U547" s="15"/>
      <c r="V547" s="19">
        <v>44610</v>
      </c>
      <c r="W547" s="49" t="s">
        <v>71</v>
      </c>
      <c r="X547" s="13">
        <v>1133651</v>
      </c>
      <c r="Y547" s="20"/>
      <c r="Z547" s="13"/>
      <c r="AA547" s="13">
        <v>4756334</v>
      </c>
      <c r="AB547" s="13"/>
      <c r="AC547" s="49">
        <v>5637335</v>
      </c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</row>
    <row r="548" spans="1:46" ht="45" customHeight="1">
      <c r="A548" s="50" t="s">
        <v>4951</v>
      </c>
      <c r="B548" s="51" t="s">
        <v>4952</v>
      </c>
      <c r="C548" s="52" t="s">
        <v>4953</v>
      </c>
      <c r="D548" s="53" t="s">
        <v>4954</v>
      </c>
      <c r="E548" s="53" t="s">
        <v>4955</v>
      </c>
      <c r="F548" s="53" t="s">
        <v>111</v>
      </c>
      <c r="G548" s="53" t="s">
        <v>4956</v>
      </c>
      <c r="H548" s="53" t="s">
        <v>331</v>
      </c>
      <c r="I548" s="53" t="s">
        <v>321</v>
      </c>
      <c r="J548" s="53" t="s">
        <v>4957</v>
      </c>
      <c r="K548" s="53" t="s">
        <v>331</v>
      </c>
      <c r="L548" s="53" t="s">
        <v>321</v>
      </c>
      <c r="M548" s="68"/>
      <c r="N548" s="51" t="s">
        <v>4958</v>
      </c>
      <c r="O548" s="51"/>
      <c r="P548" s="53" t="s">
        <v>94</v>
      </c>
      <c r="Q548" s="55" t="s">
        <v>4959</v>
      </c>
      <c r="R548" s="56">
        <v>304</v>
      </c>
      <c r="S548" s="57">
        <f t="shared" si="5"/>
        <v>49248</v>
      </c>
      <c r="T548" s="50" t="s">
        <v>46</v>
      </c>
      <c r="U548" s="53"/>
      <c r="V548" s="57">
        <v>44610</v>
      </c>
      <c r="W548" s="53"/>
      <c r="X548" s="51"/>
      <c r="Y548" s="58"/>
      <c r="Z548" s="51"/>
      <c r="AA548" s="51"/>
      <c r="AB548" s="51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</row>
    <row r="549" spans="1:46" ht="45" customHeight="1">
      <c r="A549" s="12" t="s">
        <v>4960</v>
      </c>
      <c r="B549" s="13" t="s">
        <v>4961</v>
      </c>
      <c r="C549" s="14" t="s">
        <v>4962</v>
      </c>
      <c r="D549" s="15" t="s">
        <v>1586</v>
      </c>
      <c r="E549" s="15" t="s">
        <v>4963</v>
      </c>
      <c r="F549" s="146" t="s">
        <v>77</v>
      </c>
      <c r="G549" s="15" t="s">
        <v>4964</v>
      </c>
      <c r="H549" s="15"/>
      <c r="I549" s="15" t="s">
        <v>149</v>
      </c>
      <c r="J549" s="15" t="s">
        <v>4965</v>
      </c>
      <c r="K549" s="15"/>
      <c r="L549" s="15" t="s">
        <v>38</v>
      </c>
      <c r="M549" s="46" t="s">
        <v>1589</v>
      </c>
      <c r="N549" s="13" t="s">
        <v>4966</v>
      </c>
      <c r="O549" s="13"/>
      <c r="P549" s="15" t="s">
        <v>117</v>
      </c>
      <c r="Q549" s="17" t="s">
        <v>4967</v>
      </c>
      <c r="R549" s="18">
        <v>463.947</v>
      </c>
      <c r="S549" s="19">
        <f t="shared" si="5"/>
        <v>75159.414000000004</v>
      </c>
      <c r="T549" s="12" t="s">
        <v>46</v>
      </c>
      <c r="U549" s="15"/>
      <c r="V549" s="19">
        <v>44610</v>
      </c>
      <c r="W549" s="15" t="s">
        <v>71</v>
      </c>
      <c r="X549" s="13">
        <v>1118842</v>
      </c>
      <c r="Y549" s="20">
        <v>3109773</v>
      </c>
      <c r="Z549" s="13">
        <v>3892883</v>
      </c>
      <c r="AA549" s="13"/>
      <c r="AB549" s="13"/>
      <c r="AC549" s="15">
        <v>5620702</v>
      </c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</row>
    <row r="550" spans="1:46" ht="45" customHeight="1">
      <c r="A550" s="12" t="s">
        <v>4968</v>
      </c>
      <c r="B550" s="13" t="s">
        <v>4969</v>
      </c>
      <c r="C550" s="14" t="s">
        <v>4970</v>
      </c>
      <c r="D550" s="15" t="s">
        <v>4971</v>
      </c>
      <c r="E550" s="15" t="s">
        <v>807</v>
      </c>
      <c r="F550" s="15" t="s">
        <v>181</v>
      </c>
      <c r="G550" s="15" t="s">
        <v>4972</v>
      </c>
      <c r="H550" s="15"/>
      <c r="I550" s="15" t="s">
        <v>149</v>
      </c>
      <c r="J550" s="15" t="s">
        <v>4972</v>
      </c>
      <c r="K550" s="15"/>
      <c r="L550" s="15" t="s">
        <v>149</v>
      </c>
      <c r="M550" s="46" t="s">
        <v>3283</v>
      </c>
      <c r="N550" s="13">
        <v>4243319</v>
      </c>
      <c r="O550" s="13"/>
      <c r="P550" s="15" t="s">
        <v>44</v>
      </c>
      <c r="Q550" s="17" t="s">
        <v>4973</v>
      </c>
      <c r="R550" s="18">
        <v>71</v>
      </c>
      <c r="S550" s="19">
        <f t="shared" si="5"/>
        <v>11502</v>
      </c>
      <c r="T550" s="12" t="s">
        <v>46</v>
      </c>
      <c r="U550" s="15"/>
      <c r="V550" s="19">
        <v>44610</v>
      </c>
      <c r="W550" s="15" t="s">
        <v>71</v>
      </c>
      <c r="X550" s="13">
        <v>1021884</v>
      </c>
      <c r="Y550" s="20">
        <v>3113858</v>
      </c>
      <c r="Z550" s="13">
        <v>3856486</v>
      </c>
      <c r="AA550" s="13">
        <v>4749621</v>
      </c>
      <c r="AB550" s="13"/>
      <c r="AC550" s="15">
        <v>5571167</v>
      </c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</row>
    <row r="551" spans="1:46" ht="45" customHeight="1">
      <c r="A551" s="40" t="s">
        <v>4974</v>
      </c>
      <c r="B551" s="33" t="s">
        <v>4975</v>
      </c>
      <c r="C551" s="34" t="s">
        <v>4976</v>
      </c>
      <c r="D551" s="35" t="s">
        <v>4977</v>
      </c>
      <c r="E551" s="35" t="s">
        <v>4978</v>
      </c>
      <c r="F551" s="35" t="s">
        <v>35</v>
      </c>
      <c r="G551" s="35" t="s">
        <v>4979</v>
      </c>
      <c r="H551" s="35"/>
      <c r="I551" s="35" t="s">
        <v>149</v>
      </c>
      <c r="J551" s="35" t="s">
        <v>4979</v>
      </c>
      <c r="K551" s="35"/>
      <c r="L551" s="35" t="s">
        <v>149</v>
      </c>
      <c r="M551" s="36" t="s">
        <v>4980</v>
      </c>
      <c r="N551" s="33">
        <v>4527450</v>
      </c>
      <c r="O551" s="33"/>
      <c r="P551" s="35" t="s">
        <v>1381</v>
      </c>
      <c r="Q551" s="37" t="s">
        <v>4981</v>
      </c>
      <c r="R551" s="38">
        <v>133</v>
      </c>
      <c r="S551" s="39">
        <f t="shared" si="5"/>
        <v>21546</v>
      </c>
      <c r="T551" s="40" t="s">
        <v>46</v>
      </c>
      <c r="U551" s="35"/>
      <c r="V551" s="39">
        <v>44610</v>
      </c>
      <c r="W551" s="35"/>
      <c r="X551" s="33"/>
      <c r="Y551" s="41"/>
      <c r="Z551" s="33"/>
      <c r="AA551" s="33"/>
      <c r="AB551" s="33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</row>
    <row r="552" spans="1:46" ht="45" customHeight="1">
      <c r="A552" s="12" t="s">
        <v>4982</v>
      </c>
      <c r="B552" s="13" t="s">
        <v>4983</v>
      </c>
      <c r="C552" s="14" t="s">
        <v>4984</v>
      </c>
      <c r="D552" s="15" t="s">
        <v>4985</v>
      </c>
      <c r="E552" s="15" t="s">
        <v>4986</v>
      </c>
      <c r="F552" s="15" t="s">
        <v>909</v>
      </c>
      <c r="G552" s="15" t="s">
        <v>4987</v>
      </c>
      <c r="H552" s="15" t="s">
        <v>1212</v>
      </c>
      <c r="I552" s="15" t="s">
        <v>80</v>
      </c>
      <c r="J552" s="15" t="s">
        <v>4988</v>
      </c>
      <c r="K552" s="15" t="s">
        <v>1212</v>
      </c>
      <c r="L552" s="15" t="s">
        <v>80</v>
      </c>
      <c r="M552" s="46" t="s">
        <v>4989</v>
      </c>
      <c r="N552" s="13" t="s">
        <v>4990</v>
      </c>
      <c r="O552" s="13"/>
      <c r="P552" s="15" t="s">
        <v>151</v>
      </c>
      <c r="Q552" s="17" t="s">
        <v>4991</v>
      </c>
      <c r="R552" s="18">
        <v>21</v>
      </c>
      <c r="S552" s="19">
        <f t="shared" si="5"/>
        <v>3402</v>
      </c>
      <c r="T552" s="12" t="s">
        <v>46</v>
      </c>
      <c r="U552" s="15"/>
      <c r="V552" s="19">
        <v>44610</v>
      </c>
      <c r="W552" s="15" t="s">
        <v>71</v>
      </c>
      <c r="X552" s="13"/>
      <c r="Y552" s="20"/>
      <c r="Z552" s="13"/>
      <c r="AA552" s="13">
        <v>4749364</v>
      </c>
      <c r="AB552" s="13"/>
      <c r="AC552" s="15">
        <v>5602653</v>
      </c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</row>
    <row r="553" spans="1:46" ht="45" customHeight="1">
      <c r="A553" s="12" t="s">
        <v>4992</v>
      </c>
      <c r="B553" s="13" t="s">
        <v>4993</v>
      </c>
      <c r="C553" s="14" t="s">
        <v>4994</v>
      </c>
      <c r="D553" s="15" t="s">
        <v>4995</v>
      </c>
      <c r="E553" s="15" t="s">
        <v>4996</v>
      </c>
      <c r="F553" s="15" t="s">
        <v>77</v>
      </c>
      <c r="G553" s="15" t="s">
        <v>4997</v>
      </c>
      <c r="H553" s="15" t="s">
        <v>216</v>
      </c>
      <c r="I553" s="15" t="s">
        <v>149</v>
      </c>
      <c r="J553" s="15" t="s">
        <v>4997</v>
      </c>
      <c r="K553" s="15" t="s">
        <v>216</v>
      </c>
      <c r="L553" s="15" t="s">
        <v>149</v>
      </c>
      <c r="M553" s="46" t="s">
        <v>4998</v>
      </c>
      <c r="N553" s="13" t="s">
        <v>4999</v>
      </c>
      <c r="O553" s="13"/>
      <c r="P553" s="15" t="s">
        <v>94</v>
      </c>
      <c r="Q553" s="17" t="s">
        <v>5000</v>
      </c>
      <c r="R553" s="18">
        <v>312</v>
      </c>
      <c r="S553" s="19">
        <f t="shared" si="5"/>
        <v>50544</v>
      </c>
      <c r="T553" s="12" t="s">
        <v>46</v>
      </c>
      <c r="U553" s="15"/>
      <c r="V553" s="19">
        <v>44610</v>
      </c>
      <c r="W553" s="15" t="s">
        <v>47</v>
      </c>
      <c r="X553" s="13">
        <v>1140104</v>
      </c>
      <c r="Y553" s="20">
        <v>3086862</v>
      </c>
      <c r="Z553" s="13">
        <v>3887845</v>
      </c>
      <c r="AA553" s="13">
        <v>4740948</v>
      </c>
      <c r="AB553" s="13"/>
      <c r="AC553" s="15">
        <v>5550252</v>
      </c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</row>
    <row r="554" spans="1:46" ht="45" customHeight="1">
      <c r="A554" s="12" t="s">
        <v>5001</v>
      </c>
      <c r="B554" s="13" t="s">
        <v>5002</v>
      </c>
      <c r="C554" s="14" t="s">
        <v>5003</v>
      </c>
      <c r="D554" s="15" t="s">
        <v>5004</v>
      </c>
      <c r="E554" s="15" t="s">
        <v>533</v>
      </c>
      <c r="F554" s="15" t="s">
        <v>287</v>
      </c>
      <c r="G554" s="15" t="s">
        <v>5005</v>
      </c>
      <c r="H554" s="15"/>
      <c r="I554" s="15" t="s">
        <v>149</v>
      </c>
      <c r="J554" s="15" t="s">
        <v>5005</v>
      </c>
      <c r="K554" s="15"/>
      <c r="L554" s="15" t="s">
        <v>149</v>
      </c>
      <c r="M554" s="46" t="s">
        <v>3283</v>
      </c>
      <c r="N554" s="13" t="s">
        <v>5006</v>
      </c>
      <c r="O554" s="13"/>
      <c r="P554" s="15" t="s">
        <v>5007</v>
      </c>
      <c r="Q554" s="17" t="s">
        <v>5008</v>
      </c>
      <c r="R554" s="18">
        <v>31</v>
      </c>
      <c r="S554" s="19">
        <f t="shared" si="5"/>
        <v>5022</v>
      </c>
      <c r="T554" s="12" t="s">
        <v>46</v>
      </c>
      <c r="U554" s="15"/>
      <c r="V554" s="19">
        <v>44610</v>
      </c>
      <c r="W554" s="15" t="s">
        <v>71</v>
      </c>
      <c r="X554" s="13">
        <v>1020604</v>
      </c>
      <c r="Y554" s="20">
        <v>3098483</v>
      </c>
      <c r="Z554" s="13">
        <v>3827572</v>
      </c>
      <c r="AA554" s="13">
        <v>4749629</v>
      </c>
      <c r="AB554" s="13"/>
      <c r="AC554" s="15">
        <v>5571165</v>
      </c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</row>
    <row r="555" spans="1:46" ht="45" customHeight="1">
      <c r="A555" s="21" t="s">
        <v>5009</v>
      </c>
      <c r="B555" s="22" t="s">
        <v>5010</v>
      </c>
      <c r="C555" s="23" t="s">
        <v>5011</v>
      </c>
      <c r="D555" s="24" t="s">
        <v>5012</v>
      </c>
      <c r="E555" s="24" t="s">
        <v>5013</v>
      </c>
      <c r="F555" s="24" t="s">
        <v>111</v>
      </c>
      <c r="G555" s="24" t="s">
        <v>5014</v>
      </c>
      <c r="H555" s="24" t="s">
        <v>216</v>
      </c>
      <c r="I555" s="24" t="s">
        <v>149</v>
      </c>
      <c r="J555" s="24" t="s">
        <v>5014</v>
      </c>
      <c r="K555" s="24" t="s">
        <v>216</v>
      </c>
      <c r="L555" s="24" t="s">
        <v>149</v>
      </c>
      <c r="M555" s="59" t="s">
        <v>5015</v>
      </c>
      <c r="N555" s="22" t="s">
        <v>5016</v>
      </c>
      <c r="O555" s="22"/>
      <c r="P555" s="24" t="s">
        <v>94</v>
      </c>
      <c r="Q555" s="28" t="s">
        <v>5017</v>
      </c>
      <c r="R555" s="29">
        <v>1046</v>
      </c>
      <c r="S555" s="30">
        <f t="shared" si="5"/>
        <v>169452</v>
      </c>
      <c r="T555" s="21" t="s">
        <v>198</v>
      </c>
      <c r="U555" s="24"/>
      <c r="V555" s="30">
        <v>215940</v>
      </c>
      <c r="W555" s="24" t="s">
        <v>71</v>
      </c>
      <c r="X555" s="22"/>
      <c r="Y555" s="31">
        <v>3115827</v>
      </c>
      <c r="Z555" s="22">
        <v>3904872</v>
      </c>
      <c r="AA555" s="22">
        <v>4747935</v>
      </c>
      <c r="AB555" s="22"/>
      <c r="AC555" s="24">
        <v>5591777</v>
      </c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</row>
    <row r="556" spans="1:46" ht="45" customHeight="1">
      <c r="A556" s="12" t="s">
        <v>5018</v>
      </c>
      <c r="B556" s="13" t="s">
        <v>5019</v>
      </c>
      <c r="C556" s="14" t="s">
        <v>5020</v>
      </c>
      <c r="D556" s="15" t="s">
        <v>5021</v>
      </c>
      <c r="E556" s="15" t="s">
        <v>5022</v>
      </c>
      <c r="F556" s="15" t="s">
        <v>181</v>
      </c>
      <c r="G556" s="15" t="s">
        <v>5023</v>
      </c>
      <c r="H556" s="15"/>
      <c r="I556" s="15" t="s">
        <v>149</v>
      </c>
      <c r="J556" s="15" t="s">
        <v>5023</v>
      </c>
      <c r="K556" s="15"/>
      <c r="L556" s="15" t="s">
        <v>149</v>
      </c>
      <c r="M556" s="16" t="s">
        <v>5024</v>
      </c>
      <c r="N556" s="13" t="s">
        <v>5025</v>
      </c>
      <c r="O556" s="13"/>
      <c r="P556" s="15" t="s">
        <v>94</v>
      </c>
      <c r="Q556" s="17" t="s">
        <v>5026</v>
      </c>
      <c r="R556" s="18">
        <v>266</v>
      </c>
      <c r="S556" s="19">
        <f t="shared" si="5"/>
        <v>43092</v>
      </c>
      <c r="T556" s="12" t="s">
        <v>46</v>
      </c>
      <c r="U556" s="15"/>
      <c r="V556" s="19">
        <v>44610</v>
      </c>
      <c r="W556" s="15"/>
      <c r="X556" s="13">
        <v>1125507</v>
      </c>
      <c r="Y556" s="20"/>
      <c r="Z556" s="13"/>
      <c r="AA556" s="13"/>
      <c r="AB556" s="13">
        <v>4906327</v>
      </c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</row>
    <row r="557" spans="1:46" ht="45" customHeight="1">
      <c r="A557" s="12" t="s">
        <v>5027</v>
      </c>
      <c r="B557" s="13" t="s">
        <v>5028</v>
      </c>
      <c r="C557" s="14" t="s">
        <v>5029</v>
      </c>
      <c r="D557" s="15" t="s">
        <v>5030</v>
      </c>
      <c r="E557" s="15" t="s">
        <v>3556</v>
      </c>
      <c r="F557" s="15" t="s">
        <v>181</v>
      </c>
      <c r="G557" s="15" t="s">
        <v>5031</v>
      </c>
      <c r="H557" s="15" t="s">
        <v>2698</v>
      </c>
      <c r="I557" s="15" t="s">
        <v>38</v>
      </c>
      <c r="J557" s="15" t="s">
        <v>5031</v>
      </c>
      <c r="K557" s="15" t="s">
        <v>2698</v>
      </c>
      <c r="L557" s="15" t="s">
        <v>38</v>
      </c>
      <c r="M557" s="46" t="s">
        <v>5032</v>
      </c>
      <c r="N557" s="13">
        <v>155873505</v>
      </c>
      <c r="O557" s="13"/>
      <c r="P557" s="15" t="s">
        <v>3014</v>
      </c>
      <c r="Q557" s="17" t="s">
        <v>5033</v>
      </c>
      <c r="R557" s="18">
        <v>12</v>
      </c>
      <c r="S557" s="19">
        <f t="shared" si="5"/>
        <v>1944</v>
      </c>
      <c r="T557" s="12" t="s">
        <v>46</v>
      </c>
      <c r="U557" s="15"/>
      <c r="V557" s="19">
        <v>44610</v>
      </c>
      <c r="W557" s="15"/>
      <c r="X557" s="13"/>
      <c r="Y557" s="20"/>
      <c r="Z557" s="13"/>
      <c r="AA557" s="13"/>
      <c r="AB557" s="13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</row>
    <row r="558" spans="1:46" ht="45" customHeight="1">
      <c r="A558" s="12" t="s">
        <v>5034</v>
      </c>
      <c r="B558" s="13" t="s">
        <v>5035</v>
      </c>
      <c r="C558" s="14" t="s">
        <v>5036</v>
      </c>
      <c r="D558" s="15" t="s">
        <v>5037</v>
      </c>
      <c r="E558" s="15" t="s">
        <v>5038</v>
      </c>
      <c r="F558" s="15" t="s">
        <v>62</v>
      </c>
      <c r="G558" s="15" t="s">
        <v>5039</v>
      </c>
      <c r="H558" s="15" t="s">
        <v>405</v>
      </c>
      <c r="I558" s="15" t="s">
        <v>115</v>
      </c>
      <c r="J558" s="15" t="s">
        <v>5039</v>
      </c>
      <c r="K558" s="15" t="s">
        <v>405</v>
      </c>
      <c r="L558" s="15" t="s">
        <v>115</v>
      </c>
      <c r="M558" s="16" t="s">
        <v>5040</v>
      </c>
      <c r="N558" s="13" t="s">
        <v>5041</v>
      </c>
      <c r="O558" s="13"/>
      <c r="P558" s="15" t="s">
        <v>5042</v>
      </c>
      <c r="Q558" s="17" t="s">
        <v>5043</v>
      </c>
      <c r="R558" s="18">
        <v>561</v>
      </c>
      <c r="S558" s="19">
        <f t="shared" si="5"/>
        <v>90882</v>
      </c>
      <c r="T558" s="12" t="s">
        <v>46</v>
      </c>
      <c r="U558" s="15"/>
      <c r="V558" s="19">
        <v>44610</v>
      </c>
      <c r="W558" s="15" t="s">
        <v>71</v>
      </c>
      <c r="X558" s="13">
        <v>1089441</v>
      </c>
      <c r="Y558" s="20"/>
      <c r="Z558" s="13">
        <v>3901475</v>
      </c>
      <c r="AA558" s="13"/>
      <c r="AB558" s="13"/>
      <c r="AC558" s="15">
        <v>5589775</v>
      </c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</row>
    <row r="559" spans="1:46" ht="45" customHeight="1">
      <c r="A559" s="12" t="s">
        <v>5044</v>
      </c>
      <c r="B559" s="13" t="s">
        <v>5045</v>
      </c>
      <c r="C559" s="14" t="s">
        <v>5046</v>
      </c>
      <c r="D559" s="15" t="s">
        <v>5047</v>
      </c>
      <c r="E559" s="15" t="s">
        <v>3583</v>
      </c>
      <c r="F559" s="15" t="s">
        <v>111</v>
      </c>
      <c r="G559" s="15" t="s">
        <v>5048</v>
      </c>
      <c r="H559" s="15" t="s">
        <v>1078</v>
      </c>
      <c r="I559" s="15" t="s">
        <v>149</v>
      </c>
      <c r="J559" s="15" t="s">
        <v>5048</v>
      </c>
      <c r="K559" s="15" t="s">
        <v>216</v>
      </c>
      <c r="L559" s="15" t="s">
        <v>149</v>
      </c>
      <c r="M559" s="46" t="s">
        <v>5049</v>
      </c>
      <c r="N559" s="13" t="s">
        <v>5050</v>
      </c>
      <c r="O559" s="13"/>
      <c r="P559" s="15" t="s">
        <v>44</v>
      </c>
      <c r="Q559" s="17" t="s">
        <v>5051</v>
      </c>
      <c r="R559" s="18">
        <v>51</v>
      </c>
      <c r="S559" s="19">
        <f t="shared" si="5"/>
        <v>8262</v>
      </c>
      <c r="T559" s="12" t="s">
        <v>46</v>
      </c>
      <c r="U559" s="15"/>
      <c r="V559" s="19">
        <v>44610</v>
      </c>
      <c r="W559" s="15"/>
      <c r="X559" s="13">
        <v>1020300</v>
      </c>
      <c r="Y559" s="20">
        <v>3098479</v>
      </c>
      <c r="Z559" s="13"/>
      <c r="AA559" s="13"/>
      <c r="AB559" s="13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</row>
    <row r="560" spans="1:46" ht="45" customHeight="1">
      <c r="A560" s="12" t="s">
        <v>5052</v>
      </c>
      <c r="B560" s="13" t="s">
        <v>5053</v>
      </c>
      <c r="C560" s="14" t="s">
        <v>5054</v>
      </c>
      <c r="D560" s="15" t="s">
        <v>5055</v>
      </c>
      <c r="E560" s="15" t="s">
        <v>5056</v>
      </c>
      <c r="F560" s="15" t="s">
        <v>909</v>
      </c>
      <c r="G560" s="15" t="s">
        <v>5057</v>
      </c>
      <c r="H560" s="15" t="s">
        <v>2379</v>
      </c>
      <c r="I560" s="15" t="s">
        <v>80</v>
      </c>
      <c r="J560" s="15" t="s">
        <v>5057</v>
      </c>
      <c r="K560" s="15" t="s">
        <v>2379</v>
      </c>
      <c r="L560" s="15" t="s">
        <v>80</v>
      </c>
      <c r="M560" s="46" t="s">
        <v>5058</v>
      </c>
      <c r="N560" s="13" t="s">
        <v>5059</v>
      </c>
      <c r="O560" s="13"/>
      <c r="P560" s="15" t="s">
        <v>44</v>
      </c>
      <c r="Q560" s="17" t="s">
        <v>5060</v>
      </c>
      <c r="R560" s="18">
        <v>79</v>
      </c>
      <c r="S560" s="19">
        <f t="shared" si="5"/>
        <v>12798</v>
      </c>
      <c r="T560" s="12" t="s">
        <v>46</v>
      </c>
      <c r="U560" s="15"/>
      <c r="V560" s="19">
        <v>44610</v>
      </c>
      <c r="W560" s="15" t="s">
        <v>71</v>
      </c>
      <c r="X560" s="13">
        <v>1020374</v>
      </c>
      <c r="Y560" s="20">
        <v>3067019</v>
      </c>
      <c r="Z560" s="13">
        <v>3869672</v>
      </c>
      <c r="AA560" s="13">
        <v>4709416</v>
      </c>
      <c r="AB560" s="13"/>
      <c r="AC560" s="15">
        <v>5532703</v>
      </c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</row>
    <row r="561" spans="1:46" ht="45" customHeight="1">
      <c r="A561" s="12" t="s">
        <v>5061</v>
      </c>
      <c r="B561" s="13" t="s">
        <v>5062</v>
      </c>
      <c r="C561" s="14" t="s">
        <v>5063</v>
      </c>
      <c r="D561" s="15" t="s">
        <v>5064</v>
      </c>
      <c r="E561" s="15" t="s">
        <v>247</v>
      </c>
      <c r="F561" s="15" t="s">
        <v>181</v>
      </c>
      <c r="G561" s="15" t="s">
        <v>5065</v>
      </c>
      <c r="H561" s="15" t="s">
        <v>5066</v>
      </c>
      <c r="I561" s="15" t="s">
        <v>149</v>
      </c>
      <c r="J561" s="15" t="s">
        <v>5067</v>
      </c>
      <c r="K561" s="15"/>
      <c r="L561" s="15" t="s">
        <v>1279</v>
      </c>
      <c r="M561" s="46" t="s">
        <v>5068</v>
      </c>
      <c r="N561" s="13" t="s">
        <v>5069</v>
      </c>
      <c r="O561" s="13"/>
      <c r="P561" s="15" t="s">
        <v>94</v>
      </c>
      <c r="Q561" s="17" t="s">
        <v>5070</v>
      </c>
      <c r="R561" s="18">
        <v>566</v>
      </c>
      <c r="S561" s="19">
        <f t="shared" si="5"/>
        <v>91692</v>
      </c>
      <c r="T561" s="12" t="s">
        <v>46</v>
      </c>
      <c r="U561" s="15"/>
      <c r="V561" s="19">
        <v>44610</v>
      </c>
      <c r="W561" s="15" t="s">
        <v>71</v>
      </c>
      <c r="X561" s="13">
        <v>993071</v>
      </c>
      <c r="Y561" s="20">
        <v>3061234</v>
      </c>
      <c r="Z561" s="13">
        <v>3820194</v>
      </c>
      <c r="AA561" s="13">
        <v>4698051</v>
      </c>
      <c r="AB561" s="13"/>
      <c r="AC561" s="15">
        <v>5499502</v>
      </c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</row>
    <row r="562" spans="1:46" ht="45" customHeight="1">
      <c r="A562" s="12" t="s">
        <v>5071</v>
      </c>
      <c r="B562" s="13" t="s">
        <v>5072</v>
      </c>
      <c r="C562" s="14" t="s">
        <v>5073</v>
      </c>
      <c r="D562" s="15" t="s">
        <v>5074</v>
      </c>
      <c r="E562" s="15" t="s">
        <v>247</v>
      </c>
      <c r="F562" s="15" t="s">
        <v>181</v>
      </c>
      <c r="G562" s="15" t="s">
        <v>5075</v>
      </c>
      <c r="H562" s="15" t="s">
        <v>880</v>
      </c>
      <c r="I562" s="15" t="s">
        <v>881</v>
      </c>
      <c r="J562" s="15" t="s">
        <v>5075</v>
      </c>
      <c r="K562" s="15" t="s">
        <v>880</v>
      </c>
      <c r="L562" s="15" t="s">
        <v>881</v>
      </c>
      <c r="M562" s="46" t="s">
        <v>5076</v>
      </c>
      <c r="N562" s="13" t="s">
        <v>5077</v>
      </c>
      <c r="O562" s="13"/>
      <c r="P562" s="15" t="s">
        <v>94</v>
      </c>
      <c r="Q562" s="17" t="s">
        <v>5078</v>
      </c>
      <c r="R562" s="18">
        <v>596</v>
      </c>
      <c r="S562" s="19">
        <f t="shared" si="5"/>
        <v>96552</v>
      </c>
      <c r="T562" s="12" t="s">
        <v>46</v>
      </c>
      <c r="U562" s="15"/>
      <c r="V562" s="19">
        <v>44610</v>
      </c>
      <c r="W562" s="15" t="s">
        <v>71</v>
      </c>
      <c r="X562" s="13">
        <v>1013293</v>
      </c>
      <c r="Y562" s="20">
        <v>3074286</v>
      </c>
      <c r="Z562" s="13">
        <v>3836907</v>
      </c>
      <c r="AA562" s="13">
        <v>4666224</v>
      </c>
      <c r="AB562" s="13"/>
      <c r="AC562" s="15">
        <v>5499498</v>
      </c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</row>
    <row r="563" spans="1:46" ht="45" customHeight="1">
      <c r="A563" s="12" t="s">
        <v>5079</v>
      </c>
      <c r="B563" s="13" t="s">
        <v>5080</v>
      </c>
      <c r="C563" s="14" t="s">
        <v>5081</v>
      </c>
      <c r="D563" s="15" t="s">
        <v>5082</v>
      </c>
      <c r="E563" s="15" t="s">
        <v>2573</v>
      </c>
      <c r="F563" s="15" t="s">
        <v>181</v>
      </c>
      <c r="G563" s="15" t="s">
        <v>5083</v>
      </c>
      <c r="H563" s="15" t="s">
        <v>892</v>
      </c>
      <c r="I563" s="15" t="s">
        <v>115</v>
      </c>
      <c r="J563" s="15" t="s">
        <v>5083</v>
      </c>
      <c r="K563" s="15" t="s">
        <v>892</v>
      </c>
      <c r="L563" s="15" t="s">
        <v>115</v>
      </c>
      <c r="M563" s="16" t="s">
        <v>5084</v>
      </c>
      <c r="N563" s="13" t="s">
        <v>5085</v>
      </c>
      <c r="O563" s="13"/>
      <c r="P563" s="15" t="s">
        <v>94</v>
      </c>
      <c r="Q563" s="17" t="s">
        <v>5086</v>
      </c>
      <c r="R563" s="18">
        <v>410</v>
      </c>
      <c r="S563" s="19">
        <f t="shared" si="5"/>
        <v>66420</v>
      </c>
      <c r="T563" s="12" t="s">
        <v>46</v>
      </c>
      <c r="U563" s="15"/>
      <c r="V563" s="19">
        <v>44610</v>
      </c>
      <c r="W563" s="49" t="s">
        <v>71</v>
      </c>
      <c r="X563" s="13"/>
      <c r="Y563" s="20"/>
      <c r="Z563" s="13"/>
      <c r="AA563" s="13">
        <v>4753553</v>
      </c>
      <c r="AB563" s="13"/>
      <c r="AC563" s="49">
        <v>5631566</v>
      </c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</row>
    <row r="564" spans="1:46" ht="45" customHeight="1">
      <c r="A564" s="50" t="s">
        <v>5087</v>
      </c>
      <c r="B564" s="51" t="s">
        <v>5088</v>
      </c>
      <c r="C564" s="52" t="s">
        <v>5089</v>
      </c>
      <c r="D564" s="53" t="s">
        <v>5090</v>
      </c>
      <c r="E564" s="53" t="s">
        <v>5091</v>
      </c>
      <c r="F564" s="53" t="s">
        <v>111</v>
      </c>
      <c r="G564" s="53" t="s">
        <v>5092</v>
      </c>
      <c r="H564" s="53" t="s">
        <v>1212</v>
      </c>
      <c r="I564" s="53" t="s">
        <v>80</v>
      </c>
      <c r="J564" s="53" t="s">
        <v>5092</v>
      </c>
      <c r="K564" s="53" t="s">
        <v>1212</v>
      </c>
      <c r="L564" s="53" t="s">
        <v>80</v>
      </c>
      <c r="M564" s="54" t="s">
        <v>5093</v>
      </c>
      <c r="N564" s="51">
        <v>5243149</v>
      </c>
      <c r="O564" s="51"/>
      <c r="P564" s="53" t="s">
        <v>94</v>
      </c>
      <c r="Q564" s="55" t="s">
        <v>5094</v>
      </c>
      <c r="R564" s="56">
        <v>89</v>
      </c>
      <c r="S564" s="57">
        <f t="shared" si="5"/>
        <v>14418</v>
      </c>
      <c r="T564" s="50" t="s">
        <v>46</v>
      </c>
      <c r="U564" s="53"/>
      <c r="V564" s="57">
        <v>44610</v>
      </c>
      <c r="W564" s="53"/>
      <c r="X564" s="51">
        <v>994853</v>
      </c>
      <c r="Y564" s="58"/>
      <c r="Z564" s="51"/>
      <c r="AA564" s="51"/>
      <c r="AB564" s="51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</row>
    <row r="565" spans="1:46" ht="45" customHeight="1">
      <c r="A565" s="12" t="s">
        <v>5095</v>
      </c>
      <c r="B565" s="13" t="s">
        <v>5096</v>
      </c>
      <c r="C565" s="14" t="s">
        <v>5097</v>
      </c>
      <c r="D565" s="15" t="s">
        <v>3270</v>
      </c>
      <c r="E565" s="15" t="s">
        <v>5098</v>
      </c>
      <c r="F565" s="15" t="s">
        <v>147</v>
      </c>
      <c r="G565" s="15" t="s">
        <v>3272</v>
      </c>
      <c r="H565" s="15" t="s">
        <v>52</v>
      </c>
      <c r="I565" s="15" t="s">
        <v>53</v>
      </c>
      <c r="J565" s="15" t="s">
        <v>5099</v>
      </c>
      <c r="K565" s="15" t="s">
        <v>4398</v>
      </c>
      <c r="L565" s="15" t="s">
        <v>80</v>
      </c>
      <c r="M565" s="46" t="s">
        <v>3273</v>
      </c>
      <c r="N565" s="13" t="s">
        <v>5100</v>
      </c>
      <c r="O565" s="13"/>
      <c r="P565" s="15" t="s">
        <v>5101</v>
      </c>
      <c r="Q565" s="17" t="s">
        <v>5102</v>
      </c>
      <c r="R565" s="18">
        <v>468</v>
      </c>
      <c r="S565" s="19">
        <f t="shared" si="5"/>
        <v>75816</v>
      </c>
      <c r="T565" s="12" t="s">
        <v>46</v>
      </c>
      <c r="U565" s="15"/>
      <c r="V565" s="19">
        <v>44610</v>
      </c>
      <c r="W565" s="49" t="s">
        <v>71</v>
      </c>
      <c r="X565" s="13">
        <v>1136263</v>
      </c>
      <c r="Y565" s="20">
        <v>3111681</v>
      </c>
      <c r="Z565" s="13">
        <v>3869580</v>
      </c>
      <c r="AA565" s="13">
        <v>4740993</v>
      </c>
      <c r="AB565" s="13"/>
      <c r="AC565" s="49">
        <v>5623091</v>
      </c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</row>
    <row r="566" spans="1:46" ht="45" customHeight="1">
      <c r="A566" s="21" t="s">
        <v>5103</v>
      </c>
      <c r="B566" s="22" t="s">
        <v>5104</v>
      </c>
      <c r="C566" s="23" t="s">
        <v>5105</v>
      </c>
      <c r="D566" s="24" t="s">
        <v>5106</v>
      </c>
      <c r="E566" s="24" t="s">
        <v>247</v>
      </c>
      <c r="F566" s="24" t="s">
        <v>181</v>
      </c>
      <c r="G566" s="24" t="s">
        <v>5065</v>
      </c>
      <c r="H566" s="24"/>
      <c r="I566" s="24" t="s">
        <v>149</v>
      </c>
      <c r="J566" s="24" t="s">
        <v>5107</v>
      </c>
      <c r="K566" s="24" t="s">
        <v>2334</v>
      </c>
      <c r="L566" s="24" t="s">
        <v>2325</v>
      </c>
      <c r="M566" s="59" t="s">
        <v>5108</v>
      </c>
      <c r="N566" s="22" t="s">
        <v>5109</v>
      </c>
      <c r="O566" s="22"/>
      <c r="P566" s="24" t="s">
        <v>94</v>
      </c>
      <c r="Q566" s="28" t="s">
        <v>5110</v>
      </c>
      <c r="R566" s="29">
        <v>623</v>
      </c>
      <c r="S566" s="30">
        <f t="shared" si="5"/>
        <v>100926</v>
      </c>
      <c r="T566" s="21" t="s">
        <v>252</v>
      </c>
      <c r="U566" s="24"/>
      <c r="V566" s="30">
        <v>123900</v>
      </c>
      <c r="W566" s="24" t="s">
        <v>71</v>
      </c>
      <c r="X566" s="22">
        <v>1022630</v>
      </c>
      <c r="Y566" s="31">
        <v>3115695</v>
      </c>
      <c r="Z566" s="22">
        <v>3790179</v>
      </c>
      <c r="AA566" s="22">
        <v>4640248</v>
      </c>
      <c r="AB566" s="22"/>
      <c r="AC566" s="24">
        <v>5499493</v>
      </c>
      <c r="AD566" s="45">
        <v>6479852</v>
      </c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</row>
    <row r="567" spans="1:46" ht="45" customHeight="1">
      <c r="A567" s="12" t="s">
        <v>5111</v>
      </c>
      <c r="B567" s="13" t="s">
        <v>5112</v>
      </c>
      <c r="C567" s="14" t="s">
        <v>5113</v>
      </c>
      <c r="D567" s="15" t="s">
        <v>5114</v>
      </c>
      <c r="E567" s="15" t="s">
        <v>247</v>
      </c>
      <c r="F567" s="15" t="s">
        <v>181</v>
      </c>
      <c r="G567" s="15" t="s">
        <v>5115</v>
      </c>
      <c r="H567" s="15" t="s">
        <v>544</v>
      </c>
      <c r="I567" s="15" t="s">
        <v>38</v>
      </c>
      <c r="J567" s="15" t="s">
        <v>5115</v>
      </c>
      <c r="K567" s="15" t="s">
        <v>544</v>
      </c>
      <c r="L567" s="15" t="s">
        <v>38</v>
      </c>
      <c r="M567" s="16" t="s">
        <v>5116</v>
      </c>
      <c r="N567" s="13" t="s">
        <v>5117</v>
      </c>
      <c r="O567" s="13"/>
      <c r="P567" s="15" t="s">
        <v>94</v>
      </c>
      <c r="Q567" s="17" t="s">
        <v>5118</v>
      </c>
      <c r="R567" s="18">
        <v>106</v>
      </c>
      <c r="S567" s="19">
        <f t="shared" si="5"/>
        <v>17172</v>
      </c>
      <c r="T567" s="12" t="s">
        <v>46</v>
      </c>
      <c r="U567" s="15"/>
      <c r="V567" s="19">
        <v>44610</v>
      </c>
      <c r="W567" s="15"/>
      <c r="X567" s="13">
        <v>1008922</v>
      </c>
      <c r="Y567" s="20">
        <v>3058605</v>
      </c>
      <c r="Z567" s="13"/>
      <c r="AA567" s="13">
        <v>4670738</v>
      </c>
      <c r="AB567" s="13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</row>
    <row r="568" spans="1:46" ht="45" customHeight="1">
      <c r="A568" s="12" t="s">
        <v>5119</v>
      </c>
      <c r="B568" s="13" t="s">
        <v>5120</v>
      </c>
      <c r="C568" s="14" t="s">
        <v>5121</v>
      </c>
      <c r="D568" s="15" t="s">
        <v>5122</v>
      </c>
      <c r="E568" s="15" t="s">
        <v>5123</v>
      </c>
      <c r="F568" s="15" t="s">
        <v>181</v>
      </c>
      <c r="G568" s="15" t="s">
        <v>5124</v>
      </c>
      <c r="H568" s="15" t="s">
        <v>1262</v>
      </c>
      <c r="I568" s="15" t="s">
        <v>115</v>
      </c>
      <c r="J568" s="15" t="s">
        <v>5124</v>
      </c>
      <c r="K568" s="15" t="s">
        <v>1262</v>
      </c>
      <c r="L568" s="15" t="s">
        <v>115</v>
      </c>
      <c r="M568" s="16" t="s">
        <v>5125</v>
      </c>
      <c r="N568" s="13">
        <v>2615751981</v>
      </c>
      <c r="O568" s="13"/>
      <c r="P568" s="15" t="s">
        <v>44</v>
      </c>
      <c r="Q568" s="17" t="s">
        <v>5126</v>
      </c>
      <c r="R568" s="18">
        <v>72</v>
      </c>
      <c r="S568" s="19">
        <f t="shared" si="5"/>
        <v>11664</v>
      </c>
      <c r="T568" s="12" t="s">
        <v>46</v>
      </c>
      <c r="U568" s="15"/>
      <c r="V568" s="19">
        <v>44610</v>
      </c>
      <c r="W568" s="49" t="s">
        <v>71</v>
      </c>
      <c r="X568" s="13">
        <v>1136490</v>
      </c>
      <c r="Y568" s="20">
        <v>3115753</v>
      </c>
      <c r="Z568" s="13">
        <v>3908337</v>
      </c>
      <c r="AA568" s="13">
        <v>4753555</v>
      </c>
      <c r="AB568" s="13"/>
      <c r="AC568" s="49">
        <v>5635342</v>
      </c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</row>
    <row r="569" spans="1:46" ht="45" customHeight="1">
      <c r="A569" s="21" t="s">
        <v>5127</v>
      </c>
      <c r="B569" s="22" t="s">
        <v>5128</v>
      </c>
      <c r="C569" s="23" t="s">
        <v>5129</v>
      </c>
      <c r="D569" s="24" t="s">
        <v>5130</v>
      </c>
      <c r="E569" s="24" t="s">
        <v>5131</v>
      </c>
      <c r="F569" s="24" t="s">
        <v>776</v>
      </c>
      <c r="G569" s="24" t="s">
        <v>5132</v>
      </c>
      <c r="H569" s="24" t="s">
        <v>2721</v>
      </c>
      <c r="I569" s="24" t="s">
        <v>2691</v>
      </c>
      <c r="J569" s="24" t="s">
        <v>5132</v>
      </c>
      <c r="K569" s="24" t="s">
        <v>2721</v>
      </c>
      <c r="L569" s="24" t="s">
        <v>2691</v>
      </c>
      <c r="M569" s="76" t="s">
        <v>5133</v>
      </c>
      <c r="N569" s="152" t="s">
        <v>5134</v>
      </c>
      <c r="O569" s="22"/>
      <c r="P569" s="24" t="s">
        <v>117</v>
      </c>
      <c r="Q569" s="28" t="s">
        <v>5135</v>
      </c>
      <c r="R569" s="29">
        <v>3633</v>
      </c>
      <c r="S569" s="30">
        <f t="shared" si="5"/>
        <v>588546</v>
      </c>
      <c r="T569" s="21" t="s">
        <v>129</v>
      </c>
      <c r="U569" s="24"/>
      <c r="V569" s="30">
        <v>545160</v>
      </c>
      <c r="W569" s="45" t="s">
        <v>71</v>
      </c>
      <c r="X569" s="22">
        <v>1028459</v>
      </c>
      <c r="Y569" s="31">
        <v>3121548</v>
      </c>
      <c r="Z569" s="22"/>
      <c r="AA569" s="22">
        <v>4753537</v>
      </c>
      <c r="AB569" s="22"/>
      <c r="AC569" s="45">
        <v>5633931</v>
      </c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</row>
    <row r="570" spans="1:46" ht="45" customHeight="1">
      <c r="A570" s="21" t="s">
        <v>5136</v>
      </c>
      <c r="B570" s="22" t="s">
        <v>5137</v>
      </c>
      <c r="C570" s="23" t="s">
        <v>5138</v>
      </c>
      <c r="D570" s="24" t="s">
        <v>5130</v>
      </c>
      <c r="E570" s="24" t="s">
        <v>5131</v>
      </c>
      <c r="F570" s="24" t="s">
        <v>776</v>
      </c>
      <c r="G570" s="24" t="s">
        <v>5139</v>
      </c>
      <c r="H570" s="24" t="s">
        <v>5140</v>
      </c>
      <c r="I570" s="24" t="s">
        <v>1927</v>
      </c>
      <c r="J570" s="24" t="s">
        <v>5139</v>
      </c>
      <c r="K570" s="24" t="s">
        <v>5140</v>
      </c>
      <c r="L570" s="24" t="s">
        <v>1927</v>
      </c>
      <c r="M570" s="76" t="s">
        <v>5141</v>
      </c>
      <c r="N570" s="152" t="s">
        <v>5134</v>
      </c>
      <c r="O570" s="22"/>
      <c r="P570" s="24" t="s">
        <v>117</v>
      </c>
      <c r="Q570" s="28" t="s">
        <v>5142</v>
      </c>
      <c r="R570" s="29">
        <v>6057</v>
      </c>
      <c r="S570" s="30">
        <f t="shared" si="5"/>
        <v>981234</v>
      </c>
      <c r="T570" s="21" t="s">
        <v>70</v>
      </c>
      <c r="U570" s="24"/>
      <c r="V570" s="30">
        <f>S570</f>
        <v>981234</v>
      </c>
      <c r="W570" s="45" t="s">
        <v>71</v>
      </c>
      <c r="X570" s="22">
        <v>1028456</v>
      </c>
      <c r="Y570" s="31">
        <v>3121471</v>
      </c>
      <c r="Z570" s="22">
        <v>3888218</v>
      </c>
      <c r="AA570" s="22">
        <v>4752058</v>
      </c>
      <c r="AB570" s="22"/>
      <c r="AC570" s="45">
        <v>5634188</v>
      </c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</row>
    <row r="571" spans="1:46" ht="45" customHeight="1">
      <c r="A571" s="12" t="s">
        <v>5143</v>
      </c>
      <c r="B571" s="13" t="s">
        <v>5144</v>
      </c>
      <c r="C571" s="14" t="s">
        <v>5145</v>
      </c>
      <c r="D571" s="15" t="s">
        <v>5146</v>
      </c>
      <c r="E571" s="15" t="s">
        <v>5147</v>
      </c>
      <c r="F571" s="15" t="s">
        <v>111</v>
      </c>
      <c r="G571" s="15" t="s">
        <v>5148</v>
      </c>
      <c r="H571" s="15" t="s">
        <v>671</v>
      </c>
      <c r="I571" s="15" t="s">
        <v>149</v>
      </c>
      <c r="J571" s="15" t="s">
        <v>5148</v>
      </c>
      <c r="K571" s="15" t="s">
        <v>671</v>
      </c>
      <c r="L571" s="15" t="s">
        <v>149</v>
      </c>
      <c r="M571" s="16" t="s">
        <v>5149</v>
      </c>
      <c r="N571" s="13" t="s">
        <v>5150</v>
      </c>
      <c r="O571" s="13"/>
      <c r="P571" s="15" t="s">
        <v>94</v>
      </c>
      <c r="Q571" s="17" t="s">
        <v>5151</v>
      </c>
      <c r="R571" s="18">
        <v>79</v>
      </c>
      <c r="S571" s="19">
        <f t="shared" si="5"/>
        <v>12798</v>
      </c>
      <c r="T571" s="12" t="s">
        <v>46</v>
      </c>
      <c r="U571" s="15"/>
      <c r="V571" s="19">
        <v>44610</v>
      </c>
      <c r="W571" s="15"/>
      <c r="X571" s="13"/>
      <c r="Y571" s="20"/>
      <c r="Z571" s="13"/>
      <c r="AA571" s="13"/>
      <c r="AB571" s="153">
        <v>4858038</v>
      </c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</row>
    <row r="572" spans="1:46" ht="45" customHeight="1">
      <c r="A572" s="12" t="s">
        <v>5152</v>
      </c>
      <c r="B572" s="13" t="s">
        <v>5153</v>
      </c>
      <c r="C572" s="66" t="s">
        <v>5154</v>
      </c>
      <c r="D572" s="15" t="s">
        <v>5155</v>
      </c>
      <c r="E572" s="15" t="s">
        <v>3556</v>
      </c>
      <c r="F572" s="15" t="s">
        <v>181</v>
      </c>
      <c r="G572" s="15" t="s">
        <v>5156</v>
      </c>
      <c r="H572" s="15"/>
      <c r="I572" s="15" t="s">
        <v>149</v>
      </c>
      <c r="J572" s="15" t="s">
        <v>5156</v>
      </c>
      <c r="K572" s="15"/>
      <c r="L572" s="15" t="s">
        <v>149</v>
      </c>
      <c r="M572" s="46" t="s">
        <v>5157</v>
      </c>
      <c r="N572" s="13">
        <v>155121354</v>
      </c>
      <c r="O572" s="13"/>
      <c r="P572" s="15" t="s">
        <v>3014</v>
      </c>
      <c r="Q572" s="17" t="s">
        <v>5158</v>
      </c>
      <c r="R572" s="18">
        <v>13</v>
      </c>
      <c r="S572" s="19">
        <f t="shared" si="5"/>
        <v>2106</v>
      </c>
      <c r="T572" s="12" t="s">
        <v>46</v>
      </c>
      <c r="U572" s="15"/>
      <c r="V572" s="19">
        <v>44610</v>
      </c>
      <c r="W572" s="15"/>
      <c r="X572" s="13">
        <v>1019729</v>
      </c>
      <c r="Y572" s="20"/>
      <c r="Z572" s="13"/>
      <c r="AA572" s="13"/>
      <c r="AB572" s="20">
        <v>4853858</v>
      </c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</row>
    <row r="573" spans="1:46" ht="45" customHeight="1">
      <c r="A573" s="12" t="s">
        <v>5159</v>
      </c>
      <c r="B573" s="13" t="s">
        <v>5160</v>
      </c>
      <c r="C573" s="14" t="s">
        <v>5161</v>
      </c>
      <c r="D573" s="15" t="s">
        <v>5162</v>
      </c>
      <c r="E573" s="15" t="s">
        <v>2387</v>
      </c>
      <c r="F573" s="15" t="s">
        <v>147</v>
      </c>
      <c r="G573" s="15" t="s">
        <v>5163</v>
      </c>
      <c r="H573" s="15" t="s">
        <v>114</v>
      </c>
      <c r="I573" s="15" t="s">
        <v>115</v>
      </c>
      <c r="J573" s="15" t="s">
        <v>5163</v>
      </c>
      <c r="K573" s="15" t="s">
        <v>114</v>
      </c>
      <c r="L573" s="15" t="s">
        <v>115</v>
      </c>
      <c r="M573" s="16" t="s">
        <v>5164</v>
      </c>
      <c r="N573" s="13" t="s">
        <v>1670</v>
      </c>
      <c r="O573" s="13"/>
      <c r="P573" s="15" t="s">
        <v>151</v>
      </c>
      <c r="Q573" s="17" t="s">
        <v>5165</v>
      </c>
      <c r="R573" s="18">
        <v>68</v>
      </c>
      <c r="S573" s="19">
        <f t="shared" si="5"/>
        <v>11016</v>
      </c>
      <c r="T573" s="12" t="s">
        <v>46</v>
      </c>
      <c r="U573" s="15"/>
      <c r="V573" s="19">
        <v>44610</v>
      </c>
      <c r="W573" s="15" t="s">
        <v>71</v>
      </c>
      <c r="X573" s="13"/>
      <c r="Y573" s="20"/>
      <c r="Z573" s="13">
        <v>3856504</v>
      </c>
      <c r="AA573" s="13">
        <v>4721314</v>
      </c>
      <c r="AB573" s="13"/>
      <c r="AC573" s="15">
        <v>5591577</v>
      </c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</row>
    <row r="574" spans="1:46" ht="45" customHeight="1">
      <c r="A574" s="12" t="s">
        <v>5166</v>
      </c>
      <c r="B574" s="13" t="s">
        <v>5167</v>
      </c>
      <c r="C574" s="14" t="s">
        <v>5168</v>
      </c>
      <c r="D574" s="15" t="s">
        <v>5169</v>
      </c>
      <c r="E574" s="15" t="s">
        <v>5170</v>
      </c>
      <c r="F574" s="15" t="s">
        <v>111</v>
      </c>
      <c r="G574" s="15" t="s">
        <v>5171</v>
      </c>
      <c r="H574" s="15" t="s">
        <v>1736</v>
      </c>
      <c r="I574" s="15" t="s">
        <v>149</v>
      </c>
      <c r="J574" s="15" t="s">
        <v>5171</v>
      </c>
      <c r="K574" s="15" t="s">
        <v>1736</v>
      </c>
      <c r="L574" s="15" t="s">
        <v>149</v>
      </c>
      <c r="M574" s="16" t="s">
        <v>5172</v>
      </c>
      <c r="N574" s="13" t="s">
        <v>5173</v>
      </c>
      <c r="O574" s="13"/>
      <c r="P574" s="15" t="s">
        <v>1381</v>
      </c>
      <c r="Q574" s="17" t="s">
        <v>5174</v>
      </c>
      <c r="R574" s="18">
        <v>156</v>
      </c>
      <c r="S574" s="19">
        <f t="shared" si="5"/>
        <v>25272</v>
      </c>
      <c r="T574" s="12" t="s">
        <v>46</v>
      </c>
      <c r="U574" s="15"/>
      <c r="V574" s="19">
        <v>44610</v>
      </c>
      <c r="W574" s="15" t="s">
        <v>71</v>
      </c>
      <c r="X574" s="13">
        <v>1032615</v>
      </c>
      <c r="Y574" s="20">
        <v>3071702</v>
      </c>
      <c r="Z574" s="13">
        <v>3852430</v>
      </c>
      <c r="AA574" s="13">
        <v>4669011</v>
      </c>
      <c r="AB574" s="13"/>
      <c r="AC574" s="15">
        <v>5532713</v>
      </c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</row>
    <row r="575" spans="1:46" ht="45" customHeight="1">
      <c r="A575" s="12" t="s">
        <v>5175</v>
      </c>
      <c r="B575" s="13" t="s">
        <v>5176</v>
      </c>
      <c r="C575" s="14" t="s">
        <v>5177</v>
      </c>
      <c r="D575" s="15" t="s">
        <v>5178</v>
      </c>
      <c r="E575" s="15" t="s">
        <v>5179</v>
      </c>
      <c r="F575" s="15" t="s">
        <v>147</v>
      </c>
      <c r="G575" s="15" t="s">
        <v>5180</v>
      </c>
      <c r="H575" s="15" t="s">
        <v>52</v>
      </c>
      <c r="I575" s="15" t="s">
        <v>53</v>
      </c>
      <c r="J575" s="15" t="s">
        <v>5180</v>
      </c>
      <c r="K575" s="15" t="s">
        <v>52</v>
      </c>
      <c r="L575" s="15" t="s">
        <v>53</v>
      </c>
      <c r="M575" s="16" t="s">
        <v>3283</v>
      </c>
      <c r="N575" s="13">
        <v>2616631257</v>
      </c>
      <c r="O575" s="13"/>
      <c r="P575" s="15" t="s">
        <v>5181</v>
      </c>
      <c r="Q575" s="17" t="s">
        <v>5182</v>
      </c>
      <c r="R575" s="18">
        <v>21</v>
      </c>
      <c r="S575" s="19">
        <f t="shared" si="5"/>
        <v>3402</v>
      </c>
      <c r="T575" s="12" t="s">
        <v>46</v>
      </c>
      <c r="U575" s="15"/>
      <c r="V575" s="19">
        <v>44610</v>
      </c>
      <c r="W575" s="15" t="s">
        <v>71</v>
      </c>
      <c r="X575" s="13"/>
      <c r="Y575" s="20"/>
      <c r="Z575" s="13">
        <v>3835375</v>
      </c>
      <c r="AA575" s="13">
        <v>4902336</v>
      </c>
      <c r="AB575" s="13"/>
      <c r="AC575" s="15">
        <v>5571160</v>
      </c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</row>
    <row r="576" spans="1:46" ht="45" customHeight="1">
      <c r="A576" s="12" t="s">
        <v>5183</v>
      </c>
      <c r="B576" s="47" t="s">
        <v>5184</v>
      </c>
      <c r="C576" s="14" t="s">
        <v>5185</v>
      </c>
      <c r="D576" s="15" t="s">
        <v>5186</v>
      </c>
      <c r="E576" s="15" t="s">
        <v>5187</v>
      </c>
      <c r="F576" s="15" t="s">
        <v>181</v>
      </c>
      <c r="G576" s="15" t="s">
        <v>5188</v>
      </c>
      <c r="H576" s="15"/>
      <c r="I576" s="15" t="s">
        <v>80</v>
      </c>
      <c r="J576" s="15" t="s">
        <v>5188</v>
      </c>
      <c r="K576" s="15" t="s">
        <v>2262</v>
      </c>
      <c r="L576" s="15" t="s">
        <v>80</v>
      </c>
      <c r="M576" s="16" t="s">
        <v>5189</v>
      </c>
      <c r="N576" s="13">
        <v>2616213142</v>
      </c>
      <c r="O576" s="13"/>
      <c r="P576" s="15" t="s">
        <v>94</v>
      </c>
      <c r="Q576" s="17" t="s">
        <v>5190</v>
      </c>
      <c r="R576" s="18">
        <v>425</v>
      </c>
      <c r="S576" s="19">
        <f t="shared" si="5"/>
        <v>68850</v>
      </c>
      <c r="T576" s="12" t="s">
        <v>46</v>
      </c>
      <c r="U576" s="15"/>
      <c r="V576" s="19">
        <v>44610</v>
      </c>
      <c r="W576" s="15" t="s">
        <v>47</v>
      </c>
      <c r="X576" s="13">
        <v>1030110</v>
      </c>
      <c r="Y576" s="20"/>
      <c r="Z576" s="13"/>
      <c r="AA576" s="13">
        <v>4756127</v>
      </c>
      <c r="AB576" s="13"/>
      <c r="AC576" s="15">
        <v>5612795</v>
      </c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</row>
    <row r="577" spans="1:46" ht="45" customHeight="1">
      <c r="A577" s="21" t="s">
        <v>5191</v>
      </c>
      <c r="B577" s="22" t="s">
        <v>5192</v>
      </c>
      <c r="C577" s="23" t="s">
        <v>5193</v>
      </c>
      <c r="D577" s="24" t="s">
        <v>5194</v>
      </c>
      <c r="E577" s="24" t="s">
        <v>5195</v>
      </c>
      <c r="F577" s="24" t="s">
        <v>158</v>
      </c>
      <c r="G577" s="24" t="s">
        <v>5196</v>
      </c>
      <c r="H577" s="24"/>
      <c r="I577" s="24" t="s">
        <v>352</v>
      </c>
      <c r="J577" s="24" t="s">
        <v>5196</v>
      </c>
      <c r="K577" s="24"/>
      <c r="L577" s="24" t="s">
        <v>352</v>
      </c>
      <c r="M577" s="43" t="s">
        <v>5197</v>
      </c>
      <c r="N577" s="22">
        <v>2625424786</v>
      </c>
      <c r="O577" s="22"/>
      <c r="P577" s="24" t="s">
        <v>94</v>
      </c>
      <c r="Q577" s="28" t="s">
        <v>5198</v>
      </c>
      <c r="R577" s="29">
        <v>1603</v>
      </c>
      <c r="S577" s="30">
        <f t="shared" si="5"/>
        <v>259686</v>
      </c>
      <c r="T577" s="21" t="s">
        <v>198</v>
      </c>
      <c r="U577" s="24"/>
      <c r="V577" s="30">
        <v>215940</v>
      </c>
      <c r="W577" s="45" t="s">
        <v>71</v>
      </c>
      <c r="X577" s="22"/>
      <c r="Y577" s="31">
        <v>3083108</v>
      </c>
      <c r="Z577" s="22">
        <v>3821705</v>
      </c>
      <c r="AA577" s="22">
        <v>4741127</v>
      </c>
      <c r="AB577" s="22"/>
      <c r="AC577" s="45">
        <v>5624342</v>
      </c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</row>
    <row r="578" spans="1:46" ht="45" customHeight="1">
      <c r="A578" s="12" t="s">
        <v>5199</v>
      </c>
      <c r="B578" s="13" t="s">
        <v>5200</v>
      </c>
      <c r="C578" s="14" t="s">
        <v>5201</v>
      </c>
      <c r="D578" s="15" t="s">
        <v>5202</v>
      </c>
      <c r="E578" s="15" t="s">
        <v>5203</v>
      </c>
      <c r="F578" s="15" t="s">
        <v>181</v>
      </c>
      <c r="G578" s="15" t="s">
        <v>5204</v>
      </c>
      <c r="H578" s="15" t="s">
        <v>630</v>
      </c>
      <c r="I578" s="15" t="s">
        <v>80</v>
      </c>
      <c r="J578" s="15" t="s">
        <v>5204</v>
      </c>
      <c r="K578" s="15" t="s">
        <v>630</v>
      </c>
      <c r="L578" s="15" t="s">
        <v>80</v>
      </c>
      <c r="M578" s="46" t="s">
        <v>5205</v>
      </c>
      <c r="N578" s="13" t="s">
        <v>5206</v>
      </c>
      <c r="O578" s="13"/>
      <c r="P578" s="15" t="s">
        <v>94</v>
      </c>
      <c r="Q578" s="17" t="s">
        <v>5207</v>
      </c>
      <c r="R578" s="18">
        <v>236.53</v>
      </c>
      <c r="S578" s="19">
        <f t="shared" si="5"/>
        <v>38317.86</v>
      </c>
      <c r="T578" s="12" t="s">
        <v>46</v>
      </c>
      <c r="U578" s="15"/>
      <c r="V578" s="19">
        <v>44610</v>
      </c>
      <c r="W578" s="15"/>
      <c r="X578" s="13"/>
      <c r="Y578" s="20"/>
      <c r="Z578" s="13"/>
      <c r="AA578" s="13"/>
      <c r="AB578" s="13">
        <v>4894328</v>
      </c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</row>
    <row r="579" spans="1:46" ht="45" customHeight="1">
      <c r="A579" s="12" t="s">
        <v>5208</v>
      </c>
      <c r="B579" s="13" t="s">
        <v>5209</v>
      </c>
      <c r="C579" s="14" t="s">
        <v>5210</v>
      </c>
      <c r="D579" s="15" t="s">
        <v>2414</v>
      </c>
      <c r="E579" s="15" t="s">
        <v>4955</v>
      </c>
      <c r="F579" s="15" t="s">
        <v>111</v>
      </c>
      <c r="G579" s="15" t="s">
        <v>2415</v>
      </c>
      <c r="H579" s="15" t="s">
        <v>125</v>
      </c>
      <c r="I579" s="15" t="s">
        <v>115</v>
      </c>
      <c r="J579" s="15" t="s">
        <v>5211</v>
      </c>
      <c r="K579" s="15" t="s">
        <v>5212</v>
      </c>
      <c r="L579" s="15" t="s">
        <v>115</v>
      </c>
      <c r="M579" s="46" t="s">
        <v>2416</v>
      </c>
      <c r="N579" s="13" t="s">
        <v>5213</v>
      </c>
      <c r="O579" s="13"/>
      <c r="P579" s="15" t="s">
        <v>44</v>
      </c>
      <c r="Q579" s="17" t="s">
        <v>5214</v>
      </c>
      <c r="R579" s="18">
        <v>21</v>
      </c>
      <c r="S579" s="19">
        <f t="shared" si="5"/>
        <v>3402</v>
      </c>
      <c r="T579" s="12" t="s">
        <v>46</v>
      </c>
      <c r="U579" s="15"/>
      <c r="V579" s="19">
        <v>44610</v>
      </c>
      <c r="W579" s="49" t="s">
        <v>71</v>
      </c>
      <c r="X579" s="13">
        <v>1121729</v>
      </c>
      <c r="Y579" s="20">
        <v>3113856</v>
      </c>
      <c r="Z579" s="13">
        <v>3884855</v>
      </c>
      <c r="AA579" s="47">
        <v>4734762</v>
      </c>
      <c r="AB579" s="13"/>
      <c r="AC579" s="49">
        <v>5622638</v>
      </c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</row>
    <row r="580" spans="1:46" ht="45" customHeight="1">
      <c r="A580" s="12" t="s">
        <v>5215</v>
      </c>
      <c r="B580" s="13" t="s">
        <v>5216</v>
      </c>
      <c r="C580" s="14" t="s">
        <v>5217</v>
      </c>
      <c r="D580" s="15" t="s">
        <v>2414</v>
      </c>
      <c r="E580" s="15" t="s">
        <v>4955</v>
      </c>
      <c r="F580" s="15" t="s">
        <v>111</v>
      </c>
      <c r="G580" s="15" t="s">
        <v>2415</v>
      </c>
      <c r="H580" s="15" t="s">
        <v>125</v>
      </c>
      <c r="I580" s="15" t="s">
        <v>115</v>
      </c>
      <c r="J580" s="15" t="s">
        <v>5211</v>
      </c>
      <c r="K580" s="15" t="s">
        <v>5212</v>
      </c>
      <c r="L580" s="15" t="s">
        <v>115</v>
      </c>
      <c r="M580" s="46" t="s">
        <v>5218</v>
      </c>
      <c r="N580" s="13" t="s">
        <v>5219</v>
      </c>
      <c r="O580" s="13"/>
      <c r="P580" s="15" t="s">
        <v>44</v>
      </c>
      <c r="Q580" s="17" t="s">
        <v>5220</v>
      </c>
      <c r="R580" s="18">
        <v>28</v>
      </c>
      <c r="S580" s="19">
        <f t="shared" si="5"/>
        <v>4536</v>
      </c>
      <c r="T580" s="12" t="s">
        <v>46</v>
      </c>
      <c r="U580" s="15"/>
      <c r="V580" s="19">
        <v>44610</v>
      </c>
      <c r="W580" s="49" t="s">
        <v>71</v>
      </c>
      <c r="X580" s="13">
        <v>1121662</v>
      </c>
      <c r="Y580" s="20">
        <v>3113840</v>
      </c>
      <c r="Z580" s="13">
        <v>3884806</v>
      </c>
      <c r="AA580" s="13">
        <v>4734729</v>
      </c>
      <c r="AB580" s="13"/>
      <c r="AC580" s="49">
        <v>5622729</v>
      </c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</row>
    <row r="581" spans="1:46" ht="45" customHeight="1">
      <c r="A581" s="40" t="s">
        <v>5221</v>
      </c>
      <c r="B581" s="33" t="s">
        <v>5222</v>
      </c>
      <c r="C581" s="34" t="s">
        <v>5223</v>
      </c>
      <c r="D581" s="35" t="s">
        <v>5224</v>
      </c>
      <c r="E581" s="35" t="s">
        <v>3556</v>
      </c>
      <c r="F581" s="35" t="s">
        <v>181</v>
      </c>
      <c r="G581" s="35" t="s">
        <v>5225</v>
      </c>
      <c r="H581" s="35"/>
      <c r="I581" s="35" t="s">
        <v>149</v>
      </c>
      <c r="J581" s="35" t="s">
        <v>5225</v>
      </c>
      <c r="K581" s="35"/>
      <c r="L581" s="35" t="s">
        <v>149</v>
      </c>
      <c r="M581" s="36" t="s">
        <v>5226</v>
      </c>
      <c r="N581" s="33">
        <v>2615763772</v>
      </c>
      <c r="O581" s="33"/>
      <c r="P581" s="35" t="s">
        <v>94</v>
      </c>
      <c r="Q581" s="37" t="s">
        <v>5227</v>
      </c>
      <c r="R581" s="38">
        <v>44</v>
      </c>
      <c r="S581" s="39">
        <f t="shared" si="5"/>
        <v>7128</v>
      </c>
      <c r="T581" s="40" t="s">
        <v>46</v>
      </c>
      <c r="U581" s="35"/>
      <c r="V581" s="39">
        <v>44610</v>
      </c>
      <c r="W581" s="35"/>
      <c r="X581" s="33"/>
      <c r="Y581" s="41"/>
      <c r="Z581" s="33"/>
      <c r="AA581" s="33"/>
      <c r="AB581" s="33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</row>
    <row r="582" spans="1:46" ht="45" customHeight="1">
      <c r="A582" s="50" t="s">
        <v>5228</v>
      </c>
      <c r="B582" s="51" t="s">
        <v>5229</v>
      </c>
      <c r="C582" s="95" t="s">
        <v>5230</v>
      </c>
      <c r="D582" s="53" t="s">
        <v>5231</v>
      </c>
      <c r="E582" s="53" t="s">
        <v>5232</v>
      </c>
      <c r="F582" s="53" t="s">
        <v>111</v>
      </c>
      <c r="G582" s="53" t="s">
        <v>5233</v>
      </c>
      <c r="H582" s="53" t="s">
        <v>1262</v>
      </c>
      <c r="I582" s="53" t="s">
        <v>115</v>
      </c>
      <c r="J582" s="53" t="s">
        <v>5233</v>
      </c>
      <c r="K582" s="53" t="s">
        <v>1262</v>
      </c>
      <c r="L582" s="53" t="s">
        <v>5234</v>
      </c>
      <c r="M582" s="68"/>
      <c r="N582" s="51"/>
      <c r="O582" s="51"/>
      <c r="P582" s="53" t="s">
        <v>44</v>
      </c>
      <c r="Q582" s="55" t="s">
        <v>5235</v>
      </c>
      <c r="R582" s="56">
        <v>12</v>
      </c>
      <c r="S582" s="57">
        <f t="shared" si="5"/>
        <v>1944</v>
      </c>
      <c r="T582" s="50" t="s">
        <v>46</v>
      </c>
      <c r="U582" s="53"/>
      <c r="V582" s="57">
        <v>44610</v>
      </c>
      <c r="W582" s="53"/>
      <c r="X582" s="51"/>
      <c r="Y582" s="58"/>
      <c r="Z582" s="51"/>
      <c r="AA582" s="51"/>
      <c r="AB582" s="51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</row>
    <row r="583" spans="1:46" ht="45" customHeight="1">
      <c r="A583" s="12" t="s">
        <v>5236</v>
      </c>
      <c r="B583" s="13" t="s">
        <v>5237</v>
      </c>
      <c r="C583" s="14" t="s">
        <v>5238</v>
      </c>
      <c r="D583" s="15" t="s">
        <v>5239</v>
      </c>
      <c r="E583" s="15" t="s">
        <v>5240</v>
      </c>
      <c r="F583" s="15" t="s">
        <v>62</v>
      </c>
      <c r="G583" s="15" t="s">
        <v>5241</v>
      </c>
      <c r="H583" s="15" t="s">
        <v>4833</v>
      </c>
      <c r="I583" s="15" t="s">
        <v>65</v>
      </c>
      <c r="J583" s="15" t="s">
        <v>5242</v>
      </c>
      <c r="K583" s="15"/>
      <c r="L583" s="15" t="s">
        <v>65</v>
      </c>
      <c r="M583" s="46" t="s">
        <v>5243</v>
      </c>
      <c r="N583" s="13">
        <v>5906857</v>
      </c>
      <c r="O583" s="13"/>
      <c r="P583" s="15" t="s">
        <v>5244</v>
      </c>
      <c r="Q583" s="17" t="s">
        <v>5245</v>
      </c>
      <c r="R583" s="18">
        <v>47</v>
      </c>
      <c r="S583" s="19">
        <f t="shared" si="5"/>
        <v>7614</v>
      </c>
      <c r="T583" s="12" t="s">
        <v>46</v>
      </c>
      <c r="U583" s="15"/>
      <c r="V583" s="19">
        <v>44610</v>
      </c>
      <c r="W583" s="15"/>
      <c r="X583" s="13"/>
      <c r="Y583" s="20"/>
      <c r="Z583" s="13"/>
      <c r="AA583" s="13"/>
      <c r="AB583" s="13">
        <v>4906262</v>
      </c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</row>
    <row r="584" spans="1:46" ht="45" customHeight="1">
      <c r="A584" s="50" t="s">
        <v>5246</v>
      </c>
      <c r="B584" s="51" t="s">
        <v>5247</v>
      </c>
      <c r="C584" s="52" t="s">
        <v>5248</v>
      </c>
      <c r="D584" s="53" t="s">
        <v>5249</v>
      </c>
      <c r="E584" s="53" t="s">
        <v>1849</v>
      </c>
      <c r="F584" s="53" t="s">
        <v>181</v>
      </c>
      <c r="G584" s="53" t="s">
        <v>5250</v>
      </c>
      <c r="H584" s="53"/>
      <c r="I584" s="53" t="s">
        <v>38</v>
      </c>
      <c r="J584" s="53" t="s">
        <v>5250</v>
      </c>
      <c r="K584" s="53"/>
      <c r="L584" s="53" t="s">
        <v>38</v>
      </c>
      <c r="M584" s="54" t="s">
        <v>5251</v>
      </c>
      <c r="N584" s="51">
        <v>4980735</v>
      </c>
      <c r="O584" s="51"/>
      <c r="P584" s="53" t="s">
        <v>44</v>
      </c>
      <c r="Q584" s="55" t="s">
        <v>5252</v>
      </c>
      <c r="R584" s="56">
        <v>27</v>
      </c>
      <c r="S584" s="57">
        <f t="shared" si="5"/>
        <v>4374</v>
      </c>
      <c r="T584" s="50" t="s">
        <v>46</v>
      </c>
      <c r="U584" s="53"/>
      <c r="V584" s="57">
        <v>44610</v>
      </c>
      <c r="W584" s="53"/>
      <c r="X584" s="51"/>
      <c r="Y584" s="58"/>
      <c r="Z584" s="51"/>
      <c r="AA584" s="51"/>
      <c r="AB584" s="51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</row>
    <row r="585" spans="1:46" ht="45" customHeight="1">
      <c r="A585" s="40" t="s">
        <v>5253</v>
      </c>
      <c r="B585" s="33" t="s">
        <v>5254</v>
      </c>
      <c r="C585" s="34" t="s">
        <v>5255</v>
      </c>
      <c r="D585" s="35" t="s">
        <v>5256</v>
      </c>
      <c r="E585" s="35" t="s">
        <v>5257</v>
      </c>
      <c r="F585" s="35" t="s">
        <v>204</v>
      </c>
      <c r="G585" s="35" t="s">
        <v>5258</v>
      </c>
      <c r="H585" s="35" t="s">
        <v>125</v>
      </c>
      <c r="I585" s="35" t="s">
        <v>115</v>
      </c>
      <c r="J585" s="35" t="s">
        <v>5259</v>
      </c>
      <c r="K585" s="35" t="s">
        <v>1165</v>
      </c>
      <c r="L585" s="35" t="s">
        <v>2691</v>
      </c>
      <c r="M585" s="36" t="s">
        <v>5260</v>
      </c>
      <c r="N585" s="33">
        <v>2613624245</v>
      </c>
      <c r="O585" s="33"/>
      <c r="P585" s="35" t="s">
        <v>1381</v>
      </c>
      <c r="Q585" s="37" t="s">
        <v>5261</v>
      </c>
      <c r="R585" s="38">
        <v>848</v>
      </c>
      <c r="S585" s="39">
        <f t="shared" si="5"/>
        <v>137376</v>
      </c>
      <c r="T585" s="40" t="s">
        <v>252</v>
      </c>
      <c r="U585" s="35"/>
      <c r="V585" s="39">
        <v>123900</v>
      </c>
      <c r="W585" s="35"/>
      <c r="X585" s="33"/>
      <c r="Y585" s="41"/>
      <c r="Z585" s="33"/>
      <c r="AA585" s="33"/>
      <c r="AB585" s="33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</row>
    <row r="586" spans="1:46" ht="45" customHeight="1">
      <c r="A586" s="12" t="s">
        <v>5262</v>
      </c>
      <c r="B586" s="13" t="s">
        <v>5263</v>
      </c>
      <c r="C586" s="14" t="s">
        <v>5264</v>
      </c>
      <c r="D586" s="15" t="s">
        <v>5265</v>
      </c>
      <c r="E586" s="15" t="s">
        <v>5266</v>
      </c>
      <c r="F586" s="15" t="s">
        <v>204</v>
      </c>
      <c r="G586" s="15" t="s">
        <v>5267</v>
      </c>
      <c r="H586" s="15" t="s">
        <v>291</v>
      </c>
      <c r="I586" s="15" t="s">
        <v>115</v>
      </c>
      <c r="J586" s="15" t="s">
        <v>5267</v>
      </c>
      <c r="K586" s="15" t="s">
        <v>291</v>
      </c>
      <c r="L586" s="15" t="s">
        <v>115</v>
      </c>
      <c r="M586" s="67" t="s">
        <v>5268</v>
      </c>
      <c r="N586" s="13" t="s">
        <v>5269</v>
      </c>
      <c r="O586" s="13"/>
      <c r="P586" s="15" t="s">
        <v>5270</v>
      </c>
      <c r="Q586" s="17" t="s">
        <v>5271</v>
      </c>
      <c r="R586" s="18">
        <v>35</v>
      </c>
      <c r="S586" s="19">
        <f t="shared" si="5"/>
        <v>5670</v>
      </c>
      <c r="T586" s="12" t="s">
        <v>46</v>
      </c>
      <c r="U586" s="15"/>
      <c r="V586" s="19">
        <v>44610</v>
      </c>
      <c r="W586" s="15" t="s">
        <v>71</v>
      </c>
      <c r="X586" s="13">
        <v>1006322</v>
      </c>
      <c r="Y586" s="20">
        <v>3084948</v>
      </c>
      <c r="Z586" s="13">
        <v>3856503</v>
      </c>
      <c r="AA586" s="13">
        <v>4671556</v>
      </c>
      <c r="AB586" s="13"/>
      <c r="AC586" s="15">
        <v>5521110</v>
      </c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</row>
    <row r="587" spans="1:46" ht="45" customHeight="1">
      <c r="A587" s="12" t="s">
        <v>5272</v>
      </c>
      <c r="B587" s="13" t="s">
        <v>5273</v>
      </c>
      <c r="C587" s="14" t="s">
        <v>5274</v>
      </c>
      <c r="D587" s="15" t="s">
        <v>5275</v>
      </c>
      <c r="E587" s="15" t="s">
        <v>247</v>
      </c>
      <c r="F587" s="15" t="s">
        <v>181</v>
      </c>
      <c r="G587" s="15" t="s">
        <v>5276</v>
      </c>
      <c r="H587" s="15" t="s">
        <v>1446</v>
      </c>
      <c r="I587" s="15" t="s">
        <v>80</v>
      </c>
      <c r="J587" s="15" t="s">
        <v>5276</v>
      </c>
      <c r="K587" s="15" t="s">
        <v>1446</v>
      </c>
      <c r="L587" s="15" t="s">
        <v>80</v>
      </c>
      <c r="M587" s="16" t="s">
        <v>5277</v>
      </c>
      <c r="N587" s="13" t="s">
        <v>5278</v>
      </c>
      <c r="O587" s="13"/>
      <c r="P587" s="15" t="s">
        <v>94</v>
      </c>
      <c r="Q587" s="17" t="s">
        <v>5279</v>
      </c>
      <c r="R587" s="18">
        <v>338</v>
      </c>
      <c r="S587" s="19">
        <f t="shared" si="5"/>
        <v>54756</v>
      </c>
      <c r="T587" s="12" t="s">
        <v>46</v>
      </c>
      <c r="U587" s="15"/>
      <c r="V587" s="19">
        <v>44610</v>
      </c>
      <c r="W587" s="49" t="s">
        <v>71</v>
      </c>
      <c r="X587" s="13">
        <v>1136460</v>
      </c>
      <c r="Y587" s="20">
        <v>3113759</v>
      </c>
      <c r="Z587" s="13">
        <v>3904901</v>
      </c>
      <c r="AA587" s="13">
        <v>4757589</v>
      </c>
      <c r="AB587" s="13"/>
      <c r="AC587" s="49">
        <v>5633420</v>
      </c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</row>
    <row r="588" spans="1:46" ht="45" customHeight="1">
      <c r="A588" s="12" t="s">
        <v>5280</v>
      </c>
      <c r="B588" s="13" t="s">
        <v>5281</v>
      </c>
      <c r="C588" s="66" t="s">
        <v>5282</v>
      </c>
      <c r="D588" s="15" t="s">
        <v>5283</v>
      </c>
      <c r="E588" s="15" t="s">
        <v>5284</v>
      </c>
      <c r="F588" s="15" t="s">
        <v>542</v>
      </c>
      <c r="G588" s="15" t="s">
        <v>5285</v>
      </c>
      <c r="H588" s="15" t="s">
        <v>1736</v>
      </c>
      <c r="I588" s="15" t="s">
        <v>149</v>
      </c>
      <c r="J588" s="15" t="s">
        <v>5285</v>
      </c>
      <c r="K588" s="15" t="s">
        <v>1736</v>
      </c>
      <c r="L588" s="15" t="s">
        <v>149</v>
      </c>
      <c r="M588" s="46" t="s">
        <v>5286</v>
      </c>
      <c r="N588" s="13">
        <v>4222313</v>
      </c>
      <c r="O588" s="13"/>
      <c r="P588" s="15" t="s">
        <v>5287</v>
      </c>
      <c r="Q588" s="17" t="s">
        <v>5288</v>
      </c>
      <c r="R588" s="18">
        <v>955.43399999999997</v>
      </c>
      <c r="S588" s="19">
        <f t="shared" si="5"/>
        <v>154780.30799999999</v>
      </c>
      <c r="T588" s="12" t="s">
        <v>252</v>
      </c>
      <c r="U588" s="15"/>
      <c r="V588" s="19">
        <v>123900</v>
      </c>
      <c r="W588" s="15"/>
      <c r="X588" s="13"/>
      <c r="Y588" s="20"/>
      <c r="Z588" s="13"/>
      <c r="AA588" s="13"/>
      <c r="AB588" s="13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</row>
    <row r="589" spans="1:46" ht="45" customHeight="1">
      <c r="A589" s="12" t="s">
        <v>5289</v>
      </c>
      <c r="B589" s="13" t="s">
        <v>5290</v>
      </c>
      <c r="C589" s="14" t="s">
        <v>5291</v>
      </c>
      <c r="D589" s="15" t="s">
        <v>5292</v>
      </c>
      <c r="E589" s="15" t="s">
        <v>1544</v>
      </c>
      <c r="F589" s="15" t="s">
        <v>402</v>
      </c>
      <c r="G589" s="15" t="s">
        <v>5293</v>
      </c>
      <c r="H589" s="15"/>
      <c r="I589" s="15" t="s">
        <v>38</v>
      </c>
      <c r="J589" s="15" t="s">
        <v>5293</v>
      </c>
      <c r="K589" s="15"/>
      <c r="L589" s="15" t="s">
        <v>38</v>
      </c>
      <c r="M589" s="16" t="s">
        <v>5294</v>
      </c>
      <c r="N589" s="13">
        <v>2615973159</v>
      </c>
      <c r="O589" s="13"/>
      <c r="P589" s="15" t="s">
        <v>94</v>
      </c>
      <c r="Q589" s="17" t="s">
        <v>5295</v>
      </c>
      <c r="R589" s="18">
        <v>114</v>
      </c>
      <c r="S589" s="19">
        <f t="shared" si="5"/>
        <v>18468</v>
      </c>
      <c r="T589" s="12" t="s">
        <v>46</v>
      </c>
      <c r="U589" s="15"/>
      <c r="V589" s="19">
        <v>44610</v>
      </c>
      <c r="W589" s="15" t="s">
        <v>71</v>
      </c>
      <c r="X589" s="13"/>
      <c r="Y589" s="20"/>
      <c r="Z589" s="13"/>
      <c r="AA589" s="13"/>
      <c r="AB589" s="13">
        <v>4895775</v>
      </c>
      <c r="AC589" s="15">
        <v>5548694</v>
      </c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</row>
    <row r="590" spans="1:46" ht="45" customHeight="1">
      <c r="A590" s="12" t="s">
        <v>5296</v>
      </c>
      <c r="B590" s="13" t="s">
        <v>5297</v>
      </c>
      <c r="C590" s="14" t="s">
        <v>5298</v>
      </c>
      <c r="D590" s="15" t="s">
        <v>5299</v>
      </c>
      <c r="E590" s="15" t="s">
        <v>5300</v>
      </c>
      <c r="F590" s="15" t="s">
        <v>402</v>
      </c>
      <c r="G590" s="15" t="s">
        <v>5301</v>
      </c>
      <c r="H590" s="15" t="s">
        <v>125</v>
      </c>
      <c r="I590" s="15" t="s">
        <v>115</v>
      </c>
      <c r="J590" s="15" t="s">
        <v>5302</v>
      </c>
      <c r="K590" s="15" t="s">
        <v>3826</v>
      </c>
      <c r="L590" s="15" t="s">
        <v>149</v>
      </c>
      <c r="M590" s="67" t="s">
        <v>5303</v>
      </c>
      <c r="N590" s="13" t="s">
        <v>5304</v>
      </c>
      <c r="O590" s="13"/>
      <c r="P590" s="15" t="s">
        <v>94</v>
      </c>
      <c r="Q590" s="17" t="s">
        <v>5305</v>
      </c>
      <c r="R590" s="18">
        <v>96</v>
      </c>
      <c r="S590" s="19">
        <f t="shared" si="5"/>
        <v>15552</v>
      </c>
      <c r="T590" s="12" t="s">
        <v>46</v>
      </c>
      <c r="U590" s="15"/>
      <c r="V590" s="19">
        <v>44610</v>
      </c>
      <c r="W590" s="15"/>
      <c r="X590" s="13" t="s">
        <v>5306</v>
      </c>
      <c r="Y590" s="20">
        <v>3120705</v>
      </c>
      <c r="Z590" s="13">
        <v>3866531</v>
      </c>
      <c r="AA590" s="13">
        <v>4714306</v>
      </c>
      <c r="AB590" s="13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</row>
    <row r="591" spans="1:46" ht="45" customHeight="1">
      <c r="A591" s="40" t="s">
        <v>5307</v>
      </c>
      <c r="B591" s="33" t="s">
        <v>5308</v>
      </c>
      <c r="C591" s="34" t="s">
        <v>5309</v>
      </c>
      <c r="D591" s="35" t="s">
        <v>5310</v>
      </c>
      <c r="E591" s="35" t="s">
        <v>5311</v>
      </c>
      <c r="F591" s="35" t="s">
        <v>909</v>
      </c>
      <c r="G591" s="35" t="s">
        <v>5312</v>
      </c>
      <c r="H591" s="35" t="s">
        <v>5313</v>
      </c>
      <c r="I591" s="35" t="s">
        <v>115</v>
      </c>
      <c r="J591" s="35" t="s">
        <v>5314</v>
      </c>
      <c r="K591" s="35"/>
      <c r="L591" s="35" t="s">
        <v>65</v>
      </c>
      <c r="M591" s="36" t="s">
        <v>5315</v>
      </c>
      <c r="N591" s="33">
        <v>4057550</v>
      </c>
      <c r="O591" s="33"/>
      <c r="P591" s="35" t="s">
        <v>5316</v>
      </c>
      <c r="Q591" s="37" t="s">
        <v>5317</v>
      </c>
      <c r="R591" s="38">
        <v>25</v>
      </c>
      <c r="S591" s="39">
        <f t="shared" si="5"/>
        <v>4050</v>
      </c>
      <c r="T591" s="40" t="s">
        <v>46</v>
      </c>
      <c r="U591" s="35"/>
      <c r="V591" s="39">
        <v>44610</v>
      </c>
      <c r="W591" s="35"/>
      <c r="X591" s="33"/>
      <c r="Y591" s="41"/>
      <c r="Z591" s="33"/>
      <c r="AA591" s="33"/>
      <c r="AB591" s="33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</row>
    <row r="592" spans="1:46" ht="45" customHeight="1">
      <c r="A592" s="50" t="s">
        <v>5318</v>
      </c>
      <c r="B592" s="51" t="s">
        <v>5319</v>
      </c>
      <c r="C592" s="52" t="s">
        <v>5320</v>
      </c>
      <c r="D592" s="53" t="s">
        <v>5321</v>
      </c>
      <c r="E592" s="53" t="s">
        <v>5322</v>
      </c>
      <c r="F592" s="53" t="s">
        <v>181</v>
      </c>
      <c r="G592" s="53" t="s">
        <v>5323</v>
      </c>
      <c r="H592" s="53" t="s">
        <v>331</v>
      </c>
      <c r="I592" s="53" t="s">
        <v>149</v>
      </c>
      <c r="J592" s="53" t="s">
        <v>5323</v>
      </c>
      <c r="K592" s="53" t="s">
        <v>331</v>
      </c>
      <c r="L592" s="53" t="s">
        <v>149</v>
      </c>
      <c r="M592" s="54" t="s">
        <v>5324</v>
      </c>
      <c r="N592" s="51">
        <v>2613050927</v>
      </c>
      <c r="O592" s="51"/>
      <c r="P592" s="53" t="s">
        <v>1310</v>
      </c>
      <c r="Q592" s="55" t="s">
        <v>5325</v>
      </c>
      <c r="R592" s="56">
        <v>25</v>
      </c>
      <c r="S592" s="57">
        <f t="shared" si="5"/>
        <v>4050</v>
      </c>
      <c r="T592" s="50" t="s">
        <v>46</v>
      </c>
      <c r="U592" s="53"/>
      <c r="V592" s="57">
        <v>44610</v>
      </c>
      <c r="W592" s="53" t="s">
        <v>71</v>
      </c>
      <c r="X592" s="51">
        <v>1036505</v>
      </c>
      <c r="Y592" s="58">
        <v>3088187</v>
      </c>
      <c r="Z592" s="51">
        <v>3887713</v>
      </c>
      <c r="AA592" s="51">
        <v>4726537</v>
      </c>
      <c r="AB592" s="51"/>
      <c r="AC592" s="53">
        <v>5580884</v>
      </c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</row>
    <row r="593" spans="1:46" ht="45" customHeight="1">
      <c r="A593" s="40" t="s">
        <v>5326</v>
      </c>
      <c r="B593" s="33" t="s">
        <v>5327</v>
      </c>
      <c r="C593" s="34" t="s">
        <v>5328</v>
      </c>
      <c r="D593" s="35" t="s">
        <v>5329</v>
      </c>
      <c r="E593" s="35" t="s">
        <v>3583</v>
      </c>
      <c r="F593" s="35" t="s">
        <v>111</v>
      </c>
      <c r="G593" s="35" t="s">
        <v>5330</v>
      </c>
      <c r="H593" s="35"/>
      <c r="I593" s="35" t="s">
        <v>149</v>
      </c>
      <c r="J593" s="35" t="s">
        <v>5330</v>
      </c>
      <c r="K593" s="35"/>
      <c r="L593" s="35" t="s">
        <v>149</v>
      </c>
      <c r="M593" s="36" t="s">
        <v>3283</v>
      </c>
      <c r="N593" s="33" t="s">
        <v>3951</v>
      </c>
      <c r="O593" s="33"/>
      <c r="P593" s="35" t="s">
        <v>44</v>
      </c>
      <c r="Q593" s="37" t="s">
        <v>5331</v>
      </c>
      <c r="R593" s="38">
        <v>27</v>
      </c>
      <c r="S593" s="39">
        <f t="shared" si="5"/>
        <v>4374</v>
      </c>
      <c r="T593" s="40" t="s">
        <v>46</v>
      </c>
      <c r="U593" s="35"/>
      <c r="V593" s="39">
        <v>44610</v>
      </c>
      <c r="W593" s="35"/>
      <c r="X593" s="33"/>
      <c r="Y593" s="41"/>
      <c r="Z593" s="33"/>
      <c r="AA593" s="33"/>
      <c r="AB593" s="33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</row>
    <row r="594" spans="1:46" ht="45" customHeight="1">
      <c r="A594" s="12" t="s">
        <v>5332</v>
      </c>
      <c r="B594" s="13" t="s">
        <v>5333</v>
      </c>
      <c r="C594" s="14" t="s">
        <v>5334</v>
      </c>
      <c r="D594" s="15" t="s">
        <v>5335</v>
      </c>
      <c r="E594" s="15" t="s">
        <v>5336</v>
      </c>
      <c r="F594" s="15" t="s">
        <v>181</v>
      </c>
      <c r="G594" s="15" t="s">
        <v>5337</v>
      </c>
      <c r="H594" s="15" t="s">
        <v>331</v>
      </c>
      <c r="I594" s="15" t="s">
        <v>1279</v>
      </c>
      <c r="J594" s="15" t="s">
        <v>5337</v>
      </c>
      <c r="K594" s="15" t="s">
        <v>331</v>
      </c>
      <c r="L594" s="15" t="s">
        <v>1279</v>
      </c>
      <c r="M594" s="16" t="s">
        <v>5338</v>
      </c>
      <c r="N594" s="13">
        <v>2622488151</v>
      </c>
      <c r="O594" s="13"/>
      <c r="P594" s="15" t="s">
        <v>44</v>
      </c>
      <c r="Q594" s="17" t="s">
        <v>5339</v>
      </c>
      <c r="R594" s="18">
        <v>114</v>
      </c>
      <c r="S594" s="19">
        <f t="shared" si="5"/>
        <v>18468</v>
      </c>
      <c r="T594" s="12" t="s">
        <v>46</v>
      </c>
      <c r="U594" s="15"/>
      <c r="V594" s="19">
        <v>44610</v>
      </c>
      <c r="W594" s="15" t="s">
        <v>71</v>
      </c>
      <c r="X594" s="13">
        <v>1008847</v>
      </c>
      <c r="Y594" s="20">
        <v>3058587</v>
      </c>
      <c r="Z594" s="13">
        <v>3889888</v>
      </c>
      <c r="AA594" s="13">
        <v>4625115</v>
      </c>
      <c r="AB594" s="13"/>
      <c r="AC594" s="15">
        <v>5511643</v>
      </c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</row>
    <row r="595" spans="1:46" ht="45" customHeight="1">
      <c r="A595" s="12" t="s">
        <v>5340</v>
      </c>
      <c r="B595" s="13" t="s">
        <v>5341</v>
      </c>
      <c r="C595" s="14" t="s">
        <v>5342</v>
      </c>
      <c r="D595" s="15" t="s">
        <v>5343</v>
      </c>
      <c r="E595" s="15" t="s">
        <v>5344</v>
      </c>
      <c r="F595" s="15" t="s">
        <v>62</v>
      </c>
      <c r="G595" s="15" t="s">
        <v>5345</v>
      </c>
      <c r="H595" s="15" t="s">
        <v>227</v>
      </c>
      <c r="I595" s="15" t="s">
        <v>149</v>
      </c>
      <c r="J595" s="15" t="s">
        <v>5345</v>
      </c>
      <c r="K595" s="15" t="s">
        <v>227</v>
      </c>
      <c r="L595" s="15" t="s">
        <v>149</v>
      </c>
      <c r="M595" s="67" t="s">
        <v>5346</v>
      </c>
      <c r="N595" s="13" t="s">
        <v>5347</v>
      </c>
      <c r="O595" s="13"/>
      <c r="P595" s="15" t="s">
        <v>2875</v>
      </c>
      <c r="Q595" s="17" t="s">
        <v>5348</v>
      </c>
      <c r="R595" s="18">
        <v>110</v>
      </c>
      <c r="S595" s="19">
        <f t="shared" si="5"/>
        <v>17820</v>
      </c>
      <c r="T595" s="12" t="s">
        <v>46</v>
      </c>
      <c r="U595" s="15"/>
      <c r="V595" s="19">
        <v>44610</v>
      </c>
      <c r="W595" s="15" t="s">
        <v>71</v>
      </c>
      <c r="X595" s="13"/>
      <c r="Y595" s="20">
        <v>3116110</v>
      </c>
      <c r="Z595" s="13">
        <v>3873872</v>
      </c>
      <c r="AA595" s="13">
        <v>4755767</v>
      </c>
      <c r="AB595" s="13"/>
      <c r="AC595" s="15">
        <v>5481916</v>
      </c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</row>
    <row r="596" spans="1:46" ht="45" customHeight="1">
      <c r="A596" s="12" t="s">
        <v>5349</v>
      </c>
      <c r="B596" s="13" t="s">
        <v>5350</v>
      </c>
      <c r="C596" s="14" t="s">
        <v>5351</v>
      </c>
      <c r="D596" s="15" t="s">
        <v>5352</v>
      </c>
      <c r="E596" s="15" t="s">
        <v>4686</v>
      </c>
      <c r="F596" s="15" t="s">
        <v>181</v>
      </c>
      <c r="G596" s="15" t="s">
        <v>5353</v>
      </c>
      <c r="H596" s="15" t="s">
        <v>617</v>
      </c>
      <c r="I596" s="15" t="s">
        <v>38</v>
      </c>
      <c r="J596" s="15" t="s">
        <v>5354</v>
      </c>
      <c r="K596" s="15" t="s">
        <v>5355</v>
      </c>
      <c r="L596" s="15" t="s">
        <v>2691</v>
      </c>
      <c r="M596" s="46" t="s">
        <v>5356</v>
      </c>
      <c r="N596" s="13" t="s">
        <v>5357</v>
      </c>
      <c r="O596" s="13"/>
      <c r="P596" s="15" t="s">
        <v>94</v>
      </c>
      <c r="Q596" s="17" t="s">
        <v>5358</v>
      </c>
      <c r="R596" s="18">
        <v>457</v>
      </c>
      <c r="S596" s="19">
        <f t="shared" si="5"/>
        <v>74034</v>
      </c>
      <c r="T596" s="12" t="s">
        <v>46</v>
      </c>
      <c r="U596" s="15"/>
      <c r="V596" s="19">
        <v>44610</v>
      </c>
      <c r="W596" s="15" t="s">
        <v>71</v>
      </c>
      <c r="X596" s="13">
        <v>1023337</v>
      </c>
      <c r="Y596" s="20">
        <v>3096756</v>
      </c>
      <c r="Z596" s="13">
        <v>3790330</v>
      </c>
      <c r="AA596" s="13">
        <v>4627998</v>
      </c>
      <c r="AB596" s="13"/>
      <c r="AC596" s="15">
        <v>5493505</v>
      </c>
      <c r="AD596" s="49">
        <v>6480033</v>
      </c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</row>
    <row r="597" spans="1:46" ht="45" customHeight="1">
      <c r="A597" s="12" t="s">
        <v>5359</v>
      </c>
      <c r="B597" s="13" t="s">
        <v>5360</v>
      </c>
      <c r="C597" s="66" t="s">
        <v>5361</v>
      </c>
      <c r="D597" s="15" t="s">
        <v>1362</v>
      </c>
      <c r="E597" s="15" t="s">
        <v>5362</v>
      </c>
      <c r="F597" s="15" t="s">
        <v>111</v>
      </c>
      <c r="G597" s="15" t="s">
        <v>1364</v>
      </c>
      <c r="H597" s="15" t="s">
        <v>1736</v>
      </c>
      <c r="I597" s="15" t="s">
        <v>149</v>
      </c>
      <c r="J597" s="15" t="s">
        <v>5363</v>
      </c>
      <c r="K597" s="15" t="s">
        <v>1736</v>
      </c>
      <c r="L597" s="15" t="s">
        <v>149</v>
      </c>
      <c r="M597" s="46" t="s">
        <v>5364</v>
      </c>
      <c r="N597" s="13" t="s">
        <v>5365</v>
      </c>
      <c r="O597" s="13"/>
      <c r="P597" s="15" t="s">
        <v>117</v>
      </c>
      <c r="Q597" s="17" t="s">
        <v>5366</v>
      </c>
      <c r="R597" s="18">
        <v>610</v>
      </c>
      <c r="S597" s="19">
        <f t="shared" si="5"/>
        <v>98820</v>
      </c>
      <c r="T597" s="12" t="s">
        <v>252</v>
      </c>
      <c r="U597" s="15"/>
      <c r="V597" s="19">
        <v>123900</v>
      </c>
      <c r="W597" s="15"/>
      <c r="X597" s="13"/>
      <c r="Y597" s="20"/>
      <c r="Z597" s="13"/>
      <c r="AA597" s="13"/>
      <c r="AB597" s="13"/>
      <c r="AC597" s="49" t="s">
        <v>130</v>
      </c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</row>
    <row r="598" spans="1:46" ht="45" customHeight="1">
      <c r="A598" s="12" t="s">
        <v>5367</v>
      </c>
      <c r="B598" s="13" t="s">
        <v>5368</v>
      </c>
      <c r="C598" s="14" t="s">
        <v>5369</v>
      </c>
      <c r="D598" s="15" t="s">
        <v>5370</v>
      </c>
      <c r="E598" s="15" t="s">
        <v>5371</v>
      </c>
      <c r="F598" s="15" t="s">
        <v>181</v>
      </c>
      <c r="G598" s="15" t="s">
        <v>5372</v>
      </c>
      <c r="H598" s="15" t="s">
        <v>3993</v>
      </c>
      <c r="I598" s="15" t="s">
        <v>332</v>
      </c>
      <c r="J598" s="15" t="s">
        <v>5372</v>
      </c>
      <c r="K598" s="15" t="s">
        <v>3993</v>
      </c>
      <c r="L598" s="15" t="s">
        <v>332</v>
      </c>
      <c r="M598" s="46" t="s">
        <v>5373</v>
      </c>
      <c r="N598" s="13" t="s">
        <v>5374</v>
      </c>
      <c r="O598" s="13"/>
      <c r="P598" s="15" t="s">
        <v>117</v>
      </c>
      <c r="Q598" s="17" t="s">
        <v>5375</v>
      </c>
      <c r="R598" s="18">
        <v>369</v>
      </c>
      <c r="S598" s="19">
        <f t="shared" si="5"/>
        <v>59778</v>
      </c>
      <c r="T598" s="12" t="s">
        <v>46</v>
      </c>
      <c r="U598" s="15"/>
      <c r="V598" s="19">
        <v>44610</v>
      </c>
      <c r="W598" s="15" t="s">
        <v>71</v>
      </c>
      <c r="X598" s="13">
        <v>1010895</v>
      </c>
      <c r="Y598" s="20">
        <v>3088252</v>
      </c>
      <c r="Z598" s="13">
        <v>3879160</v>
      </c>
      <c r="AA598" s="13">
        <v>4744492</v>
      </c>
      <c r="AB598" s="13"/>
      <c r="AC598" s="15">
        <v>5601644</v>
      </c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</row>
    <row r="599" spans="1:46" ht="45" customHeight="1">
      <c r="A599" s="12" t="s">
        <v>5376</v>
      </c>
      <c r="B599" s="13" t="s">
        <v>5377</v>
      </c>
      <c r="C599" s="66" t="s">
        <v>5378</v>
      </c>
      <c r="D599" s="15" t="s">
        <v>5379</v>
      </c>
      <c r="E599" s="15" t="s">
        <v>5380</v>
      </c>
      <c r="F599" s="15" t="s">
        <v>909</v>
      </c>
      <c r="G599" s="15" t="s">
        <v>5381</v>
      </c>
      <c r="H599" s="15" t="s">
        <v>5382</v>
      </c>
      <c r="I599" s="15" t="s">
        <v>53</v>
      </c>
      <c r="J599" s="15" t="s">
        <v>5383</v>
      </c>
      <c r="K599" s="15" t="s">
        <v>2739</v>
      </c>
      <c r="L599" s="15" t="s">
        <v>41</v>
      </c>
      <c r="M599" s="46" t="s">
        <v>5384</v>
      </c>
      <c r="N599" s="13" t="s">
        <v>5385</v>
      </c>
      <c r="O599" s="13"/>
      <c r="P599" s="15" t="s">
        <v>44</v>
      </c>
      <c r="Q599" s="17" t="s">
        <v>5386</v>
      </c>
      <c r="R599" s="18">
        <v>111</v>
      </c>
      <c r="S599" s="19">
        <f t="shared" si="5"/>
        <v>17982</v>
      </c>
      <c r="T599" s="12" t="s">
        <v>46</v>
      </c>
      <c r="U599" s="15"/>
      <c r="V599" s="19">
        <v>44610</v>
      </c>
      <c r="W599" s="15"/>
      <c r="X599" s="13">
        <v>1107020</v>
      </c>
      <c r="Y599" s="20"/>
      <c r="Z599" s="13"/>
      <c r="AA599" s="13"/>
      <c r="AB599" s="13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</row>
    <row r="600" spans="1:46" ht="45" customHeight="1">
      <c r="A600" s="50" t="s">
        <v>5387</v>
      </c>
      <c r="B600" s="51" t="s">
        <v>5388</v>
      </c>
      <c r="C600" s="52" t="s">
        <v>5389</v>
      </c>
      <c r="D600" s="53" t="s">
        <v>5390</v>
      </c>
      <c r="E600" s="53" t="s">
        <v>5391</v>
      </c>
      <c r="F600" s="53" t="s">
        <v>181</v>
      </c>
      <c r="G600" s="53" t="s">
        <v>5392</v>
      </c>
      <c r="H600" s="53"/>
      <c r="I600" s="53" t="s">
        <v>38</v>
      </c>
      <c r="J600" s="53" t="s">
        <v>5392</v>
      </c>
      <c r="K600" s="53"/>
      <c r="L600" s="53" t="s">
        <v>38</v>
      </c>
      <c r="M600" s="54" t="s">
        <v>5393</v>
      </c>
      <c r="N600" s="51" t="s">
        <v>5394</v>
      </c>
      <c r="O600" s="51"/>
      <c r="P600" s="53" t="s">
        <v>94</v>
      </c>
      <c r="Q600" s="55" t="s">
        <v>5395</v>
      </c>
      <c r="R600" s="56">
        <v>39</v>
      </c>
      <c r="S600" s="57">
        <f t="shared" si="5"/>
        <v>6318</v>
      </c>
      <c r="T600" s="50" t="s">
        <v>46</v>
      </c>
      <c r="U600" s="53"/>
      <c r="V600" s="57">
        <v>44610</v>
      </c>
      <c r="W600" s="53"/>
      <c r="X600" s="51"/>
      <c r="Y600" s="58"/>
      <c r="Z600" s="51"/>
      <c r="AA600" s="51"/>
      <c r="AB600" s="51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</row>
    <row r="601" spans="1:46" ht="45" customHeight="1">
      <c r="A601" s="12" t="s">
        <v>5396</v>
      </c>
      <c r="B601" s="13" t="s">
        <v>5397</v>
      </c>
      <c r="C601" s="14" t="s">
        <v>5398</v>
      </c>
      <c r="D601" s="15" t="s">
        <v>5399</v>
      </c>
      <c r="E601" s="15" t="s">
        <v>5400</v>
      </c>
      <c r="F601" s="15" t="s">
        <v>181</v>
      </c>
      <c r="G601" s="15" t="s">
        <v>5401</v>
      </c>
      <c r="H601" s="15" t="s">
        <v>5402</v>
      </c>
      <c r="I601" s="15" t="s">
        <v>38</v>
      </c>
      <c r="J601" s="15" t="s">
        <v>5401</v>
      </c>
      <c r="K601" s="15" t="s">
        <v>5402</v>
      </c>
      <c r="L601" s="15" t="s">
        <v>38</v>
      </c>
      <c r="M601" s="46" t="s">
        <v>5403</v>
      </c>
      <c r="N601" s="13">
        <v>2613005257</v>
      </c>
      <c r="O601" s="13"/>
      <c r="P601" s="15" t="s">
        <v>44</v>
      </c>
      <c r="Q601" s="17" t="s">
        <v>5404</v>
      </c>
      <c r="R601" s="18">
        <v>36</v>
      </c>
      <c r="S601" s="19">
        <f t="shared" si="5"/>
        <v>5832</v>
      </c>
      <c r="T601" s="12" t="s">
        <v>46</v>
      </c>
      <c r="U601" s="15"/>
      <c r="V601" s="19">
        <v>44610</v>
      </c>
      <c r="W601" s="15" t="s">
        <v>71</v>
      </c>
      <c r="X601" s="13">
        <v>1042692</v>
      </c>
      <c r="Y601" s="20">
        <v>3118645</v>
      </c>
      <c r="Z601" s="13">
        <v>3879538</v>
      </c>
      <c r="AA601" s="13">
        <v>4724971</v>
      </c>
      <c r="AB601" s="13"/>
      <c r="AC601" s="15">
        <v>5578679</v>
      </c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</row>
    <row r="602" spans="1:46" ht="45" customHeight="1">
      <c r="A602" s="12" t="s">
        <v>5405</v>
      </c>
      <c r="B602" s="13" t="s">
        <v>5406</v>
      </c>
      <c r="C602" s="66" t="s">
        <v>5407</v>
      </c>
      <c r="D602" s="15" t="s">
        <v>5408</v>
      </c>
      <c r="E602" s="15" t="s">
        <v>1154</v>
      </c>
      <c r="F602" s="15" t="s">
        <v>181</v>
      </c>
      <c r="G602" s="15" t="s">
        <v>5409</v>
      </c>
      <c r="H602" s="15" t="s">
        <v>52</v>
      </c>
      <c r="I602" s="15" t="s">
        <v>53</v>
      </c>
      <c r="J602" s="15" t="s">
        <v>5410</v>
      </c>
      <c r="K602" s="15"/>
      <c r="L602" s="15" t="s">
        <v>41</v>
      </c>
      <c r="M602" s="16" t="s">
        <v>5411</v>
      </c>
      <c r="N602" s="13">
        <v>2604425099</v>
      </c>
      <c r="O602" s="13"/>
      <c r="P602" s="15" t="s">
        <v>94</v>
      </c>
      <c r="Q602" s="17" t="s">
        <v>5412</v>
      </c>
      <c r="R602" s="18">
        <v>723</v>
      </c>
      <c r="S602" s="19">
        <f t="shared" si="5"/>
        <v>117126</v>
      </c>
      <c r="T602" s="12" t="s">
        <v>252</v>
      </c>
      <c r="U602" s="15"/>
      <c r="V602" s="19">
        <v>123900</v>
      </c>
      <c r="W602" s="15" t="s">
        <v>71</v>
      </c>
      <c r="X602" s="13"/>
      <c r="Y602" s="20"/>
      <c r="Z602" s="13"/>
      <c r="AA602" s="13"/>
      <c r="AB602" s="13"/>
      <c r="AC602" s="15">
        <v>5580905</v>
      </c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</row>
    <row r="603" spans="1:46" ht="45" customHeight="1">
      <c r="A603" s="12" t="s">
        <v>5413</v>
      </c>
      <c r="B603" s="13" t="s">
        <v>5414</v>
      </c>
      <c r="C603" s="14" t="s">
        <v>5415</v>
      </c>
      <c r="D603" s="15" t="s">
        <v>5416</v>
      </c>
      <c r="E603" s="15" t="s">
        <v>5417</v>
      </c>
      <c r="F603" s="15" t="s">
        <v>909</v>
      </c>
      <c r="G603" s="15" t="s">
        <v>5418</v>
      </c>
      <c r="H603" s="15" t="s">
        <v>2424</v>
      </c>
      <c r="I603" s="15" t="s">
        <v>38</v>
      </c>
      <c r="J603" s="15" t="s">
        <v>5419</v>
      </c>
      <c r="K603" s="15" t="s">
        <v>544</v>
      </c>
      <c r="L603" s="15" t="s">
        <v>38</v>
      </c>
      <c r="M603" s="74" t="s">
        <v>5420</v>
      </c>
      <c r="N603" s="13">
        <v>2616406986</v>
      </c>
      <c r="O603" s="13"/>
      <c r="P603" s="15" t="s">
        <v>717</v>
      </c>
      <c r="Q603" s="17" t="s">
        <v>5421</v>
      </c>
      <c r="R603" s="18">
        <v>276</v>
      </c>
      <c r="S603" s="19">
        <f t="shared" si="5"/>
        <v>44712</v>
      </c>
      <c r="T603" s="12" t="s">
        <v>46</v>
      </c>
      <c r="U603" s="15"/>
      <c r="V603" s="19">
        <v>44610</v>
      </c>
      <c r="W603" s="15"/>
      <c r="X603" s="13"/>
      <c r="Y603" s="20"/>
      <c r="Z603" s="13"/>
      <c r="AA603" s="13">
        <v>4644524</v>
      </c>
      <c r="AB603" s="13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</row>
    <row r="604" spans="1:46" ht="45" customHeight="1">
      <c r="A604" s="12" t="s">
        <v>5422</v>
      </c>
      <c r="B604" s="13" t="s">
        <v>5423</v>
      </c>
      <c r="C604" s="66" t="s">
        <v>5424</v>
      </c>
      <c r="D604" s="15" t="s">
        <v>5425</v>
      </c>
      <c r="E604" s="15" t="s">
        <v>5426</v>
      </c>
      <c r="F604" s="15" t="s">
        <v>593</v>
      </c>
      <c r="G604" s="15" t="s">
        <v>5427</v>
      </c>
      <c r="H604" s="15"/>
      <c r="I604" s="15" t="s">
        <v>38</v>
      </c>
      <c r="J604" s="15" t="s">
        <v>5428</v>
      </c>
      <c r="K604" s="15" t="s">
        <v>544</v>
      </c>
      <c r="L604" s="15" t="s">
        <v>38</v>
      </c>
      <c r="M604" s="16" t="s">
        <v>5429</v>
      </c>
      <c r="N604" s="47">
        <v>2616180358</v>
      </c>
      <c r="O604" s="13"/>
      <c r="P604" s="15" t="s">
        <v>5430</v>
      </c>
      <c r="Q604" s="17" t="s">
        <v>5431</v>
      </c>
      <c r="R604" s="18">
        <v>2043</v>
      </c>
      <c r="S604" s="19">
        <f t="shared" si="5"/>
        <v>330966</v>
      </c>
      <c r="T604" s="12" t="s">
        <v>96</v>
      </c>
      <c r="U604" s="15"/>
      <c r="V604" s="19">
        <v>368160</v>
      </c>
      <c r="W604" s="15"/>
      <c r="X604" s="13"/>
      <c r="Y604" s="20"/>
      <c r="Z604" s="13"/>
      <c r="AA604" s="13"/>
      <c r="AB604" s="13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</row>
    <row r="605" spans="1:46" ht="45" customHeight="1">
      <c r="A605" s="12" t="s">
        <v>5432</v>
      </c>
      <c r="B605" s="13" t="s">
        <v>5433</v>
      </c>
      <c r="C605" s="14" t="s">
        <v>5434</v>
      </c>
      <c r="D605" s="15" t="s">
        <v>5435</v>
      </c>
      <c r="E605" s="15" t="s">
        <v>5436</v>
      </c>
      <c r="F605" s="15" t="s">
        <v>402</v>
      </c>
      <c r="G605" s="15" t="s">
        <v>5437</v>
      </c>
      <c r="H605" s="15"/>
      <c r="I605" s="15" t="s">
        <v>149</v>
      </c>
      <c r="J605" s="15" t="s">
        <v>5438</v>
      </c>
      <c r="K605" s="15"/>
      <c r="L605" s="15" t="s">
        <v>1022</v>
      </c>
      <c r="M605" s="46" t="s">
        <v>5439</v>
      </c>
      <c r="N605" s="13" t="s">
        <v>5440</v>
      </c>
      <c r="O605" s="13"/>
      <c r="P605" s="15" t="s">
        <v>94</v>
      </c>
      <c r="Q605" s="17" t="s">
        <v>5441</v>
      </c>
      <c r="R605" s="18">
        <v>315</v>
      </c>
      <c r="S605" s="19">
        <f t="shared" si="5"/>
        <v>51030</v>
      </c>
      <c r="T605" s="12" t="s">
        <v>46</v>
      </c>
      <c r="U605" s="15"/>
      <c r="V605" s="19">
        <v>44610</v>
      </c>
      <c r="W605" s="49" t="s">
        <v>71</v>
      </c>
      <c r="X605" s="13">
        <v>1112866</v>
      </c>
      <c r="Y605" s="20">
        <v>3111080</v>
      </c>
      <c r="Z605" s="13"/>
      <c r="AA605" s="13">
        <v>4663008</v>
      </c>
      <c r="AB605" s="13"/>
      <c r="AC605" s="49">
        <v>5628253</v>
      </c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</row>
    <row r="606" spans="1:46" ht="45" customHeight="1">
      <c r="A606" s="12" t="s">
        <v>5442</v>
      </c>
      <c r="B606" s="13" t="s">
        <v>5443</v>
      </c>
      <c r="C606" s="14" t="s">
        <v>5444</v>
      </c>
      <c r="D606" s="15" t="s">
        <v>4685</v>
      </c>
      <c r="E606" s="15" t="s">
        <v>4686</v>
      </c>
      <c r="F606" s="15" t="s">
        <v>181</v>
      </c>
      <c r="G606" s="15" t="s">
        <v>5445</v>
      </c>
      <c r="H606" s="15"/>
      <c r="I606" s="15" t="s">
        <v>149</v>
      </c>
      <c r="J606" s="15" t="s">
        <v>5445</v>
      </c>
      <c r="K606" s="15"/>
      <c r="L606" s="15" t="s">
        <v>149</v>
      </c>
      <c r="M606" s="16" t="s">
        <v>5446</v>
      </c>
      <c r="N606" s="13">
        <v>2615652920</v>
      </c>
      <c r="O606" s="13"/>
      <c r="P606" s="15" t="s">
        <v>94</v>
      </c>
      <c r="Q606" s="17" t="s">
        <v>5447</v>
      </c>
      <c r="R606" s="18">
        <v>586</v>
      </c>
      <c r="S606" s="19">
        <f t="shared" si="5"/>
        <v>94932</v>
      </c>
      <c r="T606" s="12" t="s">
        <v>46</v>
      </c>
      <c r="U606" s="15"/>
      <c r="V606" s="19">
        <v>44610</v>
      </c>
      <c r="W606" s="15" t="s">
        <v>71</v>
      </c>
      <c r="X606" s="13">
        <v>1023490</v>
      </c>
      <c r="Y606" s="20">
        <v>3115681</v>
      </c>
      <c r="Z606" s="13">
        <v>3801446</v>
      </c>
      <c r="AA606" s="13">
        <v>4629754</v>
      </c>
      <c r="AB606" s="13"/>
      <c r="AC606" s="15">
        <v>5532896</v>
      </c>
      <c r="AD606" s="49">
        <v>6477146</v>
      </c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</row>
    <row r="607" spans="1:46" ht="45" customHeight="1">
      <c r="A607" s="40" t="s">
        <v>5448</v>
      </c>
      <c r="B607" s="33" t="s">
        <v>5449</v>
      </c>
      <c r="C607" s="34" t="s">
        <v>5450</v>
      </c>
      <c r="D607" s="35" t="s">
        <v>5451</v>
      </c>
      <c r="E607" s="35" t="s">
        <v>5452</v>
      </c>
      <c r="F607" s="35" t="s">
        <v>909</v>
      </c>
      <c r="G607" s="35" t="s">
        <v>5453</v>
      </c>
      <c r="H607" s="35"/>
      <c r="I607" s="35" t="s">
        <v>53</v>
      </c>
      <c r="J607" s="35" t="s">
        <v>5454</v>
      </c>
      <c r="K607" s="35"/>
      <c r="L607" s="35" t="s">
        <v>65</v>
      </c>
      <c r="M607" s="36" t="s">
        <v>5455</v>
      </c>
      <c r="N607" s="33">
        <v>155504550</v>
      </c>
      <c r="O607" s="33"/>
      <c r="P607" s="35" t="s">
        <v>1381</v>
      </c>
      <c r="Q607" s="37" t="s">
        <v>5456</v>
      </c>
      <c r="R607" s="38">
        <v>49</v>
      </c>
      <c r="S607" s="39">
        <f t="shared" si="5"/>
        <v>7938</v>
      </c>
      <c r="T607" s="40" t="s">
        <v>46</v>
      </c>
      <c r="U607" s="35"/>
      <c r="V607" s="39">
        <v>44610</v>
      </c>
      <c r="W607" s="35"/>
      <c r="X607" s="33"/>
      <c r="Y607" s="41"/>
      <c r="Z607" s="33"/>
      <c r="AA607" s="33"/>
      <c r="AB607" s="33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</row>
    <row r="608" spans="1:46" ht="45" customHeight="1">
      <c r="A608" s="12" t="s">
        <v>5457</v>
      </c>
      <c r="B608" s="13" t="s">
        <v>5458</v>
      </c>
      <c r="C608" s="14" t="s">
        <v>5459</v>
      </c>
      <c r="D608" s="15" t="s">
        <v>5460</v>
      </c>
      <c r="E608" s="15" t="s">
        <v>5461</v>
      </c>
      <c r="F608" s="15" t="s">
        <v>204</v>
      </c>
      <c r="G608" s="15" t="s">
        <v>5462</v>
      </c>
      <c r="H608" s="15" t="s">
        <v>52</v>
      </c>
      <c r="I608" s="15" t="s">
        <v>53</v>
      </c>
      <c r="J608" s="15" t="s">
        <v>5463</v>
      </c>
      <c r="K608" s="15" t="s">
        <v>3226</v>
      </c>
      <c r="L608" s="15" t="s">
        <v>38</v>
      </c>
      <c r="M608" s="46" t="s">
        <v>5464</v>
      </c>
      <c r="N608" s="13">
        <v>2616570348</v>
      </c>
      <c r="O608" s="13"/>
      <c r="P608" s="15" t="s">
        <v>4479</v>
      </c>
      <c r="Q608" s="17" t="s">
        <v>5447</v>
      </c>
      <c r="R608" s="18">
        <v>74</v>
      </c>
      <c r="S608" s="19">
        <f t="shared" si="5"/>
        <v>11988</v>
      </c>
      <c r="T608" s="12" t="s">
        <v>46</v>
      </c>
      <c r="U608" s="15"/>
      <c r="V608" s="19">
        <v>44610</v>
      </c>
      <c r="W608" s="49" t="s">
        <v>71</v>
      </c>
      <c r="X608" s="13"/>
      <c r="Y608" s="20"/>
      <c r="Z608" s="13"/>
      <c r="AA608" s="13"/>
      <c r="AB608" s="13">
        <v>4835998</v>
      </c>
      <c r="AC608" s="15"/>
      <c r="AD608" s="49">
        <v>6458325</v>
      </c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</row>
    <row r="609" spans="1:46" ht="38.25" customHeight="1">
      <c r="A609" s="50" t="s">
        <v>5465</v>
      </c>
      <c r="B609" s="51" t="s">
        <v>5466</v>
      </c>
      <c r="C609" s="52" t="s">
        <v>5467</v>
      </c>
      <c r="D609" s="53" t="s">
        <v>5468</v>
      </c>
      <c r="E609" s="53" t="s">
        <v>5469</v>
      </c>
      <c r="F609" s="53" t="s">
        <v>181</v>
      </c>
      <c r="G609" s="53" t="s">
        <v>5470</v>
      </c>
      <c r="H609" s="53" t="s">
        <v>125</v>
      </c>
      <c r="I609" s="53" t="s">
        <v>115</v>
      </c>
      <c r="J609" s="53" t="s">
        <v>5470</v>
      </c>
      <c r="K609" s="53" t="s">
        <v>125</v>
      </c>
      <c r="L609" s="53" t="s">
        <v>115</v>
      </c>
      <c r="M609" s="54" t="s">
        <v>5471</v>
      </c>
      <c r="N609" s="51">
        <v>2615698482</v>
      </c>
      <c r="O609" s="51"/>
      <c r="P609" s="53" t="s">
        <v>44</v>
      </c>
      <c r="Q609" s="55" t="s">
        <v>5472</v>
      </c>
      <c r="R609" s="56">
        <v>52</v>
      </c>
      <c r="S609" s="57">
        <f t="shared" si="5"/>
        <v>8424</v>
      </c>
      <c r="T609" s="50" t="s">
        <v>46</v>
      </c>
      <c r="U609" s="53"/>
      <c r="V609" s="57">
        <v>44610</v>
      </c>
      <c r="W609" s="53"/>
      <c r="X609" s="51"/>
      <c r="Y609" s="58"/>
      <c r="Z609" s="51"/>
      <c r="AA609" s="51"/>
      <c r="AB609" s="51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</row>
    <row r="610" spans="1:46" ht="45" customHeight="1">
      <c r="A610" s="12" t="s">
        <v>5473</v>
      </c>
      <c r="B610" s="13" t="s">
        <v>5474</v>
      </c>
      <c r="C610" s="14" t="s">
        <v>5475</v>
      </c>
      <c r="D610" s="15" t="s">
        <v>5476</v>
      </c>
      <c r="E610" s="15" t="s">
        <v>5477</v>
      </c>
      <c r="F610" s="15" t="s">
        <v>181</v>
      </c>
      <c r="G610" s="15" t="s">
        <v>5478</v>
      </c>
      <c r="H610" s="15"/>
      <c r="I610" s="15" t="s">
        <v>38</v>
      </c>
      <c r="J610" s="15" t="s">
        <v>5478</v>
      </c>
      <c r="K610" s="15"/>
      <c r="L610" s="15" t="s">
        <v>38</v>
      </c>
      <c r="M610" s="16" t="s">
        <v>5479</v>
      </c>
      <c r="N610" s="13" t="s">
        <v>5480</v>
      </c>
      <c r="O610" s="13"/>
      <c r="P610" s="15" t="s">
        <v>44</v>
      </c>
      <c r="Q610" s="17" t="s">
        <v>5481</v>
      </c>
      <c r="R610" s="18">
        <v>244</v>
      </c>
      <c r="S610" s="19">
        <f t="shared" si="5"/>
        <v>39528</v>
      </c>
      <c r="T610" s="12" t="s">
        <v>46</v>
      </c>
      <c r="U610" s="15"/>
      <c r="V610" s="19">
        <v>44610</v>
      </c>
      <c r="W610" s="15"/>
      <c r="X610" s="13"/>
      <c r="Y610" s="20"/>
      <c r="Z610" s="13"/>
      <c r="AA610" s="13"/>
      <c r="AB610" s="13">
        <v>4906367</v>
      </c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</row>
    <row r="611" spans="1:46" ht="45" customHeight="1">
      <c r="A611" s="12" t="s">
        <v>5482</v>
      </c>
      <c r="B611" s="13" t="s">
        <v>5483</v>
      </c>
      <c r="C611" s="14" t="s">
        <v>5484</v>
      </c>
      <c r="D611" s="15" t="s">
        <v>5485</v>
      </c>
      <c r="E611" s="15" t="s">
        <v>5486</v>
      </c>
      <c r="F611" s="15" t="s">
        <v>181</v>
      </c>
      <c r="G611" s="15" t="s">
        <v>5487</v>
      </c>
      <c r="H611" s="15"/>
      <c r="I611" s="15" t="s">
        <v>80</v>
      </c>
      <c r="J611" s="15" t="s">
        <v>5487</v>
      </c>
      <c r="K611" s="15"/>
      <c r="L611" s="15" t="s">
        <v>80</v>
      </c>
      <c r="M611" s="46" t="s">
        <v>5488</v>
      </c>
      <c r="N611" s="13" t="s">
        <v>5489</v>
      </c>
      <c r="O611" s="13"/>
      <c r="P611" s="15" t="s">
        <v>94</v>
      </c>
      <c r="Q611" s="17" t="s">
        <v>5490</v>
      </c>
      <c r="R611" s="18">
        <v>246</v>
      </c>
      <c r="S611" s="19">
        <f t="shared" si="5"/>
        <v>39852</v>
      </c>
      <c r="T611" s="12" t="s">
        <v>46</v>
      </c>
      <c r="U611" s="15"/>
      <c r="V611" s="19">
        <v>44610</v>
      </c>
      <c r="W611" s="15" t="s">
        <v>71</v>
      </c>
      <c r="X611" s="13">
        <v>1010372</v>
      </c>
      <c r="Y611" s="20">
        <v>3088222</v>
      </c>
      <c r="Z611" s="13">
        <v>3878609</v>
      </c>
      <c r="AA611" s="13">
        <v>4744256</v>
      </c>
      <c r="AB611" s="13"/>
      <c r="AC611" s="15">
        <v>5601624</v>
      </c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</row>
    <row r="612" spans="1:46" ht="45" customHeight="1">
      <c r="A612" s="12" t="s">
        <v>5491</v>
      </c>
      <c r="B612" s="13" t="s">
        <v>5492</v>
      </c>
      <c r="C612" s="14" t="s">
        <v>5493</v>
      </c>
      <c r="D612" s="15" t="s">
        <v>5494</v>
      </c>
      <c r="E612" s="15" t="s">
        <v>1849</v>
      </c>
      <c r="F612" s="15" t="s">
        <v>181</v>
      </c>
      <c r="G612" s="15" t="s">
        <v>5495</v>
      </c>
      <c r="H612" s="15" t="s">
        <v>671</v>
      </c>
      <c r="I612" s="15" t="s">
        <v>149</v>
      </c>
      <c r="J612" s="15" t="s">
        <v>5495</v>
      </c>
      <c r="K612" s="15" t="s">
        <v>671</v>
      </c>
      <c r="L612" s="15" t="s">
        <v>149</v>
      </c>
      <c r="M612" s="67" t="s">
        <v>5496</v>
      </c>
      <c r="N612" s="13">
        <v>2616394081</v>
      </c>
      <c r="O612" s="13"/>
      <c r="P612" s="15" t="s">
        <v>44</v>
      </c>
      <c r="Q612" s="17" t="s">
        <v>5497</v>
      </c>
      <c r="R612" s="18">
        <v>24</v>
      </c>
      <c r="S612" s="19">
        <f t="shared" si="5"/>
        <v>3888</v>
      </c>
      <c r="T612" s="12" t="s">
        <v>46</v>
      </c>
      <c r="U612" s="15"/>
      <c r="V612" s="19">
        <v>44610</v>
      </c>
      <c r="W612" s="15" t="s">
        <v>71</v>
      </c>
      <c r="X612" s="13"/>
      <c r="Y612" s="20"/>
      <c r="Z612" s="13">
        <v>3908333</v>
      </c>
      <c r="AA612" s="13">
        <v>4753672</v>
      </c>
      <c r="AB612" s="13"/>
      <c r="AC612" s="15">
        <v>5632412</v>
      </c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</row>
    <row r="613" spans="1:46" ht="45" customHeight="1">
      <c r="A613" s="12" t="s">
        <v>5498</v>
      </c>
      <c r="B613" s="13" t="s">
        <v>5499</v>
      </c>
      <c r="C613" s="14" t="s">
        <v>5500</v>
      </c>
      <c r="D613" s="15" t="s">
        <v>5501</v>
      </c>
      <c r="E613" s="15" t="s">
        <v>2573</v>
      </c>
      <c r="F613" s="15" t="s">
        <v>181</v>
      </c>
      <c r="G613" s="15" t="s">
        <v>5502</v>
      </c>
      <c r="H613" s="15" t="s">
        <v>4034</v>
      </c>
      <c r="I613" s="15" t="s">
        <v>149</v>
      </c>
      <c r="J613" s="15" t="s">
        <v>5502</v>
      </c>
      <c r="K613" s="15" t="s">
        <v>4034</v>
      </c>
      <c r="L613" s="15" t="s">
        <v>149</v>
      </c>
      <c r="M613" s="46" t="s">
        <v>5503</v>
      </c>
      <c r="N613" s="13" t="s">
        <v>5504</v>
      </c>
      <c r="O613" s="13"/>
      <c r="P613" s="15" t="s">
        <v>94</v>
      </c>
      <c r="Q613" s="17" t="s">
        <v>5505</v>
      </c>
      <c r="R613" s="18">
        <v>593</v>
      </c>
      <c r="S613" s="19">
        <f t="shared" si="5"/>
        <v>96066</v>
      </c>
      <c r="T613" s="12" t="s">
        <v>46</v>
      </c>
      <c r="U613" s="15"/>
      <c r="V613" s="19">
        <v>44610</v>
      </c>
      <c r="W613" s="49" t="s">
        <v>71</v>
      </c>
      <c r="X613" s="13">
        <v>1044829</v>
      </c>
      <c r="Y613" s="20">
        <v>3072065</v>
      </c>
      <c r="Z613" s="13">
        <v>3790306</v>
      </c>
      <c r="AA613" s="13">
        <v>4740915</v>
      </c>
      <c r="AB613" s="13"/>
      <c r="AC613" s="49">
        <v>5633508</v>
      </c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</row>
    <row r="614" spans="1:46" ht="45" customHeight="1">
      <c r="A614" s="12" t="s">
        <v>5506</v>
      </c>
      <c r="B614" s="13" t="s">
        <v>5507</v>
      </c>
      <c r="C614" s="14" t="s">
        <v>5508</v>
      </c>
      <c r="D614" s="15" t="s">
        <v>5509</v>
      </c>
      <c r="E614" s="15" t="s">
        <v>5170</v>
      </c>
      <c r="F614" s="15" t="s">
        <v>111</v>
      </c>
      <c r="G614" s="15" t="s">
        <v>5510</v>
      </c>
      <c r="H614" s="15" t="s">
        <v>2043</v>
      </c>
      <c r="I614" s="15" t="s">
        <v>149</v>
      </c>
      <c r="J614" s="15" t="s">
        <v>5510</v>
      </c>
      <c r="K614" s="15" t="s">
        <v>2043</v>
      </c>
      <c r="L614" s="15" t="s">
        <v>149</v>
      </c>
      <c r="M614" s="46" t="s">
        <v>5511</v>
      </c>
      <c r="N614" s="13">
        <v>2614859185</v>
      </c>
      <c r="O614" s="13"/>
      <c r="P614" s="15" t="s">
        <v>4479</v>
      </c>
      <c r="Q614" s="17" t="s">
        <v>5512</v>
      </c>
      <c r="R614" s="18">
        <v>33</v>
      </c>
      <c r="S614" s="19">
        <f t="shared" si="5"/>
        <v>5346</v>
      </c>
      <c r="T614" s="12" t="s">
        <v>46</v>
      </c>
      <c r="U614" s="15"/>
      <c r="V614" s="19">
        <v>44610</v>
      </c>
      <c r="W614" s="15"/>
      <c r="X614" s="13">
        <v>1044086</v>
      </c>
      <c r="Y614" s="20"/>
      <c r="Z614" s="13">
        <v>3898355</v>
      </c>
      <c r="AA614" s="13"/>
      <c r="AB614" s="13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</row>
    <row r="615" spans="1:46" ht="45" customHeight="1">
      <c r="A615" s="12" t="s">
        <v>5513</v>
      </c>
      <c r="B615" s="13" t="s">
        <v>3690</v>
      </c>
      <c r="C615" s="14" t="s">
        <v>5514</v>
      </c>
      <c r="D615" s="15" t="s">
        <v>5515</v>
      </c>
      <c r="E615" s="15" t="s">
        <v>2573</v>
      </c>
      <c r="F615" s="15" t="s">
        <v>181</v>
      </c>
      <c r="G615" s="15" t="s">
        <v>5516</v>
      </c>
      <c r="H615" s="15" t="s">
        <v>2470</v>
      </c>
      <c r="I615" s="15" t="s">
        <v>115</v>
      </c>
      <c r="J615" s="15" t="s">
        <v>5517</v>
      </c>
      <c r="K615" s="15"/>
      <c r="L615" s="15" t="s">
        <v>41</v>
      </c>
      <c r="M615" s="46" t="s">
        <v>5518</v>
      </c>
      <c r="N615" s="13" t="s">
        <v>5519</v>
      </c>
      <c r="O615" s="13"/>
      <c r="P615" s="15" t="s">
        <v>94</v>
      </c>
      <c r="Q615" s="17" t="s">
        <v>5520</v>
      </c>
      <c r="R615" s="18">
        <v>365</v>
      </c>
      <c r="S615" s="19">
        <f t="shared" si="5"/>
        <v>59130</v>
      </c>
      <c r="T615" s="12" t="s">
        <v>46</v>
      </c>
      <c r="U615" s="15"/>
      <c r="V615" s="19">
        <v>44610</v>
      </c>
      <c r="W615" s="15"/>
      <c r="X615" s="13"/>
      <c r="Y615" s="20">
        <v>3118918</v>
      </c>
      <c r="Z615" s="13">
        <v>3892792</v>
      </c>
      <c r="AA615" s="13">
        <v>4716255</v>
      </c>
      <c r="AB615" s="13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</row>
    <row r="616" spans="1:46" ht="45" customHeight="1">
      <c r="A616" s="12" t="s">
        <v>5521</v>
      </c>
      <c r="B616" s="13" t="s">
        <v>5522</v>
      </c>
      <c r="C616" s="66" t="s">
        <v>5523</v>
      </c>
      <c r="D616" s="15" t="s">
        <v>5524</v>
      </c>
      <c r="E616" s="15" t="s">
        <v>2622</v>
      </c>
      <c r="F616" s="15" t="s">
        <v>181</v>
      </c>
      <c r="G616" s="15" t="s">
        <v>5525</v>
      </c>
      <c r="H616" s="15" t="s">
        <v>5526</v>
      </c>
      <c r="I616" s="15" t="s">
        <v>80</v>
      </c>
      <c r="J616" s="15" t="s">
        <v>5525</v>
      </c>
      <c r="K616" s="15" t="s">
        <v>5526</v>
      </c>
      <c r="L616" s="15" t="s">
        <v>80</v>
      </c>
      <c r="M616" s="16" t="s">
        <v>5527</v>
      </c>
      <c r="N616" s="13" t="s">
        <v>5528</v>
      </c>
      <c r="O616" s="13"/>
      <c r="P616" s="15" t="s">
        <v>94</v>
      </c>
      <c r="Q616" s="17" t="s">
        <v>5529</v>
      </c>
      <c r="R616" s="18">
        <v>67</v>
      </c>
      <c r="S616" s="19">
        <f t="shared" si="5"/>
        <v>10854</v>
      </c>
      <c r="T616" s="12" t="s">
        <v>46</v>
      </c>
      <c r="U616" s="15"/>
      <c r="V616" s="19">
        <v>44610</v>
      </c>
      <c r="W616" s="15" t="s">
        <v>71</v>
      </c>
      <c r="X616" s="13"/>
      <c r="Y616" s="20"/>
      <c r="Z616" s="13"/>
      <c r="AA616" s="13"/>
      <c r="AB616" s="13"/>
      <c r="AC616" s="15">
        <v>5531903</v>
      </c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</row>
    <row r="617" spans="1:46" ht="45" customHeight="1">
      <c r="A617" s="12" t="s">
        <v>5530</v>
      </c>
      <c r="B617" s="13" t="s">
        <v>5531</v>
      </c>
      <c r="C617" s="14" t="s">
        <v>5532</v>
      </c>
      <c r="D617" s="15" t="s">
        <v>5533</v>
      </c>
      <c r="E617" s="15" t="s">
        <v>2573</v>
      </c>
      <c r="F617" s="15" t="s">
        <v>181</v>
      </c>
      <c r="G617" s="15" t="s">
        <v>5534</v>
      </c>
      <c r="H617" s="15"/>
      <c r="I617" s="15" t="s">
        <v>41</v>
      </c>
      <c r="J617" s="15" t="s">
        <v>5535</v>
      </c>
      <c r="K617" s="15"/>
      <c r="L617" s="15" t="s">
        <v>41</v>
      </c>
      <c r="M617" s="46" t="s">
        <v>5536</v>
      </c>
      <c r="N617" s="13" t="s">
        <v>5519</v>
      </c>
      <c r="O617" s="13"/>
      <c r="P617" s="15" t="s">
        <v>94</v>
      </c>
      <c r="Q617" s="17" t="s">
        <v>5537</v>
      </c>
      <c r="R617" s="18">
        <v>437</v>
      </c>
      <c r="S617" s="19">
        <f t="shared" si="5"/>
        <v>70794</v>
      </c>
      <c r="T617" s="12" t="s">
        <v>46</v>
      </c>
      <c r="U617" s="15"/>
      <c r="V617" s="19">
        <v>44610</v>
      </c>
      <c r="W617" s="15"/>
      <c r="X617" s="13">
        <v>1064668</v>
      </c>
      <c r="Y617" s="20">
        <v>3118844</v>
      </c>
      <c r="Z617" s="13">
        <v>3892864</v>
      </c>
      <c r="AA617" s="13">
        <v>4716816</v>
      </c>
      <c r="AB617" s="13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</row>
    <row r="618" spans="1:46" ht="45" customHeight="1">
      <c r="A618" s="12" t="s">
        <v>5538</v>
      </c>
      <c r="B618" s="13" t="s">
        <v>5539</v>
      </c>
      <c r="C618" s="14" t="s">
        <v>5540</v>
      </c>
      <c r="D618" s="15" t="s">
        <v>5541</v>
      </c>
      <c r="E618" s="15" t="s">
        <v>5542</v>
      </c>
      <c r="F618" s="15" t="s">
        <v>181</v>
      </c>
      <c r="G618" s="15" t="s">
        <v>5543</v>
      </c>
      <c r="H618" s="15" t="s">
        <v>405</v>
      </c>
      <c r="I618" s="15" t="s">
        <v>115</v>
      </c>
      <c r="J618" s="15" t="s">
        <v>5543</v>
      </c>
      <c r="K618" s="15" t="s">
        <v>405</v>
      </c>
      <c r="L618" s="15" t="s">
        <v>115</v>
      </c>
      <c r="M618" s="46" t="s">
        <v>3283</v>
      </c>
      <c r="N618" s="13" t="s">
        <v>5544</v>
      </c>
      <c r="O618" s="13"/>
      <c r="P618" s="15" t="s">
        <v>94</v>
      </c>
      <c r="Q618" s="17" t="s">
        <v>5545</v>
      </c>
      <c r="R618" s="18">
        <v>8</v>
      </c>
      <c r="S618" s="19">
        <f t="shared" si="5"/>
        <v>1296</v>
      </c>
      <c r="T618" s="12" t="s">
        <v>46</v>
      </c>
      <c r="U618" s="15"/>
      <c r="V618" s="19">
        <v>44610</v>
      </c>
      <c r="W618" s="15" t="s">
        <v>71</v>
      </c>
      <c r="X618" s="13">
        <v>1136601</v>
      </c>
      <c r="Y618" s="20">
        <v>3121506</v>
      </c>
      <c r="Z618" s="13">
        <v>3827557</v>
      </c>
      <c r="AA618" s="13">
        <v>4669016</v>
      </c>
      <c r="AB618" s="13"/>
      <c r="AC618" s="15">
        <v>5571159</v>
      </c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</row>
    <row r="619" spans="1:46" ht="45" customHeight="1">
      <c r="A619" s="12" t="s">
        <v>5546</v>
      </c>
      <c r="B619" s="13" t="s">
        <v>5547</v>
      </c>
      <c r="C619" s="14" t="s">
        <v>5548</v>
      </c>
      <c r="D619" s="15" t="s">
        <v>5549</v>
      </c>
      <c r="E619" s="15" t="s">
        <v>5550</v>
      </c>
      <c r="F619" s="15" t="s">
        <v>111</v>
      </c>
      <c r="G619" s="15" t="s">
        <v>5551</v>
      </c>
      <c r="H619" s="15" t="s">
        <v>1212</v>
      </c>
      <c r="I619" s="15" t="s">
        <v>80</v>
      </c>
      <c r="J619" s="15" t="s">
        <v>5551</v>
      </c>
      <c r="K619" s="15" t="s">
        <v>1212</v>
      </c>
      <c r="L619" s="15" t="s">
        <v>80</v>
      </c>
      <c r="M619" s="114" t="s">
        <v>5552</v>
      </c>
      <c r="N619" s="13" t="s">
        <v>5553</v>
      </c>
      <c r="O619" s="13"/>
      <c r="P619" s="15" t="s">
        <v>94</v>
      </c>
      <c r="Q619" s="17" t="s">
        <v>5554</v>
      </c>
      <c r="R619" s="18">
        <v>161</v>
      </c>
      <c r="S619" s="19">
        <f t="shared" si="5"/>
        <v>26082</v>
      </c>
      <c r="T619" s="12" t="s">
        <v>46</v>
      </c>
      <c r="U619" s="15"/>
      <c r="V619" s="19">
        <v>44610</v>
      </c>
      <c r="W619" s="15" t="s">
        <v>71</v>
      </c>
      <c r="X619" s="13">
        <v>1104948</v>
      </c>
      <c r="Y619" s="20">
        <v>3117458</v>
      </c>
      <c r="Z619" s="13">
        <v>3901811</v>
      </c>
      <c r="AA619" s="13">
        <v>4733434</v>
      </c>
      <c r="AB619" s="13"/>
      <c r="AC619" s="15">
        <v>5615450</v>
      </c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</row>
    <row r="620" spans="1:46" ht="45" customHeight="1">
      <c r="A620" s="21" t="s">
        <v>5555</v>
      </c>
      <c r="B620" s="22" t="s">
        <v>5556</v>
      </c>
      <c r="C620" s="23" t="s">
        <v>5557</v>
      </c>
      <c r="D620" s="24" t="s">
        <v>5558</v>
      </c>
      <c r="E620" s="24" t="s">
        <v>5559</v>
      </c>
      <c r="F620" s="24" t="s">
        <v>158</v>
      </c>
      <c r="G620" s="24" t="s">
        <v>5560</v>
      </c>
      <c r="H620" s="24" t="s">
        <v>2314</v>
      </c>
      <c r="I620" s="24" t="s">
        <v>1927</v>
      </c>
      <c r="J620" s="24" t="s">
        <v>5560</v>
      </c>
      <c r="K620" s="24" t="s">
        <v>2314</v>
      </c>
      <c r="L620" s="24" t="s">
        <v>1927</v>
      </c>
      <c r="M620" s="25" t="s">
        <v>5561</v>
      </c>
      <c r="N620" s="22" t="s">
        <v>5562</v>
      </c>
      <c r="O620" s="22"/>
      <c r="P620" s="24" t="s">
        <v>5563</v>
      </c>
      <c r="Q620" s="28" t="s">
        <v>5564</v>
      </c>
      <c r="R620" s="29">
        <v>3255</v>
      </c>
      <c r="S620" s="30">
        <f t="shared" si="5"/>
        <v>527310</v>
      </c>
      <c r="T620" s="21" t="s">
        <v>129</v>
      </c>
      <c r="U620" s="24"/>
      <c r="V620" s="30">
        <v>545160</v>
      </c>
      <c r="W620" s="45" t="s">
        <v>71</v>
      </c>
      <c r="X620" s="22"/>
      <c r="Y620" s="31">
        <v>3121457</v>
      </c>
      <c r="Z620" s="22">
        <v>3903824</v>
      </c>
      <c r="AA620" s="22">
        <v>4749587</v>
      </c>
      <c r="AB620" s="22"/>
      <c r="AC620" s="45">
        <v>5637022</v>
      </c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</row>
    <row r="621" spans="1:46" ht="52.5" customHeight="1">
      <c r="A621" s="12" t="s">
        <v>5565</v>
      </c>
      <c r="B621" s="13" t="s">
        <v>5566</v>
      </c>
      <c r="C621" s="14" t="s">
        <v>5567</v>
      </c>
      <c r="D621" s="15" t="s">
        <v>5568</v>
      </c>
      <c r="E621" s="15" t="s">
        <v>5569</v>
      </c>
      <c r="F621" s="15" t="s">
        <v>3852</v>
      </c>
      <c r="G621" s="15" t="s">
        <v>5570</v>
      </c>
      <c r="H621" s="15" t="s">
        <v>671</v>
      </c>
      <c r="I621" s="15" t="s">
        <v>149</v>
      </c>
      <c r="J621" s="15" t="s">
        <v>5571</v>
      </c>
      <c r="K621" s="15" t="s">
        <v>238</v>
      </c>
      <c r="L621" s="15" t="s">
        <v>38</v>
      </c>
      <c r="M621" s="67" t="s">
        <v>5572</v>
      </c>
      <c r="N621" s="47">
        <v>4273027</v>
      </c>
      <c r="O621" s="13"/>
      <c r="P621" s="15" t="s">
        <v>5573</v>
      </c>
      <c r="Q621" s="17" t="s">
        <v>5574</v>
      </c>
      <c r="R621" s="18">
        <v>352</v>
      </c>
      <c r="S621" s="19">
        <f t="shared" si="5"/>
        <v>57024</v>
      </c>
      <c r="T621" s="12" t="s">
        <v>46</v>
      </c>
      <c r="U621" s="15"/>
      <c r="V621" s="19">
        <v>44610</v>
      </c>
      <c r="W621" s="15" t="s">
        <v>71</v>
      </c>
      <c r="X621" s="13"/>
      <c r="Y621" s="20">
        <v>3062120</v>
      </c>
      <c r="Z621" s="13">
        <v>3896827</v>
      </c>
      <c r="AA621" s="13">
        <v>4757957</v>
      </c>
      <c r="AB621" s="13"/>
      <c r="AC621" s="15">
        <v>5597566</v>
      </c>
      <c r="AD621" s="49">
        <v>6469739</v>
      </c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</row>
    <row r="622" spans="1:46" ht="45" customHeight="1">
      <c r="A622" s="12" t="s">
        <v>5575</v>
      </c>
      <c r="B622" s="13" t="s">
        <v>5576</v>
      </c>
      <c r="C622" s="14" t="s">
        <v>5577</v>
      </c>
      <c r="D622" s="15" t="s">
        <v>5578</v>
      </c>
      <c r="E622" s="15" t="s">
        <v>5579</v>
      </c>
      <c r="F622" s="15" t="s">
        <v>181</v>
      </c>
      <c r="G622" s="15" t="s">
        <v>5580</v>
      </c>
      <c r="H622" s="15" t="s">
        <v>2262</v>
      </c>
      <c r="I622" s="15" t="s">
        <v>80</v>
      </c>
      <c r="J622" s="15" t="s">
        <v>5581</v>
      </c>
      <c r="K622" s="15"/>
      <c r="L622" s="15" t="s">
        <v>38</v>
      </c>
      <c r="M622" s="16" t="s">
        <v>3336</v>
      </c>
      <c r="N622" s="13">
        <v>4921619</v>
      </c>
      <c r="O622" s="13"/>
      <c r="P622" s="15" t="s">
        <v>94</v>
      </c>
      <c r="Q622" s="17" t="s">
        <v>5582</v>
      </c>
      <c r="R622" s="18">
        <v>206</v>
      </c>
      <c r="S622" s="19">
        <f t="shared" si="5"/>
        <v>33372</v>
      </c>
      <c r="T622" s="12" t="s">
        <v>46</v>
      </c>
      <c r="U622" s="15"/>
      <c r="V622" s="19">
        <v>44610</v>
      </c>
      <c r="W622" s="49" t="s">
        <v>71</v>
      </c>
      <c r="X622" s="13">
        <v>1134887</v>
      </c>
      <c r="Y622" s="20"/>
      <c r="Z622" s="13"/>
      <c r="AA622" s="13">
        <v>4751688</v>
      </c>
      <c r="AB622" s="13"/>
      <c r="AC622" s="49">
        <v>5634157</v>
      </c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</row>
    <row r="623" spans="1:46" ht="45" customHeight="1">
      <c r="A623" s="12" t="s">
        <v>5583</v>
      </c>
      <c r="B623" s="13" t="s">
        <v>5584</v>
      </c>
      <c r="C623" s="14" t="s">
        <v>5585</v>
      </c>
      <c r="D623" s="15" t="s">
        <v>5586</v>
      </c>
      <c r="E623" s="15" t="s">
        <v>5587</v>
      </c>
      <c r="F623" s="15" t="s">
        <v>111</v>
      </c>
      <c r="G623" s="15" t="s">
        <v>2941</v>
      </c>
      <c r="H623" s="15"/>
      <c r="I623" s="15" t="s">
        <v>149</v>
      </c>
      <c r="J623" s="15" t="s">
        <v>2941</v>
      </c>
      <c r="K623" s="15"/>
      <c r="L623" s="15" t="s">
        <v>149</v>
      </c>
      <c r="M623" s="16" t="s">
        <v>2942</v>
      </c>
      <c r="N623" s="13">
        <v>2614424951</v>
      </c>
      <c r="O623" s="13"/>
      <c r="P623" s="15" t="s">
        <v>44</v>
      </c>
      <c r="Q623" s="17" t="s">
        <v>5588</v>
      </c>
      <c r="R623" s="18">
        <v>302</v>
      </c>
      <c r="S623" s="19">
        <f t="shared" si="5"/>
        <v>48924</v>
      </c>
      <c r="T623" s="12" t="s">
        <v>46</v>
      </c>
      <c r="U623" s="15"/>
      <c r="V623" s="19">
        <v>44610</v>
      </c>
      <c r="W623" s="15" t="s">
        <v>71</v>
      </c>
      <c r="X623" s="13">
        <v>1029480</v>
      </c>
      <c r="Y623" s="20">
        <v>3121083</v>
      </c>
      <c r="Z623" s="13">
        <v>3908084</v>
      </c>
      <c r="AA623" s="13">
        <v>4757859</v>
      </c>
      <c r="AB623" s="13"/>
      <c r="AC623" s="15">
        <v>5601830</v>
      </c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</row>
    <row r="624" spans="1:46" ht="45" customHeight="1">
      <c r="A624" s="12" t="s">
        <v>5589</v>
      </c>
      <c r="B624" s="13" t="s">
        <v>5590</v>
      </c>
      <c r="C624" s="14" t="s">
        <v>5591</v>
      </c>
      <c r="D624" s="15" t="s">
        <v>5592</v>
      </c>
      <c r="E624" s="15" t="s">
        <v>5593</v>
      </c>
      <c r="F624" s="15" t="s">
        <v>111</v>
      </c>
      <c r="G624" s="15" t="s">
        <v>2941</v>
      </c>
      <c r="H624" s="15"/>
      <c r="I624" s="15" t="s">
        <v>149</v>
      </c>
      <c r="J624" s="15" t="s">
        <v>2941</v>
      </c>
      <c r="K624" s="15"/>
      <c r="L624" s="15" t="s">
        <v>149</v>
      </c>
      <c r="M624" s="16" t="s">
        <v>5594</v>
      </c>
      <c r="N624" s="13" t="s">
        <v>5595</v>
      </c>
      <c r="O624" s="13"/>
      <c r="P624" s="15" t="s">
        <v>94</v>
      </c>
      <c r="Q624" s="17" t="s">
        <v>5596</v>
      </c>
      <c r="R624" s="18">
        <v>426</v>
      </c>
      <c r="S624" s="19">
        <f t="shared" si="5"/>
        <v>69012</v>
      </c>
      <c r="T624" s="12" t="s">
        <v>46</v>
      </c>
      <c r="U624" s="15"/>
      <c r="V624" s="19">
        <v>44610</v>
      </c>
      <c r="W624" s="15" t="s">
        <v>71</v>
      </c>
      <c r="X624" s="13">
        <v>1029627</v>
      </c>
      <c r="Y624" s="20">
        <v>3117549</v>
      </c>
      <c r="Z624" s="13">
        <v>3899365</v>
      </c>
      <c r="AA624" s="13">
        <v>4757822</v>
      </c>
      <c r="AB624" s="13"/>
      <c r="AC624" s="15">
        <v>5617873</v>
      </c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</row>
    <row r="625" spans="1:46" ht="45" customHeight="1">
      <c r="A625" s="12" t="s">
        <v>5597</v>
      </c>
      <c r="B625" s="13" t="s">
        <v>5598</v>
      </c>
      <c r="C625" s="14" t="s">
        <v>5599</v>
      </c>
      <c r="D625" s="15" t="s">
        <v>5600</v>
      </c>
      <c r="E625" s="15" t="s">
        <v>5601</v>
      </c>
      <c r="F625" s="15" t="s">
        <v>111</v>
      </c>
      <c r="G625" s="15" t="s">
        <v>5602</v>
      </c>
      <c r="H625" s="15" t="s">
        <v>447</v>
      </c>
      <c r="I625" s="15" t="s">
        <v>38</v>
      </c>
      <c r="J625" s="15" t="s">
        <v>5602</v>
      </c>
      <c r="K625" s="15" t="s">
        <v>447</v>
      </c>
      <c r="L625" s="15" t="s">
        <v>38</v>
      </c>
      <c r="M625" s="16" t="s">
        <v>5603</v>
      </c>
      <c r="N625" s="13" t="s">
        <v>5604</v>
      </c>
      <c r="O625" s="13"/>
      <c r="P625" s="15" t="s">
        <v>117</v>
      </c>
      <c r="Q625" s="17" t="s">
        <v>5605</v>
      </c>
      <c r="R625" s="18">
        <v>223</v>
      </c>
      <c r="S625" s="19">
        <f t="shared" si="5"/>
        <v>36126</v>
      </c>
      <c r="T625" s="12" t="s">
        <v>46</v>
      </c>
      <c r="U625" s="15"/>
      <c r="V625" s="19">
        <v>44610</v>
      </c>
      <c r="W625" s="15" t="s">
        <v>71</v>
      </c>
      <c r="X625" s="13">
        <v>1027840</v>
      </c>
      <c r="Y625" s="20">
        <v>3104254</v>
      </c>
      <c r="Z625" s="13">
        <v>3887527</v>
      </c>
      <c r="AA625" s="13">
        <v>4700463</v>
      </c>
      <c r="AB625" s="13"/>
      <c r="AC625" s="15">
        <v>5582729</v>
      </c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</row>
    <row r="626" spans="1:46" ht="45" customHeight="1">
      <c r="A626" s="12" t="s">
        <v>5606</v>
      </c>
      <c r="B626" s="13" t="s">
        <v>5607</v>
      </c>
      <c r="C626" s="14" t="s">
        <v>5608</v>
      </c>
      <c r="D626" s="15" t="s">
        <v>1948</v>
      </c>
      <c r="E626" s="15" t="s">
        <v>1949</v>
      </c>
      <c r="F626" s="15" t="s">
        <v>111</v>
      </c>
      <c r="G626" s="15" t="s">
        <v>5609</v>
      </c>
      <c r="H626" s="15"/>
      <c r="I626" s="15" t="s">
        <v>149</v>
      </c>
      <c r="J626" s="15" t="s">
        <v>5610</v>
      </c>
      <c r="K626" s="15"/>
      <c r="L626" s="15" t="s">
        <v>149</v>
      </c>
      <c r="M626" s="46" t="s">
        <v>1951</v>
      </c>
      <c r="N626" s="13">
        <v>4240400</v>
      </c>
      <c r="O626" s="13"/>
      <c r="P626" s="15" t="s">
        <v>94</v>
      </c>
      <c r="Q626" s="17" t="s">
        <v>5611</v>
      </c>
      <c r="R626" s="18">
        <v>183</v>
      </c>
      <c r="S626" s="19">
        <f t="shared" si="5"/>
        <v>29646</v>
      </c>
      <c r="T626" s="12" t="s">
        <v>46</v>
      </c>
      <c r="U626" s="15"/>
      <c r="V626" s="19">
        <v>44610</v>
      </c>
      <c r="W626" s="15" t="s">
        <v>71</v>
      </c>
      <c r="X626" s="13"/>
      <c r="Y626" s="20">
        <v>3120568</v>
      </c>
      <c r="Z626" s="13">
        <v>3903866</v>
      </c>
      <c r="AA626" s="13">
        <v>4753642</v>
      </c>
      <c r="AB626" s="13"/>
      <c r="AC626" s="15">
        <v>5612730</v>
      </c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</row>
    <row r="627" spans="1:46" ht="45" customHeight="1">
      <c r="A627" s="12" t="s">
        <v>5612</v>
      </c>
      <c r="B627" s="13" t="s">
        <v>5613</v>
      </c>
      <c r="C627" s="14" t="s">
        <v>5614</v>
      </c>
      <c r="D627" s="15" t="s">
        <v>5615</v>
      </c>
      <c r="E627" s="15" t="s">
        <v>1809</v>
      </c>
      <c r="F627" s="15" t="s">
        <v>181</v>
      </c>
      <c r="G627" s="15" t="s">
        <v>5616</v>
      </c>
      <c r="H627" s="15"/>
      <c r="I627" s="15" t="s">
        <v>149</v>
      </c>
      <c r="J627" s="15" t="s">
        <v>5617</v>
      </c>
      <c r="K627" s="15"/>
      <c r="L627" s="15" t="s">
        <v>149</v>
      </c>
      <c r="M627" s="46" t="s">
        <v>3283</v>
      </c>
      <c r="N627" s="13" t="s">
        <v>5618</v>
      </c>
      <c r="O627" s="13"/>
      <c r="P627" s="15" t="s">
        <v>94</v>
      </c>
      <c r="Q627" s="17" t="s">
        <v>5619</v>
      </c>
      <c r="R627" s="18">
        <v>75</v>
      </c>
      <c r="S627" s="19">
        <f t="shared" si="5"/>
        <v>12150</v>
      </c>
      <c r="T627" s="12" t="s">
        <v>46</v>
      </c>
      <c r="U627" s="15"/>
      <c r="V627" s="19">
        <v>44610</v>
      </c>
      <c r="W627" s="49" t="s">
        <v>71</v>
      </c>
      <c r="X627" s="13">
        <v>1021917</v>
      </c>
      <c r="Y627" s="20">
        <v>3121416</v>
      </c>
      <c r="Z627" s="13">
        <v>3832932</v>
      </c>
      <c r="AA627" s="13">
        <v>4749630</v>
      </c>
      <c r="AB627" s="13"/>
      <c r="AC627" s="49">
        <v>5623216</v>
      </c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</row>
    <row r="628" spans="1:46" ht="45" customHeight="1">
      <c r="A628" s="12" t="s">
        <v>5620</v>
      </c>
      <c r="B628" s="13" t="s">
        <v>5621</v>
      </c>
      <c r="C628" s="66" t="s">
        <v>5622</v>
      </c>
      <c r="D628" s="15" t="s">
        <v>5623</v>
      </c>
      <c r="E628" s="15" t="s">
        <v>5624</v>
      </c>
      <c r="F628" s="15" t="s">
        <v>909</v>
      </c>
      <c r="G628" s="15" t="s">
        <v>5625</v>
      </c>
      <c r="H628" s="15" t="s">
        <v>52</v>
      </c>
      <c r="I628" s="15" t="s">
        <v>53</v>
      </c>
      <c r="J628" s="15" t="s">
        <v>5626</v>
      </c>
      <c r="K628" s="15" t="s">
        <v>5627</v>
      </c>
      <c r="L628" s="15" t="s">
        <v>65</v>
      </c>
      <c r="M628" s="46" t="s">
        <v>5628</v>
      </c>
      <c r="N628" s="13">
        <v>1147781313</v>
      </c>
      <c r="O628" s="13"/>
      <c r="P628" s="15" t="s">
        <v>94</v>
      </c>
      <c r="Q628" s="17" t="s">
        <v>5629</v>
      </c>
      <c r="R628" s="18">
        <v>123</v>
      </c>
      <c r="S628" s="19">
        <f t="shared" si="5"/>
        <v>19926</v>
      </c>
      <c r="T628" s="12" t="s">
        <v>46</v>
      </c>
      <c r="U628" s="15"/>
      <c r="V628" s="19">
        <v>44610</v>
      </c>
      <c r="W628" s="15"/>
      <c r="X628" s="13"/>
      <c r="Y628" s="20"/>
      <c r="Z628" s="13"/>
      <c r="AA628" s="13"/>
      <c r="AB628" s="13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</row>
    <row r="629" spans="1:46" ht="45" customHeight="1">
      <c r="A629" s="12" t="s">
        <v>5630</v>
      </c>
      <c r="B629" s="13" t="s">
        <v>5631</v>
      </c>
      <c r="C629" s="14" t="s">
        <v>5632</v>
      </c>
      <c r="D629" s="15" t="s">
        <v>5633</v>
      </c>
      <c r="E629" s="15" t="s">
        <v>5634</v>
      </c>
      <c r="F629" s="15" t="s">
        <v>204</v>
      </c>
      <c r="G629" s="15" t="s">
        <v>5635</v>
      </c>
      <c r="H629" s="15"/>
      <c r="I629" s="15" t="s">
        <v>149</v>
      </c>
      <c r="J629" s="15" t="s">
        <v>5635</v>
      </c>
      <c r="K629" s="15"/>
      <c r="L629" s="15" t="s">
        <v>149</v>
      </c>
      <c r="M629" s="46" t="s">
        <v>3283</v>
      </c>
      <c r="N629" s="13" t="s">
        <v>5636</v>
      </c>
      <c r="O629" s="13"/>
      <c r="P629" s="15" t="s">
        <v>117</v>
      </c>
      <c r="Q629" s="17" t="s">
        <v>5637</v>
      </c>
      <c r="R629" s="18">
        <v>193</v>
      </c>
      <c r="S629" s="19">
        <f t="shared" si="5"/>
        <v>31266</v>
      </c>
      <c r="T629" s="12" t="s">
        <v>46</v>
      </c>
      <c r="U629" s="15"/>
      <c r="V629" s="19">
        <v>44610</v>
      </c>
      <c r="W629" s="49" t="s">
        <v>71</v>
      </c>
      <c r="X629" s="13">
        <v>1136667</v>
      </c>
      <c r="Y629" s="20">
        <v>3091031</v>
      </c>
      <c r="Z629" s="13">
        <v>3843917</v>
      </c>
      <c r="AA629" s="13">
        <v>4749600</v>
      </c>
      <c r="AB629" s="13"/>
      <c r="AC629" s="49">
        <v>5623242</v>
      </c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</row>
    <row r="630" spans="1:46" ht="45" customHeight="1">
      <c r="A630" s="12" t="s">
        <v>5638</v>
      </c>
      <c r="B630" s="13" t="s">
        <v>5639</v>
      </c>
      <c r="C630" s="66" t="s">
        <v>5640</v>
      </c>
      <c r="D630" s="15" t="s">
        <v>5641</v>
      </c>
      <c r="E630" s="15" t="s">
        <v>5642</v>
      </c>
      <c r="F630" s="15" t="s">
        <v>111</v>
      </c>
      <c r="G630" s="15" t="s">
        <v>5643</v>
      </c>
      <c r="H630" s="15" t="s">
        <v>216</v>
      </c>
      <c r="I630" s="15" t="s">
        <v>149</v>
      </c>
      <c r="J630" s="15" t="s">
        <v>5643</v>
      </c>
      <c r="K630" s="15" t="s">
        <v>216</v>
      </c>
      <c r="L630" s="15" t="s">
        <v>149</v>
      </c>
      <c r="M630" s="46" t="s">
        <v>5644</v>
      </c>
      <c r="N630" s="13" t="s">
        <v>5645</v>
      </c>
      <c r="O630" s="13"/>
      <c r="P630" s="15" t="s">
        <v>44</v>
      </c>
      <c r="Q630" s="17" t="s">
        <v>5646</v>
      </c>
      <c r="R630" s="18">
        <v>48</v>
      </c>
      <c r="S630" s="19">
        <f t="shared" si="5"/>
        <v>7776</v>
      </c>
      <c r="T630" s="12" t="s">
        <v>46</v>
      </c>
      <c r="U630" s="15"/>
      <c r="V630" s="19">
        <v>44610</v>
      </c>
      <c r="W630" s="49" t="s">
        <v>71</v>
      </c>
      <c r="X630" s="13"/>
      <c r="Y630" s="20"/>
      <c r="Z630" s="13"/>
      <c r="AA630" s="13"/>
      <c r="AB630" s="13"/>
      <c r="AC630" s="15"/>
      <c r="AD630" s="49">
        <v>6482113</v>
      </c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</row>
    <row r="631" spans="1:46" ht="45" customHeight="1">
      <c r="A631" s="21" t="s">
        <v>5647</v>
      </c>
      <c r="B631" s="22" t="s">
        <v>5648</v>
      </c>
      <c r="C631" s="23" t="s">
        <v>5649</v>
      </c>
      <c r="D631" s="24" t="s">
        <v>741</v>
      </c>
      <c r="E631" s="24" t="s">
        <v>5650</v>
      </c>
      <c r="F631" s="24" t="s">
        <v>477</v>
      </c>
      <c r="G631" s="24" t="s">
        <v>1002</v>
      </c>
      <c r="H631" s="24" t="s">
        <v>892</v>
      </c>
      <c r="I631" s="24" t="s">
        <v>115</v>
      </c>
      <c r="J631" s="24" t="s">
        <v>5651</v>
      </c>
      <c r="K631" s="24" t="s">
        <v>405</v>
      </c>
      <c r="L631" s="24" t="s">
        <v>115</v>
      </c>
      <c r="M631" s="70" t="s">
        <v>5652</v>
      </c>
      <c r="N631" s="22" t="s">
        <v>5653</v>
      </c>
      <c r="O631" s="22"/>
      <c r="P631" s="24" t="s">
        <v>5654</v>
      </c>
      <c r="Q631" s="28" t="s">
        <v>5655</v>
      </c>
      <c r="R631" s="29">
        <v>9664.6</v>
      </c>
      <c r="S631" s="30">
        <f t="shared" si="5"/>
        <v>1565665.2</v>
      </c>
      <c r="T631" s="21" t="s">
        <v>70</v>
      </c>
      <c r="U631" s="24"/>
      <c r="V631" s="30">
        <f>S631</f>
        <v>1565665.2</v>
      </c>
      <c r="W631" s="24" t="s">
        <v>71</v>
      </c>
      <c r="X631" s="22">
        <v>1040571</v>
      </c>
      <c r="Y631" s="31">
        <v>3097763</v>
      </c>
      <c r="Z631" s="22"/>
      <c r="AA631" s="22">
        <v>4671996</v>
      </c>
      <c r="AB631" s="22"/>
      <c r="AC631" s="24">
        <v>5540854</v>
      </c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</row>
    <row r="632" spans="1:46" ht="45" customHeight="1">
      <c r="A632" s="12" t="s">
        <v>5656</v>
      </c>
      <c r="B632" s="13" t="s">
        <v>5657</v>
      </c>
      <c r="C632" s="14" t="s">
        <v>5658</v>
      </c>
      <c r="D632" s="15" t="s">
        <v>5659</v>
      </c>
      <c r="E632" s="15" t="s">
        <v>5660</v>
      </c>
      <c r="F632" s="15" t="s">
        <v>181</v>
      </c>
      <c r="G632" s="15" t="s">
        <v>5661</v>
      </c>
      <c r="H632" s="15" t="s">
        <v>2334</v>
      </c>
      <c r="I632" s="15" t="s">
        <v>2325</v>
      </c>
      <c r="J632" s="15" t="s">
        <v>5662</v>
      </c>
      <c r="K632" s="15" t="s">
        <v>2334</v>
      </c>
      <c r="L632" s="15" t="s">
        <v>2325</v>
      </c>
      <c r="M632" s="46" t="s">
        <v>5663</v>
      </c>
      <c r="N632" s="13">
        <v>2614606919</v>
      </c>
      <c r="O632" s="13"/>
      <c r="P632" s="15" t="s">
        <v>44</v>
      </c>
      <c r="Q632" s="17" t="s">
        <v>5664</v>
      </c>
      <c r="R632" s="18">
        <v>125</v>
      </c>
      <c r="S632" s="19">
        <f t="shared" si="5"/>
        <v>20250</v>
      </c>
      <c r="T632" s="12" t="s">
        <v>46</v>
      </c>
      <c r="U632" s="15"/>
      <c r="V632" s="19">
        <v>44610</v>
      </c>
      <c r="W632" s="15"/>
      <c r="X632" s="13"/>
      <c r="Y632" s="20"/>
      <c r="Z632" s="13">
        <v>3908059</v>
      </c>
      <c r="AA632" s="13">
        <v>4756852</v>
      </c>
      <c r="AB632" s="13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</row>
    <row r="633" spans="1:46" ht="45" customHeight="1">
      <c r="A633" s="12" t="s">
        <v>5665</v>
      </c>
      <c r="B633" s="13" t="s">
        <v>5666</v>
      </c>
      <c r="C633" s="14" t="s">
        <v>5667</v>
      </c>
      <c r="D633" s="15" t="s">
        <v>5668</v>
      </c>
      <c r="E633" s="15" t="s">
        <v>5669</v>
      </c>
      <c r="F633" s="15" t="s">
        <v>111</v>
      </c>
      <c r="G633" s="15" t="s">
        <v>5670</v>
      </c>
      <c r="H633" s="15" t="s">
        <v>1736</v>
      </c>
      <c r="I633" s="15" t="s">
        <v>149</v>
      </c>
      <c r="J633" s="15" t="s">
        <v>5670</v>
      </c>
      <c r="K633" s="15" t="s">
        <v>1736</v>
      </c>
      <c r="L633" s="15" t="s">
        <v>149</v>
      </c>
      <c r="M633" s="46" t="s">
        <v>3283</v>
      </c>
      <c r="N633" s="13" t="s">
        <v>5671</v>
      </c>
      <c r="O633" s="13"/>
      <c r="P633" s="15" t="s">
        <v>5672</v>
      </c>
      <c r="Q633" s="17" t="s">
        <v>5673</v>
      </c>
      <c r="R633" s="18">
        <v>59</v>
      </c>
      <c r="S633" s="19">
        <f t="shared" si="5"/>
        <v>9558</v>
      </c>
      <c r="T633" s="12" t="s">
        <v>46</v>
      </c>
      <c r="U633" s="15"/>
      <c r="V633" s="19">
        <v>44610</v>
      </c>
      <c r="W633" s="15" t="s">
        <v>71</v>
      </c>
      <c r="X633" s="13"/>
      <c r="Y633" s="20">
        <v>3091020</v>
      </c>
      <c r="Z633" s="13">
        <v>3852435</v>
      </c>
      <c r="AA633" s="13">
        <v>4749611</v>
      </c>
      <c r="AB633" s="13"/>
      <c r="AC633" s="15">
        <v>5571164</v>
      </c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</row>
    <row r="634" spans="1:46" ht="45" customHeight="1">
      <c r="A634" s="12" t="s">
        <v>5674</v>
      </c>
      <c r="B634" s="13" t="s">
        <v>5675</v>
      </c>
      <c r="C634" s="14" t="s">
        <v>5676</v>
      </c>
      <c r="D634" s="15" t="s">
        <v>5677</v>
      </c>
      <c r="E634" s="15" t="s">
        <v>5678</v>
      </c>
      <c r="F634" s="15" t="s">
        <v>909</v>
      </c>
      <c r="G634" s="15" t="s">
        <v>5679</v>
      </c>
      <c r="H634" s="15"/>
      <c r="I634" s="15" t="s">
        <v>149</v>
      </c>
      <c r="J634" s="15" t="s">
        <v>5680</v>
      </c>
      <c r="K634" s="15"/>
      <c r="L634" s="15" t="s">
        <v>149</v>
      </c>
      <c r="M634" s="16" t="s">
        <v>5681</v>
      </c>
      <c r="N634" s="13" t="s">
        <v>5682</v>
      </c>
      <c r="O634" s="13"/>
      <c r="P634" s="15" t="s">
        <v>44</v>
      </c>
      <c r="Q634" s="17" t="s">
        <v>5683</v>
      </c>
      <c r="R634" s="18">
        <v>62</v>
      </c>
      <c r="S634" s="19">
        <f t="shared" si="5"/>
        <v>10044</v>
      </c>
      <c r="T634" s="12" t="s">
        <v>46</v>
      </c>
      <c r="U634" s="15"/>
      <c r="V634" s="19">
        <v>44610</v>
      </c>
      <c r="W634" s="15" t="s">
        <v>47</v>
      </c>
      <c r="X634" s="13"/>
      <c r="Y634" s="20">
        <v>3088155</v>
      </c>
      <c r="Z634" s="13">
        <v>3810707</v>
      </c>
      <c r="AA634" s="13"/>
      <c r="AB634" s="13">
        <v>4834864</v>
      </c>
      <c r="AC634" s="15">
        <v>5573223</v>
      </c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</row>
    <row r="635" spans="1:46" ht="45" customHeight="1">
      <c r="A635" s="12" t="s">
        <v>5684</v>
      </c>
      <c r="B635" s="13" t="s">
        <v>5685</v>
      </c>
      <c r="C635" s="14" t="s">
        <v>5686</v>
      </c>
      <c r="D635" s="15" t="s">
        <v>5687</v>
      </c>
      <c r="E635" s="15" t="s">
        <v>3556</v>
      </c>
      <c r="F635" s="15" t="s">
        <v>181</v>
      </c>
      <c r="G635" s="15" t="s">
        <v>5688</v>
      </c>
      <c r="H635" s="15"/>
      <c r="I635" s="15" t="s">
        <v>149</v>
      </c>
      <c r="J635" s="15" t="s">
        <v>5688</v>
      </c>
      <c r="K635" s="15"/>
      <c r="L635" s="15" t="s">
        <v>149</v>
      </c>
      <c r="M635" s="46" t="s">
        <v>5689</v>
      </c>
      <c r="N635" s="13" t="s">
        <v>5690</v>
      </c>
      <c r="O635" s="13"/>
      <c r="P635" s="15" t="s">
        <v>1310</v>
      </c>
      <c r="Q635" s="17" t="s">
        <v>5691</v>
      </c>
      <c r="R635" s="18">
        <v>14</v>
      </c>
      <c r="S635" s="19">
        <f t="shared" si="5"/>
        <v>2268</v>
      </c>
      <c r="T635" s="12" t="s">
        <v>46</v>
      </c>
      <c r="U635" s="15"/>
      <c r="V635" s="19">
        <v>44610</v>
      </c>
      <c r="W635" s="49" t="s">
        <v>71</v>
      </c>
      <c r="X635" s="13">
        <v>1042628</v>
      </c>
      <c r="Y635" s="20"/>
      <c r="Z635" s="13">
        <v>3893207</v>
      </c>
      <c r="AA635" s="13">
        <v>4753609</v>
      </c>
      <c r="AB635" s="13"/>
      <c r="AC635" s="49">
        <v>5633141</v>
      </c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</row>
    <row r="636" spans="1:46" ht="45" customHeight="1">
      <c r="A636" s="12" t="s">
        <v>5692</v>
      </c>
      <c r="B636" s="13" t="s">
        <v>5693</v>
      </c>
      <c r="C636" s="14" t="s">
        <v>5694</v>
      </c>
      <c r="D636" s="15" t="s">
        <v>5695</v>
      </c>
      <c r="E636" s="15" t="s">
        <v>3556</v>
      </c>
      <c r="F636" s="15" t="s">
        <v>181</v>
      </c>
      <c r="G636" s="15" t="s">
        <v>5696</v>
      </c>
      <c r="H636" s="15"/>
      <c r="I636" s="154" t="s">
        <v>149</v>
      </c>
      <c r="J636" s="15" t="s">
        <v>5696</v>
      </c>
      <c r="K636" s="15"/>
      <c r="L636" s="15" t="s">
        <v>149</v>
      </c>
      <c r="M636" s="46" t="s">
        <v>5697</v>
      </c>
      <c r="N636" s="155" t="s">
        <v>5698</v>
      </c>
      <c r="O636" s="13"/>
      <c r="P636" s="15" t="s">
        <v>1310</v>
      </c>
      <c r="Q636" s="17" t="s">
        <v>5699</v>
      </c>
      <c r="R636" s="18">
        <v>12</v>
      </c>
      <c r="S636" s="19">
        <f t="shared" si="5"/>
        <v>1944</v>
      </c>
      <c r="T636" s="12" t="s">
        <v>46</v>
      </c>
      <c r="U636" s="15"/>
      <c r="V636" s="19">
        <v>44610</v>
      </c>
      <c r="W636" s="15"/>
      <c r="X636" s="13">
        <v>1042641</v>
      </c>
      <c r="Y636" s="20"/>
      <c r="Z636" s="13">
        <v>3908343</v>
      </c>
      <c r="AA636" s="13">
        <v>4753540</v>
      </c>
      <c r="AB636" s="13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</row>
    <row r="637" spans="1:46" ht="45" customHeight="1">
      <c r="A637" s="50" t="s">
        <v>5700</v>
      </c>
      <c r="B637" s="51" t="s">
        <v>5701</v>
      </c>
      <c r="C637" s="52" t="s">
        <v>5702</v>
      </c>
      <c r="D637" s="53" t="s">
        <v>5703</v>
      </c>
      <c r="E637" s="53" t="s">
        <v>4799</v>
      </c>
      <c r="F637" s="53" t="s">
        <v>909</v>
      </c>
      <c r="G637" s="53" t="s">
        <v>5704</v>
      </c>
      <c r="H637" s="53"/>
      <c r="I637" s="156" t="s">
        <v>321</v>
      </c>
      <c r="J637" s="53" t="s">
        <v>5704</v>
      </c>
      <c r="K637" s="53"/>
      <c r="L637" s="53" t="s">
        <v>321</v>
      </c>
      <c r="M637" s="68"/>
      <c r="N637" s="157" t="s">
        <v>5705</v>
      </c>
      <c r="O637" s="51"/>
      <c r="P637" s="53" t="s">
        <v>44</v>
      </c>
      <c r="Q637" s="55" t="s">
        <v>5706</v>
      </c>
      <c r="R637" s="56">
        <v>21</v>
      </c>
      <c r="S637" s="57">
        <f t="shared" si="5"/>
        <v>3402</v>
      </c>
      <c r="T637" s="50" t="s">
        <v>46</v>
      </c>
      <c r="U637" s="53"/>
      <c r="V637" s="57">
        <v>44610</v>
      </c>
      <c r="W637" s="53"/>
      <c r="X637" s="51"/>
      <c r="Y637" s="58"/>
      <c r="Z637" s="51"/>
      <c r="AA637" s="51"/>
      <c r="AB637" s="51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</row>
    <row r="638" spans="1:46" ht="45" customHeight="1">
      <c r="A638" s="12" t="s">
        <v>5707</v>
      </c>
      <c r="B638" s="13" t="s">
        <v>5708</v>
      </c>
      <c r="C638" s="66" t="s">
        <v>5709</v>
      </c>
      <c r="D638" s="15" t="s">
        <v>1374</v>
      </c>
      <c r="E638" s="15" t="s">
        <v>5362</v>
      </c>
      <c r="F638" s="15" t="s">
        <v>111</v>
      </c>
      <c r="G638" s="15" t="s">
        <v>1376</v>
      </c>
      <c r="H638" s="15" t="s">
        <v>1377</v>
      </c>
      <c r="I638" s="154" t="s">
        <v>115</v>
      </c>
      <c r="J638" s="15" t="s">
        <v>5710</v>
      </c>
      <c r="K638" s="15" t="s">
        <v>1377</v>
      </c>
      <c r="L638" s="15" t="s">
        <v>115</v>
      </c>
      <c r="M638" s="114" t="s">
        <v>1380</v>
      </c>
      <c r="N638" s="155" t="s">
        <v>5711</v>
      </c>
      <c r="O638" s="13"/>
      <c r="P638" s="15" t="s">
        <v>94</v>
      </c>
      <c r="Q638" s="17" t="s">
        <v>5712</v>
      </c>
      <c r="R638" s="18">
        <v>1372.27</v>
      </c>
      <c r="S638" s="19">
        <f t="shared" si="5"/>
        <v>222307.74</v>
      </c>
      <c r="T638" s="12" t="s">
        <v>198</v>
      </c>
      <c r="U638" s="15"/>
      <c r="V638" s="19">
        <v>215940</v>
      </c>
      <c r="W638" s="15"/>
      <c r="X638" s="13"/>
      <c r="Y638" s="20"/>
      <c r="Z638" s="13"/>
      <c r="AA638" s="13"/>
      <c r="AB638" s="13"/>
      <c r="AC638" s="49" t="s">
        <v>130</v>
      </c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</row>
    <row r="639" spans="1:46" ht="45" customHeight="1">
      <c r="A639" s="12" t="s">
        <v>5713</v>
      </c>
      <c r="B639" s="13" t="s">
        <v>5714</v>
      </c>
      <c r="C639" s="14" t="s">
        <v>5715</v>
      </c>
      <c r="D639" s="15" t="s">
        <v>5716</v>
      </c>
      <c r="E639" s="15" t="s">
        <v>5717</v>
      </c>
      <c r="F639" s="15" t="s">
        <v>204</v>
      </c>
      <c r="G639" s="15" t="s">
        <v>5718</v>
      </c>
      <c r="H639" s="15" t="s">
        <v>3226</v>
      </c>
      <c r="I639" s="15" t="s">
        <v>38</v>
      </c>
      <c r="J639" s="15" t="s">
        <v>5718</v>
      </c>
      <c r="K639" s="15" t="s">
        <v>3226</v>
      </c>
      <c r="L639" s="15" t="s">
        <v>38</v>
      </c>
      <c r="M639" s="16" t="s">
        <v>5719</v>
      </c>
      <c r="N639" s="13">
        <v>2616716447</v>
      </c>
      <c r="O639" s="13"/>
      <c r="P639" s="15" t="s">
        <v>4479</v>
      </c>
      <c r="Q639" s="17" t="s">
        <v>5720</v>
      </c>
      <c r="R639" s="18">
        <v>81</v>
      </c>
      <c r="S639" s="19">
        <f t="shared" si="5"/>
        <v>13122</v>
      </c>
      <c r="T639" s="12" t="s">
        <v>46</v>
      </c>
      <c r="U639" s="15"/>
      <c r="V639" s="19">
        <v>44610</v>
      </c>
      <c r="W639" s="15"/>
      <c r="X639" s="13"/>
      <c r="Y639" s="20"/>
      <c r="Z639" s="13"/>
      <c r="AA639" s="13">
        <v>4672852</v>
      </c>
      <c r="AB639" s="13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</row>
    <row r="640" spans="1:46" ht="45" customHeight="1">
      <c r="A640" s="12" t="s">
        <v>5721</v>
      </c>
      <c r="B640" s="13" t="s">
        <v>5722</v>
      </c>
      <c r="C640" s="14" t="s">
        <v>5723</v>
      </c>
      <c r="D640" s="15" t="s">
        <v>5724</v>
      </c>
      <c r="E640" s="15" t="s">
        <v>5725</v>
      </c>
      <c r="F640" s="15" t="s">
        <v>111</v>
      </c>
      <c r="G640" s="15" t="s">
        <v>5726</v>
      </c>
      <c r="H640" s="15" t="s">
        <v>2558</v>
      </c>
      <c r="I640" s="15" t="s">
        <v>80</v>
      </c>
      <c r="J640" s="15" t="s">
        <v>5726</v>
      </c>
      <c r="K640" s="15" t="s">
        <v>2558</v>
      </c>
      <c r="L640" s="15" t="s">
        <v>80</v>
      </c>
      <c r="M640" s="46" t="s">
        <v>5727</v>
      </c>
      <c r="N640" s="13" t="s">
        <v>5728</v>
      </c>
      <c r="O640" s="13"/>
      <c r="P640" s="15" t="s">
        <v>94</v>
      </c>
      <c r="Q640" s="17" t="s">
        <v>5729</v>
      </c>
      <c r="R640" s="18">
        <v>199</v>
      </c>
      <c r="S640" s="19">
        <f t="shared" si="5"/>
        <v>32238</v>
      </c>
      <c r="T640" s="12" t="s">
        <v>46</v>
      </c>
      <c r="U640" s="158"/>
      <c r="V640" s="19">
        <v>44610</v>
      </c>
      <c r="W640" s="158" t="s">
        <v>71</v>
      </c>
      <c r="X640" s="159">
        <v>1042709</v>
      </c>
      <c r="Y640" s="13">
        <v>3108313</v>
      </c>
      <c r="Z640" s="159">
        <v>3883737</v>
      </c>
      <c r="AA640" s="160">
        <v>4715892</v>
      </c>
      <c r="AB640" s="159"/>
      <c r="AC640" s="15">
        <v>5590798</v>
      </c>
      <c r="AD640" s="158"/>
      <c r="AE640" s="158"/>
      <c r="AF640" s="158"/>
      <c r="AG640" s="158"/>
      <c r="AH640" s="158"/>
      <c r="AI640" s="158"/>
      <c r="AJ640" s="158"/>
      <c r="AK640" s="158"/>
      <c r="AL640" s="158"/>
      <c r="AM640" s="158"/>
      <c r="AN640" s="158"/>
      <c r="AO640" s="158"/>
      <c r="AP640" s="158"/>
      <c r="AQ640" s="158"/>
      <c r="AR640" s="158"/>
      <c r="AS640" s="158"/>
      <c r="AT640" s="158"/>
    </row>
    <row r="641" spans="1:46" ht="45" customHeight="1">
      <c r="A641" s="50" t="s">
        <v>5730</v>
      </c>
      <c r="B641" s="51" t="s">
        <v>5731</v>
      </c>
      <c r="C641" s="52" t="s">
        <v>5732</v>
      </c>
      <c r="D641" s="53" t="s">
        <v>5733</v>
      </c>
      <c r="E641" s="53" t="s">
        <v>5734</v>
      </c>
      <c r="F641" s="53" t="s">
        <v>542</v>
      </c>
      <c r="G641" s="53" t="s">
        <v>5735</v>
      </c>
      <c r="H641" s="53" t="s">
        <v>5736</v>
      </c>
      <c r="I641" s="53" t="s">
        <v>38</v>
      </c>
      <c r="J641" s="53" t="s">
        <v>5737</v>
      </c>
      <c r="K641" s="53" t="s">
        <v>5736</v>
      </c>
      <c r="L641" s="53" t="s">
        <v>38</v>
      </c>
      <c r="M641" s="68"/>
      <c r="N641" s="51">
        <v>4203609</v>
      </c>
      <c r="O641" s="51"/>
      <c r="P641" s="53" t="s">
        <v>117</v>
      </c>
      <c r="Q641" s="55" t="s">
        <v>5738</v>
      </c>
      <c r="R641" s="56">
        <v>1475</v>
      </c>
      <c r="S641" s="57">
        <f t="shared" si="5"/>
        <v>238950</v>
      </c>
      <c r="T641" s="50" t="s">
        <v>198</v>
      </c>
      <c r="U641" s="53"/>
      <c r="V641" s="57">
        <v>215940</v>
      </c>
      <c r="W641" s="53"/>
      <c r="X641" s="51"/>
      <c r="Y641" s="58"/>
      <c r="Z641" s="51"/>
      <c r="AA641" s="51"/>
      <c r="AB641" s="51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</row>
    <row r="642" spans="1:46" ht="45" customHeight="1">
      <c r="A642" s="50" t="s">
        <v>5739</v>
      </c>
      <c r="B642" s="51" t="s">
        <v>5740</v>
      </c>
      <c r="C642" s="52" t="s">
        <v>5741</v>
      </c>
      <c r="D642" s="53" t="s">
        <v>5742</v>
      </c>
      <c r="E642" s="53" t="s">
        <v>5743</v>
      </c>
      <c r="F642" s="53" t="s">
        <v>181</v>
      </c>
      <c r="G642" s="53" t="s">
        <v>5744</v>
      </c>
      <c r="H642" s="53"/>
      <c r="I642" s="53" t="s">
        <v>115</v>
      </c>
      <c r="J642" s="53" t="s">
        <v>5744</v>
      </c>
      <c r="K642" s="53"/>
      <c r="L642" s="53" t="s">
        <v>115</v>
      </c>
      <c r="M642" s="68"/>
      <c r="N642" s="51"/>
      <c r="O642" s="51"/>
      <c r="P642" s="53" t="s">
        <v>44</v>
      </c>
      <c r="Q642" s="55" t="s">
        <v>5745</v>
      </c>
      <c r="R642" s="56" t="s">
        <v>5746</v>
      </c>
      <c r="S642" s="57" t="e">
        <f t="shared" si="5"/>
        <v>#VALUE!</v>
      </c>
      <c r="T642" s="50" t="s">
        <v>5746</v>
      </c>
      <c r="U642" s="53"/>
      <c r="V642" s="57">
        <v>6300</v>
      </c>
      <c r="W642" s="53"/>
      <c r="X642" s="51"/>
      <c r="Y642" s="58"/>
      <c r="Z642" s="51"/>
      <c r="AA642" s="51"/>
      <c r="AB642" s="51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</row>
    <row r="643" spans="1:46" ht="45" customHeight="1">
      <c r="A643" s="12" t="s">
        <v>5747</v>
      </c>
      <c r="B643" s="13" t="s">
        <v>5748</v>
      </c>
      <c r="C643" s="66" t="s">
        <v>5749</v>
      </c>
      <c r="D643" s="15" t="s">
        <v>5750</v>
      </c>
      <c r="E643" s="15" t="s">
        <v>5751</v>
      </c>
      <c r="F643" s="15" t="s">
        <v>181</v>
      </c>
      <c r="G643" s="15" t="s">
        <v>5752</v>
      </c>
      <c r="H643" s="15"/>
      <c r="I643" s="15" t="s">
        <v>149</v>
      </c>
      <c r="J643" s="15" t="s">
        <v>5752</v>
      </c>
      <c r="K643" s="15"/>
      <c r="L643" s="15" t="s">
        <v>149</v>
      </c>
      <c r="M643" s="46" t="s">
        <v>5753</v>
      </c>
      <c r="N643" s="13">
        <v>2613476085</v>
      </c>
      <c r="O643" s="13"/>
      <c r="P643" s="15" t="s">
        <v>94</v>
      </c>
      <c r="Q643" s="17" t="s">
        <v>5754</v>
      </c>
      <c r="R643" s="18">
        <v>64</v>
      </c>
      <c r="S643" s="19">
        <f t="shared" si="5"/>
        <v>10368</v>
      </c>
      <c r="T643" s="12" t="s">
        <v>46</v>
      </c>
      <c r="U643" s="15"/>
      <c r="V643" s="19">
        <v>44610</v>
      </c>
      <c r="W643" s="49" t="s">
        <v>47</v>
      </c>
      <c r="X643" s="13">
        <v>1118106</v>
      </c>
      <c r="Y643" s="20"/>
      <c r="Z643" s="13"/>
      <c r="AA643" s="13"/>
      <c r="AB643" s="13"/>
      <c r="AC643" s="49">
        <v>5632760</v>
      </c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</row>
    <row r="644" spans="1:46" ht="45" customHeight="1">
      <c r="A644" s="12" t="s">
        <v>5755</v>
      </c>
      <c r="B644" s="13" t="s">
        <v>5756</v>
      </c>
      <c r="C644" s="14" t="s">
        <v>5757</v>
      </c>
      <c r="D644" s="15" t="s">
        <v>5750</v>
      </c>
      <c r="E644" s="15" t="s">
        <v>5751</v>
      </c>
      <c r="F644" s="15" t="s">
        <v>181</v>
      </c>
      <c r="G644" s="15" t="s">
        <v>5758</v>
      </c>
      <c r="H644" s="15"/>
      <c r="I644" s="15" t="s">
        <v>149</v>
      </c>
      <c r="J644" s="15" t="s">
        <v>5758</v>
      </c>
      <c r="K644" s="15"/>
      <c r="L644" s="15" t="s">
        <v>149</v>
      </c>
      <c r="M644" s="46" t="s">
        <v>5759</v>
      </c>
      <c r="N644" s="13" t="s">
        <v>5760</v>
      </c>
      <c r="O644" s="13"/>
      <c r="P644" s="15" t="s">
        <v>94</v>
      </c>
      <c r="Q644" s="17" t="s">
        <v>5761</v>
      </c>
      <c r="R644" s="18">
        <v>62</v>
      </c>
      <c r="S644" s="19">
        <f t="shared" si="5"/>
        <v>10044</v>
      </c>
      <c r="T644" s="12" t="s">
        <v>46</v>
      </c>
      <c r="U644" s="15"/>
      <c r="V644" s="19">
        <v>44610</v>
      </c>
      <c r="W644" s="15"/>
      <c r="X644" s="13">
        <v>1119938</v>
      </c>
      <c r="Y644" s="20"/>
      <c r="Z644" s="13"/>
      <c r="AA644" s="13">
        <v>4755940</v>
      </c>
      <c r="AB644" s="13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</row>
    <row r="645" spans="1:46" ht="45" customHeight="1">
      <c r="A645" s="40" t="s">
        <v>5762</v>
      </c>
      <c r="B645" s="33" t="s">
        <v>5763</v>
      </c>
      <c r="C645" s="34" t="s">
        <v>5764</v>
      </c>
      <c r="D645" s="35" t="s">
        <v>1511</v>
      </c>
      <c r="E645" s="35" t="s">
        <v>5765</v>
      </c>
      <c r="F645" s="35" t="s">
        <v>111</v>
      </c>
      <c r="G645" s="35" t="s">
        <v>1513</v>
      </c>
      <c r="H645" s="35"/>
      <c r="I645" s="35" t="s">
        <v>149</v>
      </c>
      <c r="J645" s="35" t="s">
        <v>5766</v>
      </c>
      <c r="K645" s="35"/>
      <c r="L645" s="35" t="s">
        <v>149</v>
      </c>
      <c r="M645" s="36" t="s">
        <v>5767</v>
      </c>
      <c r="N645" s="33">
        <v>4249200</v>
      </c>
      <c r="O645" s="33"/>
      <c r="P645" s="35" t="s">
        <v>44</v>
      </c>
      <c r="Q645" s="37" t="s">
        <v>5768</v>
      </c>
      <c r="R645" s="38">
        <v>58</v>
      </c>
      <c r="S645" s="39">
        <f t="shared" si="5"/>
        <v>9396</v>
      </c>
      <c r="T645" s="40" t="s">
        <v>46</v>
      </c>
      <c r="U645" s="35"/>
      <c r="V645" s="39">
        <v>44610</v>
      </c>
      <c r="W645" s="35"/>
      <c r="X645" s="33"/>
      <c r="Y645" s="41"/>
      <c r="Z645" s="33"/>
      <c r="AA645" s="33"/>
      <c r="AB645" s="33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</row>
    <row r="646" spans="1:46" ht="45" customHeight="1">
      <c r="A646" s="12" t="s">
        <v>5769</v>
      </c>
      <c r="B646" s="13" t="s">
        <v>5770</v>
      </c>
      <c r="C646" s="14" t="s">
        <v>5771</v>
      </c>
      <c r="D646" s="15" t="s">
        <v>5772</v>
      </c>
      <c r="E646" s="15" t="s">
        <v>5773</v>
      </c>
      <c r="F646" s="15" t="s">
        <v>402</v>
      </c>
      <c r="G646" s="15" t="s">
        <v>5774</v>
      </c>
      <c r="H646" s="15" t="s">
        <v>630</v>
      </c>
      <c r="I646" s="15" t="s">
        <v>80</v>
      </c>
      <c r="J646" s="15" t="s">
        <v>5775</v>
      </c>
      <c r="K646" s="15" t="s">
        <v>5776</v>
      </c>
      <c r="L646" s="15" t="s">
        <v>80</v>
      </c>
      <c r="M646" s="16" t="s">
        <v>5777</v>
      </c>
      <c r="N646" s="13" t="s">
        <v>5778</v>
      </c>
      <c r="O646" s="13"/>
      <c r="P646" s="15" t="s">
        <v>117</v>
      </c>
      <c r="Q646" s="17" t="s">
        <v>5779</v>
      </c>
      <c r="R646" s="18">
        <v>346.27499999999998</v>
      </c>
      <c r="S646" s="19">
        <f t="shared" si="5"/>
        <v>56096.549999999996</v>
      </c>
      <c r="T646" s="12" t="s">
        <v>46</v>
      </c>
      <c r="U646" s="15"/>
      <c r="V646" s="19">
        <v>44610</v>
      </c>
      <c r="W646" s="15" t="s">
        <v>71</v>
      </c>
      <c r="X646" s="13">
        <v>1208193</v>
      </c>
      <c r="Y646" s="20"/>
      <c r="Z646" s="13"/>
      <c r="AA646" s="13">
        <v>4749187</v>
      </c>
      <c r="AB646" s="13"/>
      <c r="AC646" s="15">
        <v>5576105</v>
      </c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</row>
    <row r="647" spans="1:46" ht="45" customHeight="1">
      <c r="A647" s="12" t="s">
        <v>5780</v>
      </c>
      <c r="B647" s="13" t="s">
        <v>5781</v>
      </c>
      <c r="C647" s="66" t="s">
        <v>5782</v>
      </c>
      <c r="D647" s="15" t="s">
        <v>5783</v>
      </c>
      <c r="E647" s="15" t="s">
        <v>5784</v>
      </c>
      <c r="F647" s="15" t="s">
        <v>158</v>
      </c>
      <c r="G647" s="15" t="s">
        <v>5785</v>
      </c>
      <c r="H647" s="15" t="s">
        <v>125</v>
      </c>
      <c r="I647" s="15" t="s">
        <v>115</v>
      </c>
      <c r="J647" s="15" t="s">
        <v>5785</v>
      </c>
      <c r="K647" s="15" t="s">
        <v>125</v>
      </c>
      <c r="L647" s="15" t="s">
        <v>115</v>
      </c>
      <c r="M647" s="46" t="s">
        <v>5786</v>
      </c>
      <c r="N647" s="13">
        <v>4216583</v>
      </c>
      <c r="O647" s="13"/>
      <c r="P647" s="15" t="s">
        <v>94</v>
      </c>
      <c r="Q647" s="17" t="s">
        <v>5787</v>
      </c>
      <c r="R647" s="18">
        <v>1223</v>
      </c>
      <c r="S647" s="30">
        <f t="shared" si="5"/>
        <v>198126</v>
      </c>
      <c r="T647" s="12" t="s">
        <v>198</v>
      </c>
      <c r="U647" s="15"/>
      <c r="V647" s="30">
        <v>215940</v>
      </c>
      <c r="W647" s="15"/>
      <c r="X647" s="13"/>
      <c r="Y647" s="20"/>
      <c r="Z647" s="13"/>
      <c r="AA647" s="13"/>
      <c r="AB647" s="13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</row>
    <row r="648" spans="1:46" ht="45" customHeight="1">
      <c r="A648" s="12" t="s">
        <v>5788</v>
      </c>
      <c r="B648" s="13" t="s">
        <v>5789</v>
      </c>
      <c r="C648" s="66" t="s">
        <v>5790</v>
      </c>
      <c r="D648" s="15" t="s">
        <v>5791</v>
      </c>
      <c r="E648" s="15" t="s">
        <v>5792</v>
      </c>
      <c r="F648" s="15" t="s">
        <v>909</v>
      </c>
      <c r="G648" s="15" t="s">
        <v>5793</v>
      </c>
      <c r="H648" s="15" t="s">
        <v>1407</v>
      </c>
      <c r="I648" s="15" t="s">
        <v>80</v>
      </c>
      <c r="J648" s="15" t="s">
        <v>5793</v>
      </c>
      <c r="K648" s="15" t="s">
        <v>1407</v>
      </c>
      <c r="L648" s="15" t="s">
        <v>80</v>
      </c>
      <c r="M648" s="46" t="s">
        <v>5794</v>
      </c>
      <c r="N648" s="13">
        <v>2616944362</v>
      </c>
      <c r="O648" s="13"/>
      <c r="P648" s="15" t="s">
        <v>5795</v>
      </c>
      <c r="Q648" s="17" t="s">
        <v>5796</v>
      </c>
      <c r="R648" s="18">
        <v>307</v>
      </c>
      <c r="S648" s="19">
        <f t="shared" si="5"/>
        <v>49734</v>
      </c>
      <c r="T648" s="12" t="s">
        <v>46</v>
      </c>
      <c r="U648" s="15"/>
      <c r="V648" s="19">
        <v>44610</v>
      </c>
      <c r="W648" s="15"/>
      <c r="X648" s="13">
        <v>1137930</v>
      </c>
      <c r="Y648" s="20"/>
      <c r="Z648" s="13"/>
      <c r="AA648" s="13"/>
      <c r="AB648" s="13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</row>
    <row r="649" spans="1:46" ht="45" customHeight="1">
      <c r="A649" s="21" t="s">
        <v>5797</v>
      </c>
      <c r="B649" s="22" t="s">
        <v>5798</v>
      </c>
      <c r="C649" s="23" t="s">
        <v>5799</v>
      </c>
      <c r="D649" s="24" t="s">
        <v>5800</v>
      </c>
      <c r="E649" s="24" t="s">
        <v>5801</v>
      </c>
      <c r="F649" s="24" t="s">
        <v>111</v>
      </c>
      <c r="G649" s="24" t="s">
        <v>5802</v>
      </c>
      <c r="H649" s="24" t="s">
        <v>52</v>
      </c>
      <c r="I649" s="24" t="s">
        <v>53</v>
      </c>
      <c r="J649" s="24" t="s">
        <v>5802</v>
      </c>
      <c r="K649" s="24"/>
      <c r="L649" s="24" t="s">
        <v>206</v>
      </c>
      <c r="M649" s="70" t="s">
        <v>5803</v>
      </c>
      <c r="N649" s="22" t="s">
        <v>5804</v>
      </c>
      <c r="O649" s="22"/>
      <c r="P649" s="24" t="s">
        <v>94</v>
      </c>
      <c r="Q649" s="28" t="s">
        <v>5805</v>
      </c>
      <c r="R649" s="29">
        <v>667</v>
      </c>
      <c r="S649" s="30">
        <f t="shared" si="5"/>
        <v>108054</v>
      </c>
      <c r="T649" s="21" t="s">
        <v>252</v>
      </c>
      <c r="U649" s="24"/>
      <c r="V649" s="30">
        <v>123900</v>
      </c>
      <c r="W649" s="24"/>
      <c r="X649" s="22"/>
      <c r="Y649" s="31">
        <v>3112392</v>
      </c>
      <c r="Z649" s="22">
        <v>3865802</v>
      </c>
      <c r="AA649" s="22"/>
      <c r="AB649" s="22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</row>
    <row r="650" spans="1:46" ht="45" customHeight="1">
      <c r="A650" s="12" t="s">
        <v>5806</v>
      </c>
      <c r="B650" s="13" t="s">
        <v>5807</v>
      </c>
      <c r="C650" s="14" t="s">
        <v>5808</v>
      </c>
      <c r="D650" s="15" t="s">
        <v>5809</v>
      </c>
      <c r="E650" s="15" t="s">
        <v>5810</v>
      </c>
      <c r="F650" s="15" t="s">
        <v>62</v>
      </c>
      <c r="G650" s="15" t="s">
        <v>5811</v>
      </c>
      <c r="H650" s="15"/>
      <c r="I650" s="15" t="s">
        <v>41</v>
      </c>
      <c r="J650" s="15" t="s">
        <v>5811</v>
      </c>
      <c r="K650" s="15"/>
      <c r="L650" s="15" t="s">
        <v>41</v>
      </c>
      <c r="M650" s="16" t="s">
        <v>5812</v>
      </c>
      <c r="N650" s="13" t="s">
        <v>5813</v>
      </c>
      <c r="O650" s="13"/>
      <c r="P650" s="15" t="s">
        <v>94</v>
      </c>
      <c r="Q650" s="17" t="s">
        <v>5814</v>
      </c>
      <c r="R650" s="18">
        <v>402</v>
      </c>
      <c r="S650" s="19">
        <f t="shared" si="5"/>
        <v>65124</v>
      </c>
      <c r="T650" s="12" t="s">
        <v>46</v>
      </c>
      <c r="U650" s="15"/>
      <c r="V650" s="19">
        <v>44610</v>
      </c>
      <c r="W650" s="15"/>
      <c r="X650" s="13"/>
      <c r="Y650" s="20"/>
      <c r="Z650" s="13"/>
      <c r="AA650" s="13"/>
      <c r="AB650" s="13">
        <v>4906375</v>
      </c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</row>
    <row r="651" spans="1:46" ht="45" customHeight="1">
      <c r="A651" s="12" t="s">
        <v>5815</v>
      </c>
      <c r="B651" s="13" t="s">
        <v>5816</v>
      </c>
      <c r="C651" s="14" t="s">
        <v>5817</v>
      </c>
      <c r="D651" s="15" t="s">
        <v>5818</v>
      </c>
      <c r="E651" s="15" t="s">
        <v>5819</v>
      </c>
      <c r="F651" s="15" t="s">
        <v>402</v>
      </c>
      <c r="G651" s="15" t="s">
        <v>5820</v>
      </c>
      <c r="H651" s="15" t="s">
        <v>216</v>
      </c>
      <c r="I651" s="15" t="s">
        <v>149</v>
      </c>
      <c r="J651" s="15" t="s">
        <v>5820</v>
      </c>
      <c r="K651" s="15" t="s">
        <v>216</v>
      </c>
      <c r="L651" s="15" t="s">
        <v>149</v>
      </c>
      <c r="M651" s="46" t="s">
        <v>5821</v>
      </c>
      <c r="N651" s="13" t="s">
        <v>5822</v>
      </c>
      <c r="O651" s="13"/>
      <c r="P651" s="15" t="s">
        <v>44</v>
      </c>
      <c r="Q651" s="17" t="s">
        <v>5823</v>
      </c>
      <c r="R651" s="18">
        <v>107.886</v>
      </c>
      <c r="S651" s="19">
        <f t="shared" si="5"/>
        <v>17477.531999999999</v>
      </c>
      <c r="T651" s="12" t="s">
        <v>46</v>
      </c>
      <c r="U651" s="15"/>
      <c r="V651" s="19">
        <v>44610</v>
      </c>
      <c r="W651" s="49" t="s">
        <v>71</v>
      </c>
      <c r="X651" s="13">
        <v>1138988</v>
      </c>
      <c r="Y651" s="20"/>
      <c r="Z651" s="13">
        <v>3899753</v>
      </c>
      <c r="AA651" s="13"/>
      <c r="AB651" s="13"/>
      <c r="AC651" s="49">
        <v>5636297</v>
      </c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</row>
    <row r="652" spans="1:46" ht="45" customHeight="1">
      <c r="A652" s="12" t="s">
        <v>5824</v>
      </c>
      <c r="B652" s="13" t="s">
        <v>5825</v>
      </c>
      <c r="C652" s="14" t="s">
        <v>5826</v>
      </c>
      <c r="D652" s="15" t="s">
        <v>5827</v>
      </c>
      <c r="E652" s="15" t="s">
        <v>5828</v>
      </c>
      <c r="F652" s="15" t="s">
        <v>111</v>
      </c>
      <c r="G652" s="15" t="s">
        <v>5829</v>
      </c>
      <c r="H652" s="15"/>
      <c r="I652" s="15" t="s">
        <v>149</v>
      </c>
      <c r="J652" s="15" t="s">
        <v>5829</v>
      </c>
      <c r="K652" s="15"/>
      <c r="L652" s="15" t="s">
        <v>149</v>
      </c>
      <c r="M652" s="46" t="s">
        <v>1951</v>
      </c>
      <c r="N652" s="13">
        <v>4240400</v>
      </c>
      <c r="O652" s="13"/>
      <c r="P652" s="15" t="s">
        <v>94</v>
      </c>
      <c r="Q652" s="17" t="s">
        <v>5830</v>
      </c>
      <c r="R652" s="18">
        <v>163</v>
      </c>
      <c r="S652" s="19">
        <f t="shared" si="5"/>
        <v>26406</v>
      </c>
      <c r="T652" s="12" t="s">
        <v>46</v>
      </c>
      <c r="U652" s="15"/>
      <c r="V652" s="19">
        <v>44610</v>
      </c>
      <c r="W652" s="15" t="s">
        <v>71</v>
      </c>
      <c r="X652" s="13"/>
      <c r="Y652" s="20">
        <v>3120785</v>
      </c>
      <c r="Z652" s="13">
        <v>3903863</v>
      </c>
      <c r="AA652" s="13">
        <v>4753654</v>
      </c>
      <c r="AB652" s="13"/>
      <c r="AC652" s="15">
        <v>5612728</v>
      </c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</row>
    <row r="653" spans="1:46" ht="45" customHeight="1">
      <c r="A653" s="12" t="s">
        <v>5831</v>
      </c>
      <c r="B653" s="13" t="s">
        <v>5832</v>
      </c>
      <c r="C653" s="14" t="s">
        <v>5833</v>
      </c>
      <c r="D653" s="15" t="s">
        <v>5834</v>
      </c>
      <c r="E653" s="15" t="s">
        <v>5835</v>
      </c>
      <c r="F653" s="15" t="s">
        <v>111</v>
      </c>
      <c r="G653" s="15" t="s">
        <v>5836</v>
      </c>
      <c r="H653" s="15" t="s">
        <v>617</v>
      </c>
      <c r="I653" s="15" t="s">
        <v>38</v>
      </c>
      <c r="J653" s="15" t="s">
        <v>5836</v>
      </c>
      <c r="K653" s="15" t="s">
        <v>617</v>
      </c>
      <c r="L653" s="15" t="s">
        <v>38</v>
      </c>
      <c r="M653" s="16" t="s">
        <v>5837</v>
      </c>
      <c r="N653" s="13" t="s">
        <v>5838</v>
      </c>
      <c r="O653" s="13"/>
      <c r="P653" s="15" t="s">
        <v>94</v>
      </c>
      <c r="Q653" s="17" t="s">
        <v>5839</v>
      </c>
      <c r="R653" s="18">
        <v>147</v>
      </c>
      <c r="S653" s="19">
        <f t="shared" si="5"/>
        <v>23814</v>
      </c>
      <c r="T653" s="12" t="s">
        <v>46</v>
      </c>
      <c r="U653" s="15"/>
      <c r="V653" s="19">
        <v>44610</v>
      </c>
      <c r="W653" s="15" t="s">
        <v>71</v>
      </c>
      <c r="X653" s="13"/>
      <c r="Y653" s="20">
        <v>3106640</v>
      </c>
      <c r="Z653" s="13"/>
      <c r="AA653" s="13">
        <v>4742815</v>
      </c>
      <c r="AB653" s="13"/>
      <c r="AC653" s="111">
        <v>5612510</v>
      </c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</row>
    <row r="654" spans="1:46" ht="45" customHeight="1">
      <c r="A654" s="40" t="s">
        <v>5840</v>
      </c>
      <c r="B654" s="33" t="s">
        <v>5841</v>
      </c>
      <c r="C654" s="34" t="s">
        <v>5842</v>
      </c>
      <c r="D654" s="35" t="s">
        <v>5843</v>
      </c>
      <c r="E654" s="35" t="s">
        <v>5844</v>
      </c>
      <c r="F654" s="35" t="s">
        <v>111</v>
      </c>
      <c r="G654" s="35" t="s">
        <v>5845</v>
      </c>
      <c r="H654" s="35" t="s">
        <v>216</v>
      </c>
      <c r="I654" s="35" t="s">
        <v>149</v>
      </c>
      <c r="J654" s="35" t="s">
        <v>5845</v>
      </c>
      <c r="K654" s="35" t="s">
        <v>216</v>
      </c>
      <c r="L654" s="35" t="s">
        <v>149</v>
      </c>
      <c r="M654" s="136" t="s">
        <v>5846</v>
      </c>
      <c r="N654" s="33">
        <v>4521082</v>
      </c>
      <c r="O654" s="33"/>
      <c r="P654" s="35" t="s">
        <v>94</v>
      </c>
      <c r="Q654" s="37" t="s">
        <v>5847</v>
      </c>
      <c r="R654" s="38">
        <v>115</v>
      </c>
      <c r="S654" s="39">
        <f t="shared" si="5"/>
        <v>18630</v>
      </c>
      <c r="T654" s="40" t="s">
        <v>46</v>
      </c>
      <c r="U654" s="35"/>
      <c r="V654" s="39">
        <v>44610</v>
      </c>
      <c r="W654" s="35"/>
      <c r="X654" s="33"/>
      <c r="Y654" s="41"/>
      <c r="Z654" s="33"/>
      <c r="AA654" s="33"/>
      <c r="AB654" s="33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</row>
    <row r="655" spans="1:46" ht="45" customHeight="1">
      <c r="A655" s="12" t="s">
        <v>5848</v>
      </c>
      <c r="B655" s="13" t="s">
        <v>5849</v>
      </c>
      <c r="C655" s="139" t="s">
        <v>5850</v>
      </c>
      <c r="D655" s="15" t="s">
        <v>5851</v>
      </c>
      <c r="E655" s="15" t="s">
        <v>5852</v>
      </c>
      <c r="F655" s="15" t="s">
        <v>111</v>
      </c>
      <c r="G655" s="15" t="s">
        <v>5853</v>
      </c>
      <c r="H655" s="15"/>
      <c r="I655" s="15" t="s">
        <v>2691</v>
      </c>
      <c r="J655" s="15" t="s">
        <v>5854</v>
      </c>
      <c r="K655" s="15"/>
      <c r="L655" s="15" t="s">
        <v>321</v>
      </c>
      <c r="M655" s="46" t="s">
        <v>5855</v>
      </c>
      <c r="N655" s="13">
        <v>2634656735</v>
      </c>
      <c r="O655" s="13"/>
      <c r="P655" s="15" t="s">
        <v>44</v>
      </c>
      <c r="Q655" s="17" t="s">
        <v>5856</v>
      </c>
      <c r="R655" s="18">
        <v>30</v>
      </c>
      <c r="S655" s="19">
        <f t="shared" si="5"/>
        <v>4860</v>
      </c>
      <c r="T655" s="12" t="s">
        <v>46</v>
      </c>
      <c r="U655" s="15"/>
      <c r="V655" s="19">
        <v>44610</v>
      </c>
      <c r="W655" s="15"/>
      <c r="X655" s="13">
        <v>1042661</v>
      </c>
      <c r="Y655" s="20">
        <v>3113884</v>
      </c>
      <c r="Z655" s="13">
        <v>3822126</v>
      </c>
      <c r="AA655" s="13">
        <v>4906364</v>
      </c>
      <c r="AB655" s="13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</row>
    <row r="656" spans="1:46" ht="45" customHeight="1">
      <c r="A656" s="12" t="s">
        <v>5857</v>
      </c>
      <c r="B656" s="13" t="s">
        <v>5858</v>
      </c>
      <c r="C656" s="14" t="s">
        <v>5859</v>
      </c>
      <c r="D656" s="15" t="s">
        <v>5860</v>
      </c>
      <c r="E656" s="15" t="s">
        <v>1097</v>
      </c>
      <c r="F656" s="15" t="s">
        <v>402</v>
      </c>
      <c r="G656" s="15" t="s">
        <v>5861</v>
      </c>
      <c r="H656" s="15" t="s">
        <v>52</v>
      </c>
      <c r="I656" s="15" t="s">
        <v>53</v>
      </c>
      <c r="J656" s="15" t="s">
        <v>5862</v>
      </c>
      <c r="K656" s="15"/>
      <c r="L656" s="15" t="s">
        <v>206</v>
      </c>
      <c r="M656" s="16" t="s">
        <v>5863</v>
      </c>
      <c r="N656" s="13" t="s">
        <v>5864</v>
      </c>
      <c r="O656" s="13"/>
      <c r="P656" s="15" t="s">
        <v>1870</v>
      </c>
      <c r="Q656" s="17" t="s">
        <v>5865</v>
      </c>
      <c r="R656" s="18">
        <v>506</v>
      </c>
      <c r="S656" s="19">
        <f t="shared" si="5"/>
        <v>81972</v>
      </c>
      <c r="T656" s="12" t="s">
        <v>46</v>
      </c>
      <c r="U656" s="15"/>
      <c r="V656" s="19">
        <v>44610</v>
      </c>
      <c r="W656" s="15"/>
      <c r="X656" s="13"/>
      <c r="Y656" s="20"/>
      <c r="Z656" s="13"/>
      <c r="AA656" s="13"/>
      <c r="AB656" s="13">
        <v>4836138</v>
      </c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</row>
    <row r="657" spans="1:46" ht="45" customHeight="1">
      <c r="A657" s="12" t="s">
        <v>5866</v>
      </c>
      <c r="B657" s="13" t="s">
        <v>5867</v>
      </c>
      <c r="C657" s="14" t="s">
        <v>5868</v>
      </c>
      <c r="D657" s="15" t="s">
        <v>5869</v>
      </c>
      <c r="E657" s="15" t="s">
        <v>180</v>
      </c>
      <c r="F657" s="15" t="s">
        <v>181</v>
      </c>
      <c r="G657" s="15" t="s">
        <v>5870</v>
      </c>
      <c r="H657" s="15" t="s">
        <v>1212</v>
      </c>
      <c r="I657" s="15" t="s">
        <v>80</v>
      </c>
      <c r="J657" s="15" t="s">
        <v>5870</v>
      </c>
      <c r="K657" s="15" t="s">
        <v>1212</v>
      </c>
      <c r="L657" s="15" t="s">
        <v>80</v>
      </c>
      <c r="M657" s="46" t="s">
        <v>5871</v>
      </c>
      <c r="N657" s="13" t="s">
        <v>5872</v>
      </c>
      <c r="O657" s="13"/>
      <c r="P657" s="15" t="s">
        <v>94</v>
      </c>
      <c r="Q657" s="17" t="s">
        <v>5873</v>
      </c>
      <c r="R657" s="18">
        <v>402</v>
      </c>
      <c r="S657" s="19">
        <f t="shared" si="5"/>
        <v>65124</v>
      </c>
      <c r="T657" s="12" t="s">
        <v>46</v>
      </c>
      <c r="U657" s="15"/>
      <c r="V657" s="19">
        <v>44610</v>
      </c>
      <c r="W657" s="15" t="s">
        <v>71</v>
      </c>
      <c r="X657" s="13"/>
      <c r="Y657" s="20">
        <v>3085002</v>
      </c>
      <c r="Z657" s="13">
        <v>3888064</v>
      </c>
      <c r="AA657" s="13">
        <v>4698017</v>
      </c>
      <c r="AB657" s="13"/>
      <c r="AC657" s="15">
        <v>5504627</v>
      </c>
      <c r="AD657" s="49">
        <v>6477139</v>
      </c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</row>
    <row r="658" spans="1:46" ht="45" customHeight="1">
      <c r="A658" s="79" t="s">
        <v>5874</v>
      </c>
      <c r="B658" s="80" t="s">
        <v>5875</v>
      </c>
      <c r="C658" s="81" t="s">
        <v>5876</v>
      </c>
      <c r="D658" s="82" t="s">
        <v>5877</v>
      </c>
      <c r="E658" s="82" t="s">
        <v>5878</v>
      </c>
      <c r="F658" s="82" t="s">
        <v>966</v>
      </c>
      <c r="G658" s="82" t="s">
        <v>5879</v>
      </c>
      <c r="H658" s="82"/>
      <c r="I658" s="82" t="s">
        <v>149</v>
      </c>
      <c r="J658" s="82" t="s">
        <v>5880</v>
      </c>
      <c r="K658" s="82" t="s">
        <v>40</v>
      </c>
      <c r="L658" s="82" t="s">
        <v>41</v>
      </c>
      <c r="M658" s="91" t="s">
        <v>5881</v>
      </c>
      <c r="N658" s="80" t="s">
        <v>5882</v>
      </c>
      <c r="O658" s="80"/>
      <c r="P658" s="82" t="s">
        <v>5883</v>
      </c>
      <c r="Q658" s="84" t="s">
        <v>5884</v>
      </c>
      <c r="R658" s="85" t="s">
        <v>770</v>
      </c>
      <c r="S658" s="86" t="e">
        <f t="shared" si="5"/>
        <v>#VALUE!</v>
      </c>
      <c r="T658" s="87" t="s">
        <v>770</v>
      </c>
      <c r="U658" s="82"/>
      <c r="V658" s="86">
        <v>0</v>
      </c>
      <c r="W658" s="82" t="s">
        <v>71</v>
      </c>
      <c r="X658" s="80">
        <v>1026003</v>
      </c>
      <c r="Y658" s="88">
        <v>3089538</v>
      </c>
      <c r="Z658" s="80">
        <v>3828962</v>
      </c>
      <c r="AA658" s="80">
        <v>4751895</v>
      </c>
      <c r="AB658" s="80"/>
      <c r="AC658" s="82">
        <v>5516611</v>
      </c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</row>
    <row r="659" spans="1:46" ht="51" customHeight="1">
      <c r="A659" s="12" t="s">
        <v>5885</v>
      </c>
      <c r="B659" s="13" t="s">
        <v>5886</v>
      </c>
      <c r="C659" s="14" t="s">
        <v>5887</v>
      </c>
      <c r="D659" s="15" t="s">
        <v>5888</v>
      </c>
      <c r="E659" s="15" t="s">
        <v>5889</v>
      </c>
      <c r="F659" s="15" t="s">
        <v>181</v>
      </c>
      <c r="G659" s="15" t="s">
        <v>5890</v>
      </c>
      <c r="H659" s="15" t="s">
        <v>125</v>
      </c>
      <c r="I659" s="15" t="s">
        <v>115</v>
      </c>
      <c r="J659" s="15" t="s">
        <v>5890</v>
      </c>
      <c r="K659" s="15" t="s">
        <v>125</v>
      </c>
      <c r="L659" s="15" t="s">
        <v>115</v>
      </c>
      <c r="M659" s="16" t="s">
        <v>5891</v>
      </c>
      <c r="N659" s="13" t="s">
        <v>5892</v>
      </c>
      <c r="O659" s="13"/>
      <c r="P659" s="15" t="s">
        <v>94</v>
      </c>
      <c r="Q659" s="17" t="s">
        <v>5893</v>
      </c>
      <c r="R659" s="18">
        <v>55</v>
      </c>
      <c r="S659" s="19">
        <f t="shared" si="5"/>
        <v>8910</v>
      </c>
      <c r="T659" s="12" t="s">
        <v>46</v>
      </c>
      <c r="U659" s="15"/>
      <c r="V659" s="19">
        <v>44610</v>
      </c>
      <c r="W659" s="15" t="s">
        <v>71</v>
      </c>
      <c r="X659" s="13"/>
      <c r="Y659" s="20">
        <v>3113757</v>
      </c>
      <c r="Z659" s="13">
        <v>3905106</v>
      </c>
      <c r="AA659" s="13">
        <v>4749553</v>
      </c>
      <c r="AB659" s="13"/>
      <c r="AC659" s="15">
        <v>5600391</v>
      </c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</row>
    <row r="660" spans="1:46" ht="45" customHeight="1">
      <c r="A660" s="12" t="s">
        <v>5894</v>
      </c>
      <c r="B660" s="13" t="s">
        <v>5895</v>
      </c>
      <c r="C660" s="14" t="s">
        <v>5896</v>
      </c>
      <c r="D660" s="15" t="s">
        <v>5897</v>
      </c>
      <c r="E660" s="15" t="s">
        <v>5898</v>
      </c>
      <c r="F660" s="15" t="s">
        <v>111</v>
      </c>
      <c r="G660" s="15" t="s">
        <v>5899</v>
      </c>
      <c r="H660" s="15" t="s">
        <v>671</v>
      </c>
      <c r="I660" s="15" t="s">
        <v>149</v>
      </c>
      <c r="J660" s="15" t="s">
        <v>5899</v>
      </c>
      <c r="K660" s="15" t="s">
        <v>671</v>
      </c>
      <c r="L660" s="15" t="s">
        <v>149</v>
      </c>
      <c r="M660" s="46" t="s">
        <v>5900</v>
      </c>
      <c r="N660" s="13" t="s">
        <v>5901</v>
      </c>
      <c r="O660" s="13"/>
      <c r="P660" s="15" t="s">
        <v>94</v>
      </c>
      <c r="Q660" s="17" t="s">
        <v>5902</v>
      </c>
      <c r="R660" s="18">
        <v>56</v>
      </c>
      <c r="S660" s="19">
        <f t="shared" si="5"/>
        <v>9072</v>
      </c>
      <c r="T660" s="12" t="s">
        <v>46</v>
      </c>
      <c r="U660" s="15"/>
      <c r="V660" s="19">
        <v>44610</v>
      </c>
      <c r="W660" s="15" t="s">
        <v>71</v>
      </c>
      <c r="X660" s="13"/>
      <c r="Y660" s="20"/>
      <c r="Z660" s="13">
        <v>3881959</v>
      </c>
      <c r="AA660" s="13">
        <v>4650762</v>
      </c>
      <c r="AB660" s="13"/>
      <c r="AC660" s="15">
        <v>5596028</v>
      </c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</row>
    <row r="661" spans="1:46" ht="45" customHeight="1">
      <c r="A661" s="12" t="s">
        <v>5903</v>
      </c>
      <c r="B661" s="13" t="s">
        <v>5904</v>
      </c>
      <c r="C661" s="14" t="s">
        <v>5905</v>
      </c>
      <c r="D661" s="15" t="s">
        <v>5906</v>
      </c>
      <c r="E661" s="15" t="s">
        <v>5907</v>
      </c>
      <c r="F661" s="15" t="s">
        <v>181</v>
      </c>
      <c r="G661" s="15" t="s">
        <v>5908</v>
      </c>
      <c r="H661" s="15"/>
      <c r="I661" s="15" t="s">
        <v>115</v>
      </c>
      <c r="J661" s="15" t="s">
        <v>5908</v>
      </c>
      <c r="K661" s="15"/>
      <c r="L661" s="15" t="s">
        <v>115</v>
      </c>
      <c r="M661" s="16" t="s">
        <v>5909</v>
      </c>
      <c r="N661" s="13" t="s">
        <v>5910</v>
      </c>
      <c r="O661" s="13"/>
      <c r="P661" s="15" t="s">
        <v>94</v>
      </c>
      <c r="Q661" s="17" t="s">
        <v>5911</v>
      </c>
      <c r="R661" s="18">
        <v>344.41800000000001</v>
      </c>
      <c r="S661" s="19">
        <f t="shared" si="5"/>
        <v>55795.716</v>
      </c>
      <c r="T661" s="12" t="s">
        <v>46</v>
      </c>
      <c r="U661" s="15"/>
      <c r="V661" s="19">
        <v>44610</v>
      </c>
      <c r="W661" s="15"/>
      <c r="X661" s="13">
        <v>1137331</v>
      </c>
      <c r="Y661" s="20"/>
      <c r="Z661" s="13"/>
      <c r="AA661" s="13">
        <v>4753693</v>
      </c>
      <c r="AB661" s="13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</row>
    <row r="662" spans="1:46" ht="45" customHeight="1">
      <c r="A662" s="21" t="s">
        <v>5912</v>
      </c>
      <c r="B662" s="22" t="s">
        <v>5913</v>
      </c>
      <c r="C662" s="23" t="s">
        <v>5444</v>
      </c>
      <c r="D662" s="24" t="s">
        <v>4685</v>
      </c>
      <c r="E662" s="24" t="s">
        <v>4686</v>
      </c>
      <c r="F662" s="24" t="s">
        <v>181</v>
      </c>
      <c r="G662" s="24" t="s">
        <v>5914</v>
      </c>
      <c r="H662" s="24" t="s">
        <v>5915</v>
      </c>
      <c r="I662" s="24" t="s">
        <v>5916</v>
      </c>
      <c r="J662" s="24" t="s">
        <v>5917</v>
      </c>
      <c r="K662" s="24"/>
      <c r="L662" s="24" t="s">
        <v>4133</v>
      </c>
      <c r="M662" s="59" t="s">
        <v>5918</v>
      </c>
      <c r="N662" s="22" t="s">
        <v>5919</v>
      </c>
      <c r="O662" s="22"/>
      <c r="P662" s="24" t="s">
        <v>94</v>
      </c>
      <c r="Q662" s="28" t="s">
        <v>5920</v>
      </c>
      <c r="R662" s="29">
        <v>814</v>
      </c>
      <c r="S662" s="30">
        <f t="shared" si="5"/>
        <v>131868</v>
      </c>
      <c r="T662" s="21" t="s">
        <v>252</v>
      </c>
      <c r="U662" s="24"/>
      <c r="V662" s="30">
        <v>123900</v>
      </c>
      <c r="W662" s="24" t="s">
        <v>71</v>
      </c>
      <c r="X662" s="22">
        <v>1023559</v>
      </c>
      <c r="Y662" s="31">
        <v>3094807</v>
      </c>
      <c r="Z662" s="22">
        <v>3836915</v>
      </c>
      <c r="AA662" s="22">
        <v>4629758</v>
      </c>
      <c r="AB662" s="22"/>
      <c r="AC662" s="24">
        <v>5532893</v>
      </c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</row>
    <row r="663" spans="1:46" ht="45" customHeight="1">
      <c r="A663" s="12" t="s">
        <v>5921</v>
      </c>
      <c r="B663" s="13" t="s">
        <v>5922</v>
      </c>
      <c r="C663" s="14" t="s">
        <v>5923</v>
      </c>
      <c r="D663" s="15" t="s">
        <v>5924</v>
      </c>
      <c r="E663" s="15" t="s">
        <v>5925</v>
      </c>
      <c r="F663" s="15" t="s">
        <v>111</v>
      </c>
      <c r="G663" s="15" t="s">
        <v>5926</v>
      </c>
      <c r="H663" s="15" t="s">
        <v>52</v>
      </c>
      <c r="I663" s="15" t="s">
        <v>53</v>
      </c>
      <c r="J663" s="15" t="s">
        <v>5926</v>
      </c>
      <c r="K663" s="15" t="s">
        <v>331</v>
      </c>
      <c r="L663" s="15" t="s">
        <v>4133</v>
      </c>
      <c r="M663" s="46" t="s">
        <v>3487</v>
      </c>
      <c r="N663" s="13">
        <v>261050927</v>
      </c>
      <c r="O663" s="13"/>
      <c r="P663" s="15" t="s">
        <v>5927</v>
      </c>
      <c r="Q663" s="17" t="s">
        <v>5928</v>
      </c>
      <c r="R663" s="18">
        <v>486</v>
      </c>
      <c r="S663" s="19">
        <f t="shared" si="5"/>
        <v>78732</v>
      </c>
      <c r="T663" s="12" t="s">
        <v>46</v>
      </c>
      <c r="U663" s="15"/>
      <c r="V663" s="19">
        <v>44610</v>
      </c>
      <c r="W663" s="15" t="s">
        <v>71</v>
      </c>
      <c r="X663" s="13">
        <v>1136316</v>
      </c>
      <c r="Y663" s="20">
        <v>3121428</v>
      </c>
      <c r="Z663" s="13">
        <v>3897236</v>
      </c>
      <c r="AA663" s="13">
        <v>4735214</v>
      </c>
      <c r="AB663" s="13"/>
      <c r="AC663" s="111">
        <v>5578112</v>
      </c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</row>
    <row r="664" spans="1:46" ht="38.25" customHeight="1">
      <c r="A664" s="12" t="s">
        <v>5929</v>
      </c>
      <c r="B664" s="13" t="s">
        <v>5930</v>
      </c>
      <c r="C664" s="14" t="s">
        <v>5931</v>
      </c>
      <c r="D664" s="15" t="s">
        <v>992</v>
      </c>
      <c r="E664" s="15" t="s">
        <v>5932</v>
      </c>
      <c r="F664" s="15" t="s">
        <v>181</v>
      </c>
      <c r="G664" s="15" t="s">
        <v>4848</v>
      </c>
      <c r="H664" s="15" t="s">
        <v>125</v>
      </c>
      <c r="I664" s="15" t="s">
        <v>115</v>
      </c>
      <c r="J664" s="15" t="s">
        <v>5933</v>
      </c>
      <c r="K664" s="15" t="s">
        <v>125</v>
      </c>
      <c r="L664" s="15" t="s">
        <v>115</v>
      </c>
      <c r="M664" s="16" t="s">
        <v>995</v>
      </c>
      <c r="N664" s="13">
        <v>2614543175</v>
      </c>
      <c r="O664" s="13"/>
      <c r="P664" s="15" t="s">
        <v>94</v>
      </c>
      <c r="Q664" s="17" t="s">
        <v>5934</v>
      </c>
      <c r="R664" s="18">
        <v>472</v>
      </c>
      <c r="S664" s="19">
        <f t="shared" si="5"/>
        <v>76464</v>
      </c>
      <c r="T664" s="12" t="s">
        <v>46</v>
      </c>
      <c r="U664" s="15"/>
      <c r="V664" s="19">
        <v>44610</v>
      </c>
      <c r="W664" s="15" t="s">
        <v>71</v>
      </c>
      <c r="X664" s="13"/>
      <c r="Y664" s="20"/>
      <c r="Z664" s="13"/>
      <c r="AA664" s="13"/>
      <c r="AB664" s="13">
        <v>4906345</v>
      </c>
      <c r="AC664" s="15">
        <v>5620037</v>
      </c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</row>
    <row r="665" spans="1:46" ht="45" customHeight="1">
      <c r="A665" s="12" t="s">
        <v>5935</v>
      </c>
      <c r="B665" s="13" t="s">
        <v>5936</v>
      </c>
      <c r="C665" s="14" t="s">
        <v>5937</v>
      </c>
      <c r="D665" s="15" t="s">
        <v>5938</v>
      </c>
      <c r="E665" s="15" t="s">
        <v>5939</v>
      </c>
      <c r="F665" s="15" t="s">
        <v>111</v>
      </c>
      <c r="G665" s="15" t="s">
        <v>5940</v>
      </c>
      <c r="H665" s="15" t="s">
        <v>2043</v>
      </c>
      <c r="I665" s="15" t="s">
        <v>149</v>
      </c>
      <c r="J665" s="15" t="s">
        <v>5940</v>
      </c>
      <c r="K665" s="15" t="s">
        <v>2043</v>
      </c>
      <c r="L665" s="15" t="s">
        <v>149</v>
      </c>
      <c r="M665" s="16" t="s">
        <v>5941</v>
      </c>
      <c r="N665" s="13" t="s">
        <v>5942</v>
      </c>
      <c r="O665" s="13"/>
      <c r="P665" s="15" t="s">
        <v>44</v>
      </c>
      <c r="Q665" s="17" t="s">
        <v>5943</v>
      </c>
      <c r="R665" s="18">
        <v>38</v>
      </c>
      <c r="S665" s="19">
        <f t="shared" si="5"/>
        <v>6156</v>
      </c>
      <c r="T665" s="12" t="s">
        <v>46</v>
      </c>
      <c r="U665" s="15"/>
      <c r="V665" s="19">
        <v>44610</v>
      </c>
      <c r="W665" s="15" t="s">
        <v>71</v>
      </c>
      <c r="X665" s="13"/>
      <c r="Y665" s="20"/>
      <c r="Z665" s="13"/>
      <c r="AA665" s="13"/>
      <c r="AB665" s="13">
        <v>4889523</v>
      </c>
      <c r="AC665" s="15">
        <v>5531795</v>
      </c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</row>
    <row r="666" spans="1:46" ht="45" customHeight="1">
      <c r="A666" s="50" t="s">
        <v>5944</v>
      </c>
      <c r="B666" s="51" t="s">
        <v>5945</v>
      </c>
      <c r="C666" s="52" t="s">
        <v>5946</v>
      </c>
      <c r="D666" s="53" t="s">
        <v>5947</v>
      </c>
      <c r="E666" s="53" t="s">
        <v>1809</v>
      </c>
      <c r="F666" s="53" t="s">
        <v>181</v>
      </c>
      <c r="G666" s="53" t="s">
        <v>5948</v>
      </c>
      <c r="H666" s="53" t="s">
        <v>2043</v>
      </c>
      <c r="I666" s="53" t="s">
        <v>149</v>
      </c>
      <c r="J666" s="53" t="s">
        <v>5948</v>
      </c>
      <c r="K666" s="53" t="s">
        <v>2043</v>
      </c>
      <c r="L666" s="53" t="s">
        <v>149</v>
      </c>
      <c r="M666" s="68"/>
      <c r="N666" s="51">
        <v>155672028</v>
      </c>
      <c r="O666" s="51"/>
      <c r="P666" s="53" t="s">
        <v>44</v>
      </c>
      <c r="Q666" s="55" t="s">
        <v>5949</v>
      </c>
      <c r="R666" s="56">
        <v>64</v>
      </c>
      <c r="S666" s="57">
        <f t="shared" si="5"/>
        <v>10368</v>
      </c>
      <c r="T666" s="50" t="s">
        <v>46</v>
      </c>
      <c r="U666" s="53"/>
      <c r="V666" s="57">
        <v>44610</v>
      </c>
      <c r="W666" s="53"/>
      <c r="X666" s="51"/>
      <c r="Y666" s="58"/>
      <c r="Z666" s="51"/>
      <c r="AA666" s="51"/>
      <c r="AB666" s="51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</row>
    <row r="667" spans="1:46" ht="51" customHeight="1">
      <c r="A667" s="12" t="s">
        <v>5950</v>
      </c>
      <c r="B667" s="13" t="s">
        <v>5951</v>
      </c>
      <c r="C667" s="14" t="s">
        <v>5952</v>
      </c>
      <c r="D667" s="15" t="s">
        <v>5953</v>
      </c>
      <c r="E667" s="15" t="s">
        <v>3583</v>
      </c>
      <c r="F667" s="15" t="s">
        <v>111</v>
      </c>
      <c r="G667" s="15" t="s">
        <v>5954</v>
      </c>
      <c r="H667" s="15" t="s">
        <v>447</v>
      </c>
      <c r="I667" s="15" t="s">
        <v>38</v>
      </c>
      <c r="J667" s="15" t="s">
        <v>5954</v>
      </c>
      <c r="K667" s="15" t="s">
        <v>447</v>
      </c>
      <c r="L667" s="15" t="s">
        <v>38</v>
      </c>
      <c r="M667" s="46" t="s">
        <v>5955</v>
      </c>
      <c r="N667" s="13" t="s">
        <v>5956</v>
      </c>
      <c r="O667" s="13"/>
      <c r="P667" s="15" t="s">
        <v>117</v>
      </c>
      <c r="Q667" s="17" t="s">
        <v>5957</v>
      </c>
      <c r="R667" s="18">
        <v>242</v>
      </c>
      <c r="S667" s="19">
        <f t="shared" si="5"/>
        <v>39204</v>
      </c>
      <c r="T667" s="12" t="s">
        <v>46</v>
      </c>
      <c r="U667" s="15"/>
      <c r="V667" s="19">
        <v>44610</v>
      </c>
      <c r="W667" s="15"/>
      <c r="X667" s="13"/>
      <c r="Y667" s="20"/>
      <c r="Z667" s="13">
        <v>3904617</v>
      </c>
      <c r="AA667" s="13">
        <v>4734559</v>
      </c>
      <c r="AB667" s="13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</row>
    <row r="668" spans="1:46" ht="45" customHeight="1">
      <c r="A668" s="21" t="s">
        <v>5958</v>
      </c>
      <c r="B668" s="22" t="s">
        <v>5959</v>
      </c>
      <c r="C668" s="23" t="s">
        <v>5960</v>
      </c>
      <c r="D668" s="24" t="s">
        <v>5961</v>
      </c>
      <c r="E668" s="24" t="s">
        <v>5962</v>
      </c>
      <c r="F668" s="24" t="s">
        <v>77</v>
      </c>
      <c r="G668" s="24" t="s">
        <v>5963</v>
      </c>
      <c r="H668" s="24"/>
      <c r="I668" s="24" t="s">
        <v>115</v>
      </c>
      <c r="J668" s="24" t="s">
        <v>5964</v>
      </c>
      <c r="K668" s="24"/>
      <c r="L668" s="24" t="s">
        <v>4143</v>
      </c>
      <c r="M668" s="25" t="s">
        <v>5965</v>
      </c>
      <c r="N668" s="22" t="s">
        <v>5966</v>
      </c>
      <c r="O668" s="26">
        <v>45357</v>
      </c>
      <c r="P668" s="24" t="s">
        <v>5967</v>
      </c>
      <c r="Q668" s="28" t="s">
        <v>5968</v>
      </c>
      <c r="R668" s="29">
        <v>5064.1000000000004</v>
      </c>
      <c r="S668" s="30">
        <f t="shared" si="5"/>
        <v>820384.20000000007</v>
      </c>
      <c r="T668" s="21" t="s">
        <v>105</v>
      </c>
      <c r="U668" s="24"/>
      <c r="V668" s="30">
        <v>736320</v>
      </c>
      <c r="W668" s="24"/>
      <c r="X668" s="22"/>
      <c r="Y668" s="31">
        <v>3071458</v>
      </c>
      <c r="Z668" s="22"/>
      <c r="AA668" s="22"/>
      <c r="AB668" s="22">
        <v>4841747</v>
      </c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</row>
    <row r="669" spans="1:46" ht="45" customHeight="1">
      <c r="A669" s="21" t="s">
        <v>5969</v>
      </c>
      <c r="B669" s="22" t="s">
        <v>5970</v>
      </c>
      <c r="C669" s="23" t="s">
        <v>5971</v>
      </c>
      <c r="D669" s="24" t="s">
        <v>741</v>
      </c>
      <c r="E669" s="24" t="s">
        <v>5972</v>
      </c>
      <c r="F669" s="24" t="s">
        <v>477</v>
      </c>
      <c r="G669" s="24" t="s">
        <v>1002</v>
      </c>
      <c r="H669" s="24" t="s">
        <v>125</v>
      </c>
      <c r="I669" s="24" t="s">
        <v>115</v>
      </c>
      <c r="J669" s="24" t="s">
        <v>1002</v>
      </c>
      <c r="K669" s="24" t="s">
        <v>125</v>
      </c>
      <c r="L669" s="24" t="s">
        <v>115</v>
      </c>
      <c r="M669" s="25" t="s">
        <v>5652</v>
      </c>
      <c r="N669" s="22" t="s">
        <v>5973</v>
      </c>
      <c r="O669" s="22"/>
      <c r="P669" s="24" t="s">
        <v>408</v>
      </c>
      <c r="Q669" s="28" t="s">
        <v>5974</v>
      </c>
      <c r="R669" s="29">
        <v>4131</v>
      </c>
      <c r="S669" s="30">
        <f t="shared" si="5"/>
        <v>669222</v>
      </c>
      <c r="T669" s="21" t="s">
        <v>105</v>
      </c>
      <c r="U669" s="24"/>
      <c r="V669" s="30">
        <v>736320</v>
      </c>
      <c r="W669" s="24" t="s">
        <v>71</v>
      </c>
      <c r="X669" s="22">
        <v>1040539</v>
      </c>
      <c r="Y669" s="31">
        <v>3093893</v>
      </c>
      <c r="Z669" s="22"/>
      <c r="AA669" s="22">
        <v>4672138</v>
      </c>
      <c r="AB669" s="22"/>
      <c r="AC669" s="24">
        <v>5540955</v>
      </c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</row>
    <row r="670" spans="1:46" ht="45" customHeight="1">
      <c r="A670" s="12" t="s">
        <v>5975</v>
      </c>
      <c r="B670" s="13" t="s">
        <v>5976</v>
      </c>
      <c r="C670" s="14" t="s">
        <v>5977</v>
      </c>
      <c r="D670" s="15" t="s">
        <v>5978</v>
      </c>
      <c r="E670" s="15" t="s">
        <v>1849</v>
      </c>
      <c r="F670" s="15" t="s">
        <v>181</v>
      </c>
      <c r="G670" s="15" t="s">
        <v>5979</v>
      </c>
      <c r="H670" s="15" t="s">
        <v>671</v>
      </c>
      <c r="I670" s="15" t="s">
        <v>149</v>
      </c>
      <c r="J670" s="15" t="s">
        <v>5980</v>
      </c>
      <c r="K670" s="15" t="s">
        <v>671</v>
      </c>
      <c r="L670" s="15" t="s">
        <v>149</v>
      </c>
      <c r="M670" s="46" t="s">
        <v>5981</v>
      </c>
      <c r="N670" s="13">
        <v>2615391884</v>
      </c>
      <c r="O670" s="13"/>
      <c r="P670" s="15" t="s">
        <v>44</v>
      </c>
      <c r="Q670" s="17" t="s">
        <v>5982</v>
      </c>
      <c r="R670" s="18">
        <v>43</v>
      </c>
      <c r="S670" s="19">
        <f t="shared" si="5"/>
        <v>6966</v>
      </c>
      <c r="T670" s="12" t="s">
        <v>46</v>
      </c>
      <c r="U670" s="15"/>
      <c r="V670" s="19">
        <v>44610</v>
      </c>
      <c r="W670" s="15" t="s">
        <v>71</v>
      </c>
      <c r="X670" s="13"/>
      <c r="Y670" s="20"/>
      <c r="Z670" s="13">
        <v>3907009</v>
      </c>
      <c r="AA670" s="13">
        <v>4741569</v>
      </c>
      <c r="AB670" s="13"/>
      <c r="AC670" s="15">
        <v>5537376</v>
      </c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</row>
    <row r="671" spans="1:46" ht="45" customHeight="1">
      <c r="A671" s="12" t="s">
        <v>5983</v>
      </c>
      <c r="B671" s="13" t="s">
        <v>5984</v>
      </c>
      <c r="C671" s="66" t="s">
        <v>5985</v>
      </c>
      <c r="D671" s="15" t="s">
        <v>5986</v>
      </c>
      <c r="E671" s="15" t="s">
        <v>5987</v>
      </c>
      <c r="F671" s="15" t="s">
        <v>62</v>
      </c>
      <c r="G671" s="15" t="s">
        <v>5988</v>
      </c>
      <c r="H671" s="15"/>
      <c r="I671" s="15" t="s">
        <v>149</v>
      </c>
      <c r="J671" s="15" t="s">
        <v>5988</v>
      </c>
      <c r="K671" s="15"/>
      <c r="L671" s="15" t="s">
        <v>149</v>
      </c>
      <c r="M671" s="46" t="s">
        <v>5989</v>
      </c>
      <c r="N671" s="13">
        <v>4520500</v>
      </c>
      <c r="O671" s="13"/>
      <c r="P671" s="15" t="s">
        <v>600</v>
      </c>
      <c r="Q671" s="17" t="s">
        <v>5990</v>
      </c>
      <c r="R671" s="18">
        <v>649</v>
      </c>
      <c r="S671" s="19">
        <f t="shared" si="5"/>
        <v>105138</v>
      </c>
      <c r="T671" s="12" t="s">
        <v>252</v>
      </c>
      <c r="U671" s="15"/>
      <c r="V671" s="19">
        <v>123900</v>
      </c>
      <c r="W671" s="15"/>
      <c r="X671" s="13"/>
      <c r="Y671" s="20"/>
      <c r="Z671" s="13"/>
      <c r="AA671" s="13"/>
      <c r="AB671" s="13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</row>
    <row r="672" spans="1:46" ht="45" customHeight="1">
      <c r="A672" s="12" t="s">
        <v>5991</v>
      </c>
      <c r="B672" s="13" t="s">
        <v>5992</v>
      </c>
      <c r="C672" s="14" t="s">
        <v>5993</v>
      </c>
      <c r="D672" s="15" t="s">
        <v>5994</v>
      </c>
      <c r="E672" s="15" t="s">
        <v>5995</v>
      </c>
      <c r="F672" s="15" t="s">
        <v>909</v>
      </c>
      <c r="G672" s="15" t="s">
        <v>5996</v>
      </c>
      <c r="H672" s="15" t="s">
        <v>52</v>
      </c>
      <c r="I672" s="15" t="s">
        <v>53</v>
      </c>
      <c r="J672" s="15" t="s">
        <v>5997</v>
      </c>
      <c r="K672" s="15" t="s">
        <v>4231</v>
      </c>
      <c r="L672" s="15" t="s">
        <v>38</v>
      </c>
      <c r="M672" s="46" t="s">
        <v>5998</v>
      </c>
      <c r="N672" s="13">
        <v>2616855616</v>
      </c>
      <c r="O672" s="13"/>
      <c r="P672" s="15" t="s">
        <v>44</v>
      </c>
      <c r="Q672" s="17" t="s">
        <v>5999</v>
      </c>
      <c r="R672" s="18">
        <v>435</v>
      </c>
      <c r="S672" s="19">
        <f t="shared" si="5"/>
        <v>70470</v>
      </c>
      <c r="T672" s="12" t="s">
        <v>46</v>
      </c>
      <c r="U672" s="15"/>
      <c r="V672" s="19">
        <v>44610</v>
      </c>
      <c r="W672" s="15"/>
      <c r="X672" s="13"/>
      <c r="Y672" s="20"/>
      <c r="Z672" s="13"/>
      <c r="AA672" s="13"/>
      <c r="AB672" s="13">
        <v>4900230</v>
      </c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</row>
    <row r="673" spans="1:46" ht="45" customHeight="1">
      <c r="A673" s="50" t="s">
        <v>6000</v>
      </c>
      <c r="B673" s="51" t="s">
        <v>6001</v>
      </c>
      <c r="C673" s="52" t="s">
        <v>6002</v>
      </c>
      <c r="D673" s="53" t="s">
        <v>6003</v>
      </c>
      <c r="E673" s="53" t="s">
        <v>3583</v>
      </c>
      <c r="F673" s="53" t="s">
        <v>111</v>
      </c>
      <c r="G673" s="53" t="s">
        <v>6004</v>
      </c>
      <c r="H673" s="53" t="s">
        <v>671</v>
      </c>
      <c r="I673" s="53" t="s">
        <v>149</v>
      </c>
      <c r="J673" s="53" t="s">
        <v>6004</v>
      </c>
      <c r="K673" s="53" t="s">
        <v>671</v>
      </c>
      <c r="L673" s="53" t="s">
        <v>149</v>
      </c>
      <c r="M673" s="68"/>
      <c r="N673" s="51"/>
      <c r="O673" s="51"/>
      <c r="P673" s="53" t="s">
        <v>44</v>
      </c>
      <c r="Q673" s="55" t="s">
        <v>6005</v>
      </c>
      <c r="R673" s="56">
        <v>30</v>
      </c>
      <c r="S673" s="57">
        <f t="shared" si="5"/>
        <v>4860</v>
      </c>
      <c r="T673" s="50" t="s">
        <v>46</v>
      </c>
      <c r="U673" s="53"/>
      <c r="V673" s="57">
        <v>44610</v>
      </c>
      <c r="W673" s="53"/>
      <c r="X673" s="51"/>
      <c r="Y673" s="58"/>
      <c r="Z673" s="51"/>
      <c r="AA673" s="51"/>
      <c r="AB673" s="51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</row>
    <row r="674" spans="1:46" ht="45" customHeight="1">
      <c r="A674" s="12" t="s">
        <v>6006</v>
      </c>
      <c r="B674" s="13" t="s">
        <v>6007</v>
      </c>
      <c r="C674" s="66" t="s">
        <v>6008</v>
      </c>
      <c r="D674" s="15" t="s">
        <v>6009</v>
      </c>
      <c r="E674" s="15" t="s">
        <v>6010</v>
      </c>
      <c r="F674" s="15" t="s">
        <v>181</v>
      </c>
      <c r="G674" s="15" t="s">
        <v>6011</v>
      </c>
      <c r="H674" s="15"/>
      <c r="I674" s="15" t="s">
        <v>38</v>
      </c>
      <c r="J674" s="15" t="s">
        <v>6011</v>
      </c>
      <c r="K674" s="15"/>
      <c r="L674" s="15" t="s">
        <v>38</v>
      </c>
      <c r="M674" s="46" t="s">
        <v>6012</v>
      </c>
      <c r="N674" s="13"/>
      <c r="O674" s="13"/>
      <c r="P674" s="15" t="s">
        <v>94</v>
      </c>
      <c r="Q674" s="17" t="s">
        <v>6013</v>
      </c>
      <c r="R674" s="18" t="s">
        <v>5746</v>
      </c>
      <c r="S674" s="19" t="e">
        <f t="shared" si="5"/>
        <v>#VALUE!</v>
      </c>
      <c r="T674" s="12" t="s">
        <v>5746</v>
      </c>
      <c r="U674" s="15"/>
      <c r="V674" s="19">
        <v>6300</v>
      </c>
      <c r="W674" s="15"/>
      <c r="X674" s="13"/>
      <c r="Y674" s="20"/>
      <c r="Z674" s="13"/>
      <c r="AA674" s="13"/>
      <c r="AB674" s="13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</row>
    <row r="675" spans="1:46" ht="45" customHeight="1">
      <c r="A675" s="12" t="s">
        <v>6014</v>
      </c>
      <c r="B675" s="13" t="s">
        <v>6015</v>
      </c>
      <c r="C675" s="14" t="s">
        <v>6016</v>
      </c>
      <c r="D675" s="15" t="s">
        <v>6017</v>
      </c>
      <c r="E675" s="15" t="s">
        <v>6018</v>
      </c>
      <c r="F675" s="15" t="s">
        <v>909</v>
      </c>
      <c r="G675" s="15" t="s">
        <v>6019</v>
      </c>
      <c r="H675" s="15" t="s">
        <v>52</v>
      </c>
      <c r="I675" s="15" t="s">
        <v>53</v>
      </c>
      <c r="J675" s="15" t="s">
        <v>6020</v>
      </c>
      <c r="K675" s="15" t="s">
        <v>331</v>
      </c>
      <c r="L675" s="15" t="s">
        <v>1022</v>
      </c>
      <c r="M675" s="46" t="s">
        <v>6021</v>
      </c>
      <c r="N675" s="13" t="s">
        <v>6022</v>
      </c>
      <c r="O675" s="13"/>
      <c r="P675" s="15" t="s">
        <v>94</v>
      </c>
      <c r="Q675" s="17" t="s">
        <v>6023</v>
      </c>
      <c r="R675" s="18">
        <v>61</v>
      </c>
      <c r="S675" s="19">
        <f t="shared" si="5"/>
        <v>9882</v>
      </c>
      <c r="T675" s="12" t="s">
        <v>46</v>
      </c>
      <c r="U675" s="15"/>
      <c r="V675" s="19">
        <v>44610</v>
      </c>
      <c r="W675" s="49" t="s">
        <v>71</v>
      </c>
      <c r="X675" s="13">
        <v>1137254</v>
      </c>
      <c r="Y675" s="20">
        <v>3111153</v>
      </c>
      <c r="Z675" s="13"/>
      <c r="AA675" s="13">
        <v>4663005</v>
      </c>
      <c r="AB675" s="13"/>
      <c r="AC675" s="49">
        <v>5632267</v>
      </c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</row>
    <row r="676" spans="1:46" ht="45" customHeight="1">
      <c r="A676" s="12" t="s">
        <v>6024</v>
      </c>
      <c r="B676" s="13" t="s">
        <v>6025</v>
      </c>
      <c r="C676" s="66" t="s">
        <v>6026</v>
      </c>
      <c r="D676" s="15" t="s">
        <v>6027</v>
      </c>
      <c r="E676" s="15" t="s">
        <v>6028</v>
      </c>
      <c r="F676" s="15" t="s">
        <v>909</v>
      </c>
      <c r="G676" s="15" t="s">
        <v>6029</v>
      </c>
      <c r="H676" s="15" t="s">
        <v>52</v>
      </c>
      <c r="I676" s="15" t="s">
        <v>53</v>
      </c>
      <c r="J676" s="15" t="s">
        <v>6030</v>
      </c>
      <c r="K676" s="15" t="s">
        <v>6031</v>
      </c>
      <c r="L676" s="15" t="s">
        <v>149</v>
      </c>
      <c r="M676" s="16" t="s">
        <v>6032</v>
      </c>
      <c r="N676" s="13">
        <v>2616395842</v>
      </c>
      <c r="O676" s="13"/>
      <c r="P676" s="15" t="s">
        <v>94</v>
      </c>
      <c r="Q676" s="17" t="s">
        <v>6033</v>
      </c>
      <c r="R676" s="18">
        <v>356</v>
      </c>
      <c r="S676" s="19">
        <f t="shared" si="5"/>
        <v>57672</v>
      </c>
      <c r="T676" s="12" t="s">
        <v>46</v>
      </c>
      <c r="U676" s="15"/>
      <c r="V676" s="19">
        <v>44610</v>
      </c>
      <c r="W676" s="15" t="s">
        <v>71</v>
      </c>
      <c r="X676" s="13"/>
      <c r="Y676" s="20"/>
      <c r="Z676" s="13"/>
      <c r="AA676" s="13"/>
      <c r="AB676" s="13"/>
      <c r="AC676" s="15">
        <v>5609597</v>
      </c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</row>
    <row r="677" spans="1:46" ht="45" customHeight="1">
      <c r="A677" s="40" t="s">
        <v>6034</v>
      </c>
      <c r="B677" s="33" t="s">
        <v>6035</v>
      </c>
      <c r="C677" s="34" t="s">
        <v>6036</v>
      </c>
      <c r="D677" s="35" t="s">
        <v>6037</v>
      </c>
      <c r="E677" s="35" t="s">
        <v>1849</v>
      </c>
      <c r="F677" s="35" t="s">
        <v>181</v>
      </c>
      <c r="G677" s="35" t="s">
        <v>6038</v>
      </c>
      <c r="H677" s="35" t="s">
        <v>114</v>
      </c>
      <c r="I677" s="35" t="s">
        <v>115</v>
      </c>
      <c r="J677" s="35" t="s">
        <v>6039</v>
      </c>
      <c r="K677" s="35" t="s">
        <v>291</v>
      </c>
      <c r="L677" s="35" t="s">
        <v>115</v>
      </c>
      <c r="M677" s="36" t="s">
        <v>6040</v>
      </c>
      <c r="N677" s="33">
        <v>4317704</v>
      </c>
      <c r="O677" s="33"/>
      <c r="P677" s="35" t="s">
        <v>44</v>
      </c>
      <c r="Q677" s="37" t="s">
        <v>6041</v>
      </c>
      <c r="R677" s="38">
        <v>28</v>
      </c>
      <c r="S677" s="39">
        <f t="shared" si="5"/>
        <v>4536</v>
      </c>
      <c r="T677" s="40" t="s">
        <v>46</v>
      </c>
      <c r="U677" s="35"/>
      <c r="V677" s="39">
        <v>44610</v>
      </c>
      <c r="W677" s="35"/>
      <c r="X677" s="33"/>
      <c r="Y677" s="41"/>
      <c r="Z677" s="33"/>
      <c r="AA677" s="33"/>
      <c r="AB677" s="33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</row>
    <row r="678" spans="1:46" ht="45" customHeight="1">
      <c r="A678" s="40" t="s">
        <v>6042</v>
      </c>
      <c r="B678" s="33" t="s">
        <v>6043</v>
      </c>
      <c r="C678" s="34" t="s">
        <v>6044</v>
      </c>
      <c r="D678" s="35" t="s">
        <v>6045</v>
      </c>
      <c r="E678" s="35" t="s">
        <v>6046</v>
      </c>
      <c r="F678" s="35" t="s">
        <v>111</v>
      </c>
      <c r="G678" s="35" t="s">
        <v>6047</v>
      </c>
      <c r="H678" s="35"/>
      <c r="I678" s="35" t="s">
        <v>149</v>
      </c>
      <c r="J678" s="35" t="s">
        <v>6047</v>
      </c>
      <c r="K678" s="35"/>
      <c r="L678" s="35" t="s">
        <v>149</v>
      </c>
      <c r="M678" s="36" t="s">
        <v>6048</v>
      </c>
      <c r="N678" s="33">
        <v>4133600</v>
      </c>
      <c r="O678" s="33"/>
      <c r="P678" s="35" t="s">
        <v>94</v>
      </c>
      <c r="Q678" s="37" t="s">
        <v>6049</v>
      </c>
      <c r="R678" s="38">
        <v>543</v>
      </c>
      <c r="S678" s="39">
        <f t="shared" si="5"/>
        <v>87966</v>
      </c>
      <c r="T678" s="40" t="s">
        <v>46</v>
      </c>
      <c r="U678" s="35"/>
      <c r="V678" s="39">
        <v>44610</v>
      </c>
      <c r="W678" s="35"/>
      <c r="X678" s="33"/>
      <c r="Y678" s="41"/>
      <c r="Z678" s="33"/>
      <c r="AA678" s="33"/>
      <c r="AB678" s="33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</row>
    <row r="679" spans="1:46" ht="45" customHeight="1">
      <c r="A679" s="12" t="s">
        <v>6050</v>
      </c>
      <c r="B679" s="13" t="s">
        <v>6051</v>
      </c>
      <c r="C679" s="66" t="s">
        <v>6052</v>
      </c>
      <c r="D679" s="15" t="s">
        <v>6053</v>
      </c>
      <c r="E679" s="15" t="s">
        <v>247</v>
      </c>
      <c r="F679" s="15" t="s">
        <v>181</v>
      </c>
      <c r="G679" s="15" t="s">
        <v>6054</v>
      </c>
      <c r="H679" s="15"/>
      <c r="I679" s="15" t="s">
        <v>65</v>
      </c>
      <c r="J679" s="15" t="s">
        <v>6054</v>
      </c>
      <c r="K679" s="15"/>
      <c r="L679" s="15" t="s">
        <v>65</v>
      </c>
      <c r="M679" s="16"/>
      <c r="N679" s="13">
        <v>4446767</v>
      </c>
      <c r="O679" s="13"/>
      <c r="P679" s="15" t="s">
        <v>94</v>
      </c>
      <c r="Q679" s="17" t="s">
        <v>6055</v>
      </c>
      <c r="R679" s="18" t="s">
        <v>5746</v>
      </c>
      <c r="S679" s="19" t="e">
        <f t="shared" si="5"/>
        <v>#VALUE!</v>
      </c>
      <c r="T679" s="12" t="s">
        <v>5746</v>
      </c>
      <c r="U679" s="15"/>
      <c r="V679" s="19">
        <v>6300</v>
      </c>
      <c r="W679" s="15"/>
      <c r="X679" s="13"/>
      <c r="Y679" s="20"/>
      <c r="Z679" s="13"/>
      <c r="AA679" s="13"/>
      <c r="AB679" s="13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</row>
    <row r="680" spans="1:46" ht="54" customHeight="1">
      <c r="A680" s="12" t="s">
        <v>6056</v>
      </c>
      <c r="B680" s="13" t="s">
        <v>6057</v>
      </c>
      <c r="C680" s="14" t="s">
        <v>3204</v>
      </c>
      <c r="D680" s="15" t="s">
        <v>6058</v>
      </c>
      <c r="E680" s="15" t="s">
        <v>247</v>
      </c>
      <c r="F680" s="15" t="s">
        <v>181</v>
      </c>
      <c r="G680" s="15" t="s">
        <v>6059</v>
      </c>
      <c r="H680" s="15" t="s">
        <v>52</v>
      </c>
      <c r="I680" s="15" t="s">
        <v>53</v>
      </c>
      <c r="J680" s="15" t="s">
        <v>3206</v>
      </c>
      <c r="K680" s="15"/>
      <c r="L680" s="15" t="s">
        <v>2691</v>
      </c>
      <c r="M680" s="46" t="s">
        <v>3208</v>
      </c>
      <c r="N680" s="13" t="s">
        <v>6060</v>
      </c>
      <c r="O680" s="13"/>
      <c r="P680" s="15" t="s">
        <v>117</v>
      </c>
      <c r="Q680" s="17" t="s">
        <v>6061</v>
      </c>
      <c r="R680" s="18">
        <v>234</v>
      </c>
      <c r="S680" s="19">
        <f t="shared" si="5"/>
        <v>37908</v>
      </c>
      <c r="T680" s="12" t="s">
        <v>46</v>
      </c>
      <c r="U680" s="15"/>
      <c r="V680" s="19">
        <v>44610</v>
      </c>
      <c r="W680" s="15" t="s">
        <v>71</v>
      </c>
      <c r="X680" s="13">
        <v>1010028</v>
      </c>
      <c r="Y680" s="20">
        <v>3087699</v>
      </c>
      <c r="Z680" s="13">
        <v>3873398</v>
      </c>
      <c r="AA680" s="13">
        <v>4740987</v>
      </c>
      <c r="AB680" s="13"/>
      <c r="AC680" s="15">
        <v>5601537</v>
      </c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</row>
    <row r="681" spans="1:46" ht="45" customHeight="1">
      <c r="A681" s="12" t="s">
        <v>6062</v>
      </c>
      <c r="B681" s="13" t="s">
        <v>6063</v>
      </c>
      <c r="C681" s="14" t="s">
        <v>6064</v>
      </c>
      <c r="D681" s="15" t="s">
        <v>6065</v>
      </c>
      <c r="E681" s="15" t="s">
        <v>6066</v>
      </c>
      <c r="F681" s="146" t="s">
        <v>909</v>
      </c>
      <c r="G681" s="15" t="s">
        <v>6067</v>
      </c>
      <c r="H681" s="15" t="s">
        <v>52</v>
      </c>
      <c r="I681" s="15" t="s">
        <v>53</v>
      </c>
      <c r="J681" s="15" t="s">
        <v>6068</v>
      </c>
      <c r="K681" s="15" t="s">
        <v>4557</v>
      </c>
      <c r="L681" s="15" t="s">
        <v>38</v>
      </c>
      <c r="M681" s="16" t="s">
        <v>6069</v>
      </c>
      <c r="N681" s="13">
        <v>4255335</v>
      </c>
      <c r="O681" s="13"/>
      <c r="P681" s="15" t="s">
        <v>4782</v>
      </c>
      <c r="Q681" s="17" t="s">
        <v>6070</v>
      </c>
      <c r="R681" s="18">
        <v>38.36</v>
      </c>
      <c r="S681" s="19">
        <f t="shared" si="5"/>
        <v>6214.32</v>
      </c>
      <c r="T681" s="12" t="s">
        <v>46</v>
      </c>
      <c r="U681" s="15"/>
      <c r="V681" s="19">
        <v>44610</v>
      </c>
      <c r="W681" s="15"/>
      <c r="X681" s="13"/>
      <c r="Y681" s="20"/>
      <c r="Z681" s="13"/>
      <c r="AA681" s="13">
        <v>4747208</v>
      </c>
      <c r="AB681" s="13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</row>
    <row r="682" spans="1:46" ht="45" customHeight="1">
      <c r="A682" s="12" t="s">
        <v>6071</v>
      </c>
      <c r="B682" s="13" t="s">
        <v>6072</v>
      </c>
      <c r="C682" s="66" t="s">
        <v>6073</v>
      </c>
      <c r="D682" s="15" t="s">
        <v>6074</v>
      </c>
      <c r="E682" s="15" t="s">
        <v>247</v>
      </c>
      <c r="F682" s="15" t="s">
        <v>181</v>
      </c>
      <c r="G682" s="15" t="s">
        <v>6075</v>
      </c>
      <c r="H682" s="15" t="s">
        <v>125</v>
      </c>
      <c r="I682" s="15" t="s">
        <v>115</v>
      </c>
      <c r="J682" s="15" t="s">
        <v>6076</v>
      </c>
      <c r="K682" s="15" t="s">
        <v>584</v>
      </c>
      <c r="L682" s="15" t="s">
        <v>881</v>
      </c>
      <c r="M682" s="74" t="s">
        <v>6077</v>
      </c>
      <c r="N682" s="13" t="s">
        <v>6078</v>
      </c>
      <c r="O682" s="13"/>
      <c r="P682" s="15" t="s">
        <v>94</v>
      </c>
      <c r="Q682" s="17" t="s">
        <v>6079</v>
      </c>
      <c r="R682" s="18">
        <v>53</v>
      </c>
      <c r="S682" s="19">
        <f t="shared" si="5"/>
        <v>8586</v>
      </c>
      <c r="T682" s="12" t="s">
        <v>46</v>
      </c>
      <c r="U682" s="15"/>
      <c r="V682" s="19">
        <v>44610</v>
      </c>
      <c r="W682" s="15"/>
      <c r="X682" s="13"/>
      <c r="Y682" s="20"/>
      <c r="Z682" s="13"/>
      <c r="AA682" s="13"/>
      <c r="AB682" s="13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</row>
    <row r="683" spans="1:46" ht="45" customHeight="1">
      <c r="A683" s="12" t="s">
        <v>6080</v>
      </c>
      <c r="B683" s="13" t="s">
        <v>6081</v>
      </c>
      <c r="C683" s="66" t="s">
        <v>6082</v>
      </c>
      <c r="D683" s="15" t="s">
        <v>6083</v>
      </c>
      <c r="E683" s="15" t="s">
        <v>6084</v>
      </c>
      <c r="F683" s="15" t="s">
        <v>111</v>
      </c>
      <c r="G683" s="49" t="s">
        <v>6085</v>
      </c>
      <c r="H683" s="49" t="s">
        <v>6086</v>
      </c>
      <c r="I683" s="15" t="s">
        <v>38</v>
      </c>
      <c r="J683" s="49" t="s">
        <v>6085</v>
      </c>
      <c r="K683" s="49" t="s">
        <v>6086</v>
      </c>
      <c r="L683" s="15" t="s">
        <v>38</v>
      </c>
      <c r="M683" s="67" t="s">
        <v>6087</v>
      </c>
      <c r="N683" s="13">
        <v>4966131</v>
      </c>
      <c r="O683" s="13"/>
      <c r="P683" s="15" t="s">
        <v>44</v>
      </c>
      <c r="Q683" s="17" t="s">
        <v>6088</v>
      </c>
      <c r="R683" s="18">
        <v>49</v>
      </c>
      <c r="S683" s="19">
        <f t="shared" si="5"/>
        <v>7938</v>
      </c>
      <c r="T683" s="12" t="s">
        <v>46</v>
      </c>
      <c r="U683" s="15"/>
      <c r="V683" s="19">
        <v>44610</v>
      </c>
      <c r="W683" s="15" t="s">
        <v>71</v>
      </c>
      <c r="X683" s="13"/>
      <c r="Y683" s="20"/>
      <c r="Z683" s="13"/>
      <c r="AA683" s="13"/>
      <c r="AB683" s="13"/>
      <c r="AC683" s="15">
        <v>5549438</v>
      </c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</row>
    <row r="684" spans="1:46" ht="45" customHeight="1">
      <c r="A684" s="40" t="s">
        <v>6089</v>
      </c>
      <c r="B684" s="33" t="s">
        <v>6090</v>
      </c>
      <c r="C684" s="34" t="s">
        <v>6091</v>
      </c>
      <c r="D684" s="35" t="s">
        <v>6092</v>
      </c>
      <c r="E684" s="35" t="s">
        <v>6093</v>
      </c>
      <c r="F684" s="35" t="s">
        <v>111</v>
      </c>
      <c r="G684" s="35" t="s">
        <v>6094</v>
      </c>
      <c r="H684" s="35"/>
      <c r="I684" s="35" t="s">
        <v>149</v>
      </c>
      <c r="J684" s="35" t="s">
        <v>6094</v>
      </c>
      <c r="K684" s="35"/>
      <c r="L684" s="35" t="s">
        <v>149</v>
      </c>
      <c r="M684" s="36" t="s">
        <v>6095</v>
      </c>
      <c r="N684" s="33">
        <v>5418954</v>
      </c>
      <c r="O684" s="33"/>
      <c r="P684" s="35" t="s">
        <v>94</v>
      </c>
      <c r="Q684" s="37" t="s">
        <v>6096</v>
      </c>
      <c r="R684" s="38">
        <v>66</v>
      </c>
      <c r="S684" s="39">
        <f t="shared" si="5"/>
        <v>10692</v>
      </c>
      <c r="T684" s="40" t="s">
        <v>46</v>
      </c>
      <c r="U684" s="35"/>
      <c r="V684" s="39">
        <v>44610</v>
      </c>
      <c r="W684" s="35"/>
      <c r="X684" s="33"/>
      <c r="Y684" s="41"/>
      <c r="Z684" s="33"/>
      <c r="AA684" s="33"/>
      <c r="AB684" s="33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</row>
    <row r="685" spans="1:46" ht="45" customHeight="1">
      <c r="A685" s="12" t="s">
        <v>6097</v>
      </c>
      <c r="B685" s="13" t="s">
        <v>6098</v>
      </c>
      <c r="C685" s="66" t="s">
        <v>6099</v>
      </c>
      <c r="D685" s="15" t="s">
        <v>6100</v>
      </c>
      <c r="E685" s="15" t="s">
        <v>6101</v>
      </c>
      <c r="F685" s="146" t="s">
        <v>77</v>
      </c>
      <c r="G685" s="15" t="s">
        <v>6102</v>
      </c>
      <c r="H685" s="15" t="s">
        <v>6103</v>
      </c>
      <c r="I685" s="15" t="s">
        <v>6104</v>
      </c>
      <c r="J685" s="15" t="s">
        <v>6105</v>
      </c>
      <c r="K685" s="15" t="s">
        <v>6103</v>
      </c>
      <c r="L685" s="15" t="s">
        <v>1927</v>
      </c>
      <c r="M685" s="46" t="s">
        <v>6106</v>
      </c>
      <c r="N685" s="13">
        <v>2622572989</v>
      </c>
      <c r="O685" s="13"/>
      <c r="P685" s="15" t="s">
        <v>94</v>
      </c>
      <c r="Q685" s="17" t="s">
        <v>6107</v>
      </c>
      <c r="R685" s="18">
        <v>104</v>
      </c>
      <c r="S685" s="19">
        <f t="shared" si="5"/>
        <v>16848</v>
      </c>
      <c r="T685" s="12" t="s">
        <v>46</v>
      </c>
      <c r="U685" s="15"/>
      <c r="V685" s="19">
        <v>44610</v>
      </c>
      <c r="W685" s="15" t="s">
        <v>71</v>
      </c>
      <c r="X685" s="13"/>
      <c r="Y685" s="20"/>
      <c r="Z685" s="13"/>
      <c r="AA685" s="13"/>
      <c r="AB685" s="13"/>
      <c r="AC685" s="15">
        <v>5561138</v>
      </c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</row>
    <row r="686" spans="1:46" ht="45" customHeight="1">
      <c r="A686" s="12" t="s">
        <v>6108</v>
      </c>
      <c r="B686" s="13" t="s">
        <v>6109</v>
      </c>
      <c r="C686" s="14" t="s">
        <v>6110</v>
      </c>
      <c r="D686" s="15" t="s">
        <v>6111</v>
      </c>
      <c r="E686" s="15" t="s">
        <v>6112</v>
      </c>
      <c r="F686" s="146" t="s">
        <v>542</v>
      </c>
      <c r="G686" s="15" t="s">
        <v>6113</v>
      </c>
      <c r="H686" s="15"/>
      <c r="I686" s="15" t="s">
        <v>149</v>
      </c>
      <c r="J686" s="15" t="s">
        <v>6113</v>
      </c>
      <c r="K686" s="15"/>
      <c r="L686" s="15" t="s">
        <v>149</v>
      </c>
      <c r="M686" s="46" t="s">
        <v>6114</v>
      </c>
      <c r="N686" s="13" t="s">
        <v>6115</v>
      </c>
      <c r="O686" s="13"/>
      <c r="P686" s="15" t="s">
        <v>1381</v>
      </c>
      <c r="Q686" s="17" t="s">
        <v>6116</v>
      </c>
      <c r="R686" s="18">
        <v>253</v>
      </c>
      <c r="S686" s="19">
        <f t="shared" si="5"/>
        <v>40986</v>
      </c>
      <c r="T686" s="12" t="s">
        <v>46</v>
      </c>
      <c r="U686" s="15"/>
      <c r="V686" s="19">
        <v>44610</v>
      </c>
      <c r="W686" s="15" t="s">
        <v>71</v>
      </c>
      <c r="X686" s="13">
        <v>1136707</v>
      </c>
      <c r="Y686" s="20">
        <v>3071715</v>
      </c>
      <c r="Z686" s="13">
        <v>3856476</v>
      </c>
      <c r="AA686" s="13">
        <v>4709415</v>
      </c>
      <c r="AB686" s="13"/>
      <c r="AC686" s="15">
        <v>5571158</v>
      </c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</row>
    <row r="687" spans="1:46" ht="45" customHeight="1">
      <c r="A687" s="12" t="s">
        <v>6117</v>
      </c>
      <c r="B687" s="13" t="s">
        <v>6118</v>
      </c>
      <c r="C687" s="14" t="s">
        <v>6119</v>
      </c>
      <c r="D687" s="15" t="s">
        <v>6120</v>
      </c>
      <c r="E687" s="15" t="s">
        <v>6121</v>
      </c>
      <c r="F687" s="146" t="s">
        <v>147</v>
      </c>
      <c r="G687" s="15" t="s">
        <v>6122</v>
      </c>
      <c r="H687" s="15" t="s">
        <v>1181</v>
      </c>
      <c r="I687" s="15" t="s">
        <v>80</v>
      </c>
      <c r="J687" s="15" t="s">
        <v>6122</v>
      </c>
      <c r="K687" s="15" t="s">
        <v>1181</v>
      </c>
      <c r="L687" s="15" t="s">
        <v>80</v>
      </c>
      <c r="M687" s="46" t="s">
        <v>6123</v>
      </c>
      <c r="N687" s="13" t="s">
        <v>6124</v>
      </c>
      <c r="O687" s="13"/>
      <c r="P687" s="15" t="s">
        <v>4479</v>
      </c>
      <c r="Q687" s="17" t="s">
        <v>6125</v>
      </c>
      <c r="R687" s="18">
        <v>333</v>
      </c>
      <c r="S687" s="19">
        <f t="shared" si="5"/>
        <v>53946</v>
      </c>
      <c r="T687" s="12" t="s">
        <v>46</v>
      </c>
      <c r="U687" s="15"/>
      <c r="V687" s="19">
        <v>44610</v>
      </c>
      <c r="W687" s="15" t="s">
        <v>71</v>
      </c>
      <c r="X687" s="13"/>
      <c r="Y687" s="20">
        <v>3116810</v>
      </c>
      <c r="Z687" s="13">
        <v>3904681</v>
      </c>
      <c r="AA687" s="13">
        <v>4745680</v>
      </c>
      <c r="AB687" s="13"/>
      <c r="AC687" s="15">
        <v>5591765</v>
      </c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</row>
    <row r="688" spans="1:46" ht="45" customHeight="1">
      <c r="A688" s="12" t="s">
        <v>6126</v>
      </c>
      <c r="B688" s="13" t="s">
        <v>6127</v>
      </c>
      <c r="C688" s="14" t="s">
        <v>6128</v>
      </c>
      <c r="D688" s="15" t="s">
        <v>6129</v>
      </c>
      <c r="E688" s="15" t="s">
        <v>6130</v>
      </c>
      <c r="F688" s="15" t="s">
        <v>111</v>
      </c>
      <c r="G688" s="15" t="s">
        <v>6131</v>
      </c>
      <c r="H688" s="15" t="s">
        <v>1736</v>
      </c>
      <c r="I688" s="15" t="s">
        <v>149</v>
      </c>
      <c r="J688" s="15" t="s">
        <v>6131</v>
      </c>
      <c r="K688" s="15" t="s">
        <v>1736</v>
      </c>
      <c r="L688" s="15" t="s">
        <v>149</v>
      </c>
      <c r="M688" s="46" t="s">
        <v>6132</v>
      </c>
      <c r="N688" s="13" t="s">
        <v>6133</v>
      </c>
      <c r="O688" s="13"/>
      <c r="P688" s="15" t="s">
        <v>44</v>
      </c>
      <c r="Q688" s="17" t="s">
        <v>6134</v>
      </c>
      <c r="R688" s="18">
        <v>38</v>
      </c>
      <c r="S688" s="19">
        <f t="shared" si="5"/>
        <v>6156</v>
      </c>
      <c r="T688" s="12" t="s">
        <v>46</v>
      </c>
      <c r="U688" s="15"/>
      <c r="V688" s="19">
        <v>44610</v>
      </c>
      <c r="W688" s="15" t="s">
        <v>71</v>
      </c>
      <c r="X688" s="13">
        <v>1020533</v>
      </c>
      <c r="Y688" s="20">
        <v>3091028</v>
      </c>
      <c r="Z688" s="13">
        <v>3835359</v>
      </c>
      <c r="AA688" s="13">
        <v>4671574</v>
      </c>
      <c r="AB688" s="13"/>
      <c r="AC688" s="15">
        <v>5591569</v>
      </c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</row>
    <row r="689" spans="1:46" ht="45" customHeight="1">
      <c r="A689" s="12" t="s">
        <v>6135</v>
      </c>
      <c r="B689" s="13" t="s">
        <v>6136</v>
      </c>
      <c r="C689" s="66" t="s">
        <v>6137</v>
      </c>
      <c r="D689" s="15" t="s">
        <v>6138</v>
      </c>
      <c r="E689" s="15" t="s">
        <v>6139</v>
      </c>
      <c r="F689" s="15" t="s">
        <v>181</v>
      </c>
      <c r="G689" s="15" t="s">
        <v>6140</v>
      </c>
      <c r="H689" s="15" t="s">
        <v>52</v>
      </c>
      <c r="I689" s="15" t="s">
        <v>53</v>
      </c>
      <c r="J689" s="15" t="s">
        <v>6141</v>
      </c>
      <c r="K689" s="15"/>
      <c r="L689" s="15" t="s">
        <v>41</v>
      </c>
      <c r="M689" s="46" t="s">
        <v>6142</v>
      </c>
      <c r="N689" s="13" t="s">
        <v>6143</v>
      </c>
      <c r="O689" s="13"/>
      <c r="P689" s="15" t="s">
        <v>94</v>
      </c>
      <c r="Q689" s="17" t="s">
        <v>6144</v>
      </c>
      <c r="R689" s="18">
        <v>375</v>
      </c>
      <c r="S689" s="19">
        <f t="shared" si="5"/>
        <v>60750</v>
      </c>
      <c r="T689" s="12" t="s">
        <v>46</v>
      </c>
      <c r="U689" s="15"/>
      <c r="V689" s="19">
        <v>44610</v>
      </c>
      <c r="W689" s="15"/>
      <c r="X689" s="13"/>
      <c r="Y689" s="20"/>
      <c r="Z689" s="13"/>
      <c r="AA689" s="13"/>
      <c r="AB689" s="13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</row>
    <row r="690" spans="1:46" ht="45" customHeight="1">
      <c r="A690" s="12" t="s">
        <v>6145</v>
      </c>
      <c r="B690" s="13" t="s">
        <v>6146</v>
      </c>
      <c r="C690" s="14" t="s">
        <v>6147</v>
      </c>
      <c r="D690" s="15" t="s">
        <v>6148</v>
      </c>
      <c r="E690" s="15" t="s">
        <v>6149</v>
      </c>
      <c r="F690" s="146" t="s">
        <v>204</v>
      </c>
      <c r="G690" s="15" t="s">
        <v>6150</v>
      </c>
      <c r="H690" s="15" t="s">
        <v>1345</v>
      </c>
      <c r="I690" s="15" t="s">
        <v>65</v>
      </c>
      <c r="J690" s="15" t="s">
        <v>6150</v>
      </c>
      <c r="K690" s="15" t="s">
        <v>1345</v>
      </c>
      <c r="L690" s="15" t="s">
        <v>65</v>
      </c>
      <c r="M690" s="16" t="s">
        <v>6151</v>
      </c>
      <c r="N690" s="94" t="s">
        <v>6152</v>
      </c>
      <c r="O690" s="13"/>
      <c r="P690" s="15" t="s">
        <v>6153</v>
      </c>
      <c r="Q690" s="17" t="s">
        <v>6154</v>
      </c>
      <c r="R690" s="18">
        <v>107</v>
      </c>
      <c r="S690" s="19">
        <f t="shared" si="5"/>
        <v>17334</v>
      </c>
      <c r="T690" s="12" t="s">
        <v>46</v>
      </c>
      <c r="U690" s="15"/>
      <c r="V690" s="19">
        <v>44610</v>
      </c>
      <c r="W690" s="15"/>
      <c r="X690" s="13">
        <v>1109038</v>
      </c>
      <c r="Y690" s="20"/>
      <c r="Z690" s="13">
        <v>3856571</v>
      </c>
      <c r="AA690" s="13">
        <v>4744204</v>
      </c>
      <c r="AB690" s="13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</row>
    <row r="691" spans="1:46" ht="45" customHeight="1">
      <c r="A691" s="12" t="s">
        <v>6155</v>
      </c>
      <c r="B691" s="13" t="s">
        <v>6156</v>
      </c>
      <c r="C691" s="14" t="s">
        <v>6157</v>
      </c>
      <c r="D691" s="15" t="s">
        <v>6158</v>
      </c>
      <c r="E691" s="15" t="s">
        <v>6159</v>
      </c>
      <c r="F691" s="15" t="s">
        <v>181</v>
      </c>
      <c r="G691" s="15" t="s">
        <v>6160</v>
      </c>
      <c r="H691" s="15" t="s">
        <v>52</v>
      </c>
      <c r="I691" s="15" t="s">
        <v>53</v>
      </c>
      <c r="J691" s="15" t="s">
        <v>6161</v>
      </c>
      <c r="K691" s="15"/>
      <c r="L691" s="15" t="s">
        <v>41</v>
      </c>
      <c r="M691" s="46" t="s">
        <v>6162</v>
      </c>
      <c r="N691" s="13" t="s">
        <v>6163</v>
      </c>
      <c r="O691" s="13"/>
      <c r="P691" s="15" t="s">
        <v>94</v>
      </c>
      <c r="Q691" s="17" t="s">
        <v>6164</v>
      </c>
      <c r="R691" s="18">
        <v>331</v>
      </c>
      <c r="S691" s="19">
        <f t="shared" si="5"/>
        <v>53622</v>
      </c>
      <c r="T691" s="12" t="s">
        <v>46</v>
      </c>
      <c r="U691" s="15"/>
      <c r="V691" s="19">
        <v>44610</v>
      </c>
      <c r="W691" s="15"/>
      <c r="X691" s="13">
        <v>1067183</v>
      </c>
      <c r="Y691" s="20">
        <v>3117848</v>
      </c>
      <c r="Z691" s="13">
        <v>3893325</v>
      </c>
      <c r="AA691" s="13">
        <v>4717630</v>
      </c>
      <c r="AB691" s="13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</row>
    <row r="692" spans="1:46" ht="45" customHeight="1">
      <c r="A692" s="21" t="s">
        <v>6165</v>
      </c>
      <c r="B692" s="22" t="s">
        <v>6166</v>
      </c>
      <c r="C692" s="23" t="s">
        <v>6167</v>
      </c>
      <c r="D692" s="24" t="s">
        <v>6168</v>
      </c>
      <c r="E692" s="24" t="s">
        <v>3020</v>
      </c>
      <c r="F692" s="161" t="s">
        <v>776</v>
      </c>
      <c r="G692" s="24" t="s">
        <v>6169</v>
      </c>
      <c r="H692" s="24" t="s">
        <v>4520</v>
      </c>
      <c r="I692" s="24" t="s">
        <v>41</v>
      </c>
      <c r="J692" s="24" t="s">
        <v>6169</v>
      </c>
      <c r="K692" s="24" t="s">
        <v>4520</v>
      </c>
      <c r="L692" s="24" t="s">
        <v>41</v>
      </c>
      <c r="M692" s="59" t="s">
        <v>6170</v>
      </c>
      <c r="N692" s="22" t="s">
        <v>6171</v>
      </c>
      <c r="O692" s="26">
        <v>46555</v>
      </c>
      <c r="P692" s="24" t="s">
        <v>2111</v>
      </c>
      <c r="Q692" s="28" t="s">
        <v>6172</v>
      </c>
      <c r="R692" s="29">
        <v>1076</v>
      </c>
      <c r="S692" s="30">
        <f t="shared" si="5"/>
        <v>174312</v>
      </c>
      <c r="T692" s="21" t="s">
        <v>198</v>
      </c>
      <c r="U692" s="24"/>
      <c r="V692" s="44">
        <v>107970</v>
      </c>
      <c r="W692" s="24" t="s">
        <v>71</v>
      </c>
      <c r="X692" s="22"/>
      <c r="Y692" s="31"/>
      <c r="Z692" s="22">
        <v>3859408</v>
      </c>
      <c r="AA692" s="22">
        <v>4741150</v>
      </c>
      <c r="AB692" s="22"/>
      <c r="AC692" s="24">
        <v>5590003</v>
      </c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</row>
    <row r="693" spans="1:46" ht="45" customHeight="1">
      <c r="A693" s="21" t="s">
        <v>6173</v>
      </c>
      <c r="B693" s="22" t="s">
        <v>6174</v>
      </c>
      <c r="C693" s="23" t="s">
        <v>6175</v>
      </c>
      <c r="D693" s="24" t="s">
        <v>6176</v>
      </c>
      <c r="E693" s="24" t="s">
        <v>6177</v>
      </c>
      <c r="F693" s="161" t="s">
        <v>158</v>
      </c>
      <c r="G693" s="24" t="s">
        <v>6178</v>
      </c>
      <c r="H693" s="24" t="s">
        <v>1212</v>
      </c>
      <c r="I693" s="24" t="s">
        <v>80</v>
      </c>
      <c r="J693" s="24" t="s">
        <v>6178</v>
      </c>
      <c r="K693" s="24" t="s">
        <v>1212</v>
      </c>
      <c r="L693" s="24" t="s">
        <v>80</v>
      </c>
      <c r="M693" s="25" t="s">
        <v>6179</v>
      </c>
      <c r="N693" s="22" t="s">
        <v>6180</v>
      </c>
      <c r="O693" s="26">
        <v>46190</v>
      </c>
      <c r="P693" s="24" t="s">
        <v>408</v>
      </c>
      <c r="Q693" s="28" t="s">
        <v>6181</v>
      </c>
      <c r="R693" s="29">
        <v>3963</v>
      </c>
      <c r="S693" s="30">
        <f t="shared" si="5"/>
        <v>642006</v>
      </c>
      <c r="T693" s="21" t="s">
        <v>129</v>
      </c>
      <c r="U693" s="24"/>
      <c r="V693" s="30">
        <v>545160</v>
      </c>
      <c r="W693" s="45" t="s">
        <v>71</v>
      </c>
      <c r="X693" s="22"/>
      <c r="Y693" s="31"/>
      <c r="Z693" s="22">
        <v>3899698</v>
      </c>
      <c r="AA693" s="22">
        <v>4754582</v>
      </c>
      <c r="AB693" s="22"/>
      <c r="AC693" s="45">
        <v>5626856</v>
      </c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</row>
    <row r="694" spans="1:46" ht="45" customHeight="1">
      <c r="A694" s="12" t="s">
        <v>6182</v>
      </c>
      <c r="B694" s="13" t="s">
        <v>6183</v>
      </c>
      <c r="C694" s="66" t="s">
        <v>6184</v>
      </c>
      <c r="D694" s="15" t="s">
        <v>6185</v>
      </c>
      <c r="E694" s="15" t="s">
        <v>5907</v>
      </c>
      <c r="F694" s="15" t="s">
        <v>181</v>
      </c>
      <c r="G694" s="15" t="s">
        <v>6186</v>
      </c>
      <c r="H694" s="15" t="s">
        <v>6187</v>
      </c>
      <c r="I694" s="15" t="s">
        <v>352</v>
      </c>
      <c r="J694" s="15" t="s">
        <v>6186</v>
      </c>
      <c r="K694" s="15" t="s">
        <v>6187</v>
      </c>
      <c r="L694" s="15" t="s">
        <v>352</v>
      </c>
      <c r="M694" s="16"/>
      <c r="N694" s="13">
        <v>2625491141</v>
      </c>
      <c r="O694" s="13"/>
      <c r="P694" s="15" t="s">
        <v>94</v>
      </c>
      <c r="Q694" s="17" t="s">
        <v>6188</v>
      </c>
      <c r="R694" s="18" t="s">
        <v>5746</v>
      </c>
      <c r="S694" s="19" t="e">
        <f t="shared" si="5"/>
        <v>#VALUE!</v>
      </c>
      <c r="T694" s="12" t="s">
        <v>5746</v>
      </c>
      <c r="U694" s="15"/>
      <c r="V694" s="19">
        <v>6300</v>
      </c>
      <c r="W694" s="15"/>
      <c r="X694" s="13"/>
      <c r="Y694" s="20"/>
      <c r="Z694" s="13"/>
      <c r="AA694" s="13"/>
      <c r="AB694" s="13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</row>
    <row r="695" spans="1:46" ht="45" customHeight="1">
      <c r="A695" s="12" t="s">
        <v>6189</v>
      </c>
      <c r="B695" s="13" t="s">
        <v>6190</v>
      </c>
      <c r="C695" s="66" t="s">
        <v>6191</v>
      </c>
      <c r="D695" s="15" t="s">
        <v>6192</v>
      </c>
      <c r="E695" s="15" t="s">
        <v>6193</v>
      </c>
      <c r="F695" s="15" t="s">
        <v>181</v>
      </c>
      <c r="G695" s="15" t="s">
        <v>6194</v>
      </c>
      <c r="H695" s="15"/>
      <c r="I695" s="15" t="s">
        <v>41</v>
      </c>
      <c r="J695" s="15" t="s">
        <v>6194</v>
      </c>
      <c r="K695" s="15"/>
      <c r="L695" s="15" t="s">
        <v>41</v>
      </c>
      <c r="M695" s="74" t="s">
        <v>6195</v>
      </c>
      <c r="N695" s="47" t="s">
        <v>6196</v>
      </c>
      <c r="O695" s="13"/>
      <c r="P695" s="15" t="s">
        <v>94</v>
      </c>
      <c r="Q695" s="17" t="s">
        <v>6197</v>
      </c>
      <c r="R695" s="18" t="s">
        <v>5746</v>
      </c>
      <c r="S695" s="19" t="e">
        <f t="shared" si="5"/>
        <v>#VALUE!</v>
      </c>
      <c r="T695" s="12" t="s">
        <v>5746</v>
      </c>
      <c r="U695" s="15"/>
      <c r="V695" s="19">
        <v>6300</v>
      </c>
      <c r="W695" s="15"/>
      <c r="X695" s="13"/>
      <c r="Y695" s="20"/>
      <c r="Z695" s="13"/>
      <c r="AA695" s="13"/>
      <c r="AB695" s="13"/>
      <c r="AC695" s="49" t="s">
        <v>130</v>
      </c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</row>
    <row r="696" spans="1:46" ht="45" customHeight="1">
      <c r="A696" s="12" t="s">
        <v>6198</v>
      </c>
      <c r="B696" s="13" t="s">
        <v>6199</v>
      </c>
      <c r="C696" s="66" t="s">
        <v>6200</v>
      </c>
      <c r="D696" s="15" t="s">
        <v>6201</v>
      </c>
      <c r="E696" s="15" t="s">
        <v>6202</v>
      </c>
      <c r="F696" s="146" t="s">
        <v>111</v>
      </c>
      <c r="G696" s="15" t="s">
        <v>6203</v>
      </c>
      <c r="H696" s="15" t="s">
        <v>114</v>
      </c>
      <c r="I696" s="15" t="s">
        <v>115</v>
      </c>
      <c r="J696" s="15" t="s">
        <v>6203</v>
      </c>
      <c r="K696" s="15" t="s">
        <v>114</v>
      </c>
      <c r="L696" s="15" t="s">
        <v>115</v>
      </c>
      <c r="M696" s="46" t="s">
        <v>6204</v>
      </c>
      <c r="N696" s="13">
        <v>4453845</v>
      </c>
      <c r="O696" s="13"/>
      <c r="P696" s="15" t="s">
        <v>44</v>
      </c>
      <c r="Q696" s="17" t="s">
        <v>6205</v>
      </c>
      <c r="R696" s="18" t="s">
        <v>5746</v>
      </c>
      <c r="S696" s="19" t="e">
        <f t="shared" si="5"/>
        <v>#VALUE!</v>
      </c>
      <c r="T696" s="12" t="s">
        <v>5746</v>
      </c>
      <c r="U696" s="15"/>
      <c r="V696" s="19">
        <v>6300</v>
      </c>
      <c r="W696" s="15"/>
      <c r="X696" s="13"/>
      <c r="Y696" s="20"/>
      <c r="Z696" s="13"/>
      <c r="AA696" s="13"/>
      <c r="AB696" s="13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</row>
    <row r="697" spans="1:46" ht="45" customHeight="1">
      <c r="A697" s="12" t="s">
        <v>6206</v>
      </c>
      <c r="B697" s="13" t="s">
        <v>6207</v>
      </c>
      <c r="C697" s="14" t="s">
        <v>6208</v>
      </c>
      <c r="D697" s="15" t="s">
        <v>6209</v>
      </c>
      <c r="E697" s="15" t="s">
        <v>6210</v>
      </c>
      <c r="F697" s="15" t="s">
        <v>181</v>
      </c>
      <c r="G697" s="15" t="s">
        <v>6211</v>
      </c>
      <c r="H697" s="15"/>
      <c r="I697" s="15" t="s">
        <v>38</v>
      </c>
      <c r="J697" s="15" t="s">
        <v>6211</v>
      </c>
      <c r="K697" s="15"/>
      <c r="L697" s="15" t="s">
        <v>38</v>
      </c>
      <c r="M697" s="46" t="s">
        <v>6212</v>
      </c>
      <c r="N697" s="13" t="s">
        <v>6213</v>
      </c>
      <c r="O697" s="13"/>
      <c r="P697" s="15" t="s">
        <v>117</v>
      </c>
      <c r="Q697" s="17" t="s">
        <v>6214</v>
      </c>
      <c r="R697" s="18">
        <v>501</v>
      </c>
      <c r="S697" s="19">
        <f t="shared" si="5"/>
        <v>81162</v>
      </c>
      <c r="T697" s="12" t="s">
        <v>46</v>
      </c>
      <c r="U697" s="15"/>
      <c r="V697" s="19">
        <v>44610</v>
      </c>
      <c r="W697" s="15"/>
      <c r="X697" s="13">
        <v>1010923</v>
      </c>
      <c r="Y697" s="20">
        <v>3091477</v>
      </c>
      <c r="Z697" s="13">
        <v>3880695</v>
      </c>
      <c r="AA697" s="13">
        <v>4745203</v>
      </c>
      <c r="AB697" s="13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</row>
    <row r="698" spans="1:46" ht="45" customHeight="1">
      <c r="A698" s="12" t="s">
        <v>6215</v>
      </c>
      <c r="B698" s="13" t="s">
        <v>6216</v>
      </c>
      <c r="C698" s="14" t="s">
        <v>6217</v>
      </c>
      <c r="D698" s="15" t="s">
        <v>6218</v>
      </c>
      <c r="E698" s="15" t="s">
        <v>6219</v>
      </c>
      <c r="F698" s="146" t="s">
        <v>909</v>
      </c>
      <c r="G698" s="15" t="s">
        <v>6220</v>
      </c>
      <c r="H698" s="15"/>
      <c r="I698" s="15" t="s">
        <v>6221</v>
      </c>
      <c r="J698" s="15" t="s">
        <v>6222</v>
      </c>
      <c r="K698" s="15" t="s">
        <v>6223</v>
      </c>
      <c r="L698" s="15" t="s">
        <v>332</v>
      </c>
      <c r="M698" s="46" t="s">
        <v>6224</v>
      </c>
      <c r="N698" s="13">
        <v>2634344376</v>
      </c>
      <c r="O698" s="13"/>
      <c r="P698" s="15" t="s">
        <v>94</v>
      </c>
      <c r="Q698" s="17" t="s">
        <v>6225</v>
      </c>
      <c r="R698" s="18">
        <v>200</v>
      </c>
      <c r="S698" s="19">
        <f t="shared" si="5"/>
        <v>32400</v>
      </c>
      <c r="T698" s="12" t="s">
        <v>46</v>
      </c>
      <c r="U698" s="15"/>
      <c r="V698" s="19">
        <v>44610</v>
      </c>
      <c r="W698" s="15"/>
      <c r="X698" s="13"/>
      <c r="Y698" s="20"/>
      <c r="Z698" s="13">
        <v>3906961</v>
      </c>
      <c r="AA698" s="13"/>
      <c r="AB698" s="13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</row>
    <row r="699" spans="1:46" ht="45" customHeight="1">
      <c r="A699" s="12" t="s">
        <v>6226</v>
      </c>
      <c r="B699" s="13" t="s">
        <v>6227</v>
      </c>
      <c r="C699" s="66" t="s">
        <v>6228</v>
      </c>
      <c r="D699" s="15" t="s">
        <v>6229</v>
      </c>
      <c r="E699" s="15" t="s">
        <v>2387</v>
      </c>
      <c r="F699" s="146" t="s">
        <v>147</v>
      </c>
      <c r="G699" s="15" t="s">
        <v>6230</v>
      </c>
      <c r="H699" s="15" t="s">
        <v>331</v>
      </c>
      <c r="I699" s="15" t="s">
        <v>149</v>
      </c>
      <c r="J699" s="15" t="s">
        <v>6230</v>
      </c>
      <c r="K699" s="15" t="s">
        <v>331</v>
      </c>
      <c r="L699" s="15" t="s">
        <v>149</v>
      </c>
      <c r="M699" s="46" t="s">
        <v>6231</v>
      </c>
      <c r="N699" s="13" t="s">
        <v>6232</v>
      </c>
      <c r="O699" s="13"/>
      <c r="P699" s="15" t="s">
        <v>6233</v>
      </c>
      <c r="Q699" s="17" t="s">
        <v>6234</v>
      </c>
      <c r="R699" s="18">
        <v>167.58699999999999</v>
      </c>
      <c r="S699" s="19">
        <f t="shared" si="5"/>
        <v>27149.093999999997</v>
      </c>
      <c r="T699" s="12" t="s">
        <v>46</v>
      </c>
      <c r="U699" s="15"/>
      <c r="V699" s="19">
        <v>44610</v>
      </c>
      <c r="W699" s="15"/>
      <c r="X699" s="13"/>
      <c r="Y699" s="20"/>
      <c r="Z699" s="13"/>
      <c r="AA699" s="13"/>
      <c r="AB699" s="13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</row>
    <row r="700" spans="1:46" ht="45" customHeight="1">
      <c r="A700" s="12" t="s">
        <v>6235</v>
      </c>
      <c r="B700" s="13" t="s">
        <v>6236</v>
      </c>
      <c r="C700" s="14" t="s">
        <v>6237</v>
      </c>
      <c r="D700" s="15" t="s">
        <v>6238</v>
      </c>
      <c r="E700" s="15" t="s">
        <v>6239</v>
      </c>
      <c r="F700" s="146" t="s">
        <v>35</v>
      </c>
      <c r="G700" s="15" t="s">
        <v>6240</v>
      </c>
      <c r="H700" s="15"/>
      <c r="I700" s="15" t="s">
        <v>80</v>
      </c>
      <c r="J700" s="15" t="s">
        <v>6240</v>
      </c>
      <c r="K700" s="15"/>
      <c r="L700" s="15" t="s">
        <v>80</v>
      </c>
      <c r="M700" s="16" t="s">
        <v>6241</v>
      </c>
      <c r="N700" s="13" t="s">
        <v>6242</v>
      </c>
      <c r="O700" s="13"/>
      <c r="P700" s="15" t="s">
        <v>1870</v>
      </c>
      <c r="Q700" s="17" t="s">
        <v>6243</v>
      </c>
      <c r="R700" s="18">
        <v>350</v>
      </c>
      <c r="S700" s="19">
        <f t="shared" si="5"/>
        <v>56700</v>
      </c>
      <c r="T700" s="12" t="s">
        <v>46</v>
      </c>
      <c r="U700" s="15"/>
      <c r="V700" s="19">
        <v>44610</v>
      </c>
      <c r="W700" s="15"/>
      <c r="X700" s="13"/>
      <c r="Y700" s="20"/>
      <c r="Z700" s="13"/>
      <c r="AA700" s="13"/>
      <c r="AB700" s="13">
        <v>4860744</v>
      </c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</row>
    <row r="701" spans="1:46" ht="45" customHeight="1">
      <c r="A701" s="12" t="s">
        <v>6244</v>
      </c>
      <c r="B701" s="13" t="s">
        <v>6245</v>
      </c>
      <c r="C701" s="14" t="s">
        <v>6246</v>
      </c>
      <c r="D701" s="15" t="s">
        <v>6247</v>
      </c>
      <c r="E701" s="15" t="s">
        <v>6248</v>
      </c>
      <c r="F701" s="146" t="s">
        <v>111</v>
      </c>
      <c r="G701" s="15" t="s">
        <v>6249</v>
      </c>
      <c r="H701" s="15" t="s">
        <v>1736</v>
      </c>
      <c r="I701" s="15" t="s">
        <v>149</v>
      </c>
      <c r="J701" s="15" t="s">
        <v>6249</v>
      </c>
      <c r="K701" s="15" t="s">
        <v>1736</v>
      </c>
      <c r="L701" s="15" t="s">
        <v>149</v>
      </c>
      <c r="M701" s="16" t="s">
        <v>2942</v>
      </c>
      <c r="N701" s="13" t="s">
        <v>6250</v>
      </c>
      <c r="O701" s="13"/>
      <c r="P701" s="15" t="s">
        <v>94</v>
      </c>
      <c r="Q701" s="17" t="s">
        <v>6251</v>
      </c>
      <c r="R701" s="18">
        <v>303</v>
      </c>
      <c r="S701" s="19">
        <f t="shared" si="5"/>
        <v>49086</v>
      </c>
      <c r="T701" s="12" t="s">
        <v>46</v>
      </c>
      <c r="U701" s="15"/>
      <c r="V701" s="19">
        <v>44610</v>
      </c>
      <c r="W701" s="15" t="s">
        <v>71</v>
      </c>
      <c r="X701" s="13">
        <v>1030139</v>
      </c>
      <c r="Y701" s="20">
        <v>3117726</v>
      </c>
      <c r="Z701" s="13">
        <v>3908257</v>
      </c>
      <c r="AA701" s="13">
        <v>4757851</v>
      </c>
      <c r="AB701" s="13"/>
      <c r="AC701" s="15">
        <v>5602556</v>
      </c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</row>
    <row r="702" spans="1:46" ht="45" customHeight="1">
      <c r="A702" s="12" t="s">
        <v>6252</v>
      </c>
      <c r="B702" s="13" t="s">
        <v>6253</v>
      </c>
      <c r="C702" s="14" t="s">
        <v>6254</v>
      </c>
      <c r="D702" s="15" t="s">
        <v>6255</v>
      </c>
      <c r="E702" s="15" t="s">
        <v>6256</v>
      </c>
      <c r="F702" s="146" t="s">
        <v>62</v>
      </c>
      <c r="G702" s="15" t="s">
        <v>6257</v>
      </c>
      <c r="H702" s="15" t="s">
        <v>630</v>
      </c>
      <c r="I702" s="15" t="s">
        <v>80</v>
      </c>
      <c r="J702" s="15" t="s">
        <v>6258</v>
      </c>
      <c r="K702" s="15" t="s">
        <v>630</v>
      </c>
      <c r="L702" s="15" t="s">
        <v>80</v>
      </c>
      <c r="M702" s="16" t="s">
        <v>6259</v>
      </c>
      <c r="N702" s="13" t="s">
        <v>6260</v>
      </c>
      <c r="O702" s="13"/>
      <c r="P702" s="15" t="s">
        <v>6261</v>
      </c>
      <c r="Q702" s="17" t="s">
        <v>6262</v>
      </c>
      <c r="R702" s="18">
        <v>224</v>
      </c>
      <c r="S702" s="19">
        <f t="shared" si="5"/>
        <v>36288</v>
      </c>
      <c r="T702" s="12" t="s">
        <v>46</v>
      </c>
      <c r="U702" s="15"/>
      <c r="V702" s="19">
        <v>44610</v>
      </c>
      <c r="W702" s="15" t="s">
        <v>71</v>
      </c>
      <c r="X702" s="13">
        <v>1102497</v>
      </c>
      <c r="Y702" s="20">
        <v>3121892</v>
      </c>
      <c r="Z702" s="13">
        <v>3867855</v>
      </c>
      <c r="AA702" s="13">
        <v>4757932</v>
      </c>
      <c r="AB702" s="13"/>
      <c r="AC702" s="15">
        <v>5527792</v>
      </c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</row>
    <row r="703" spans="1:46" ht="45" customHeight="1">
      <c r="A703" s="50" t="s">
        <v>6263</v>
      </c>
      <c r="B703" s="51" t="s">
        <v>6264</v>
      </c>
      <c r="C703" s="52" t="s">
        <v>6265</v>
      </c>
      <c r="D703" s="53" t="s">
        <v>6266</v>
      </c>
      <c r="E703" s="53" t="s">
        <v>6267</v>
      </c>
      <c r="F703" s="141" t="s">
        <v>77</v>
      </c>
      <c r="G703" s="53" t="s">
        <v>4529</v>
      </c>
      <c r="H703" s="53" t="s">
        <v>52</v>
      </c>
      <c r="I703" s="53" t="s">
        <v>53</v>
      </c>
      <c r="J703" s="53" t="s">
        <v>6268</v>
      </c>
      <c r="K703" s="53" t="s">
        <v>6269</v>
      </c>
      <c r="L703" s="53" t="s">
        <v>1058</v>
      </c>
      <c r="M703" s="54" t="s">
        <v>6270</v>
      </c>
      <c r="N703" s="51" t="s">
        <v>6271</v>
      </c>
      <c r="O703" s="51"/>
      <c r="P703" s="53" t="s">
        <v>94</v>
      </c>
      <c r="Q703" s="55" t="s">
        <v>6272</v>
      </c>
      <c r="R703" s="56">
        <v>210</v>
      </c>
      <c r="S703" s="57">
        <f t="shared" si="5"/>
        <v>34020</v>
      </c>
      <c r="T703" s="50" t="s">
        <v>46</v>
      </c>
      <c r="U703" s="53"/>
      <c r="V703" s="57">
        <v>44610</v>
      </c>
      <c r="W703" s="53"/>
      <c r="X703" s="51"/>
      <c r="Y703" s="58"/>
      <c r="Z703" s="51"/>
      <c r="AA703" s="51"/>
      <c r="AB703" s="51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</row>
    <row r="704" spans="1:46" ht="45" customHeight="1">
      <c r="A704" s="50" t="s">
        <v>6273</v>
      </c>
      <c r="B704" s="51" t="s">
        <v>6274</v>
      </c>
      <c r="C704" s="52" t="s">
        <v>6275</v>
      </c>
      <c r="D704" s="53" t="s">
        <v>6276</v>
      </c>
      <c r="E704" s="53" t="s">
        <v>4640</v>
      </c>
      <c r="F704" s="141" t="s">
        <v>181</v>
      </c>
      <c r="G704" s="53" t="s">
        <v>6277</v>
      </c>
      <c r="H704" s="53" t="s">
        <v>291</v>
      </c>
      <c r="I704" s="53" t="s">
        <v>115</v>
      </c>
      <c r="J704" s="53" t="s">
        <v>6278</v>
      </c>
      <c r="K704" s="53"/>
      <c r="L704" s="53" t="s">
        <v>149</v>
      </c>
      <c r="M704" s="54" t="s">
        <v>6279</v>
      </c>
      <c r="N704" s="51">
        <v>2616082625</v>
      </c>
      <c r="O704" s="51"/>
      <c r="P704" s="53" t="s">
        <v>94</v>
      </c>
      <c r="Q704" s="55" t="s">
        <v>6280</v>
      </c>
      <c r="R704" s="56">
        <v>51</v>
      </c>
      <c r="S704" s="57">
        <f t="shared" si="5"/>
        <v>8262</v>
      </c>
      <c r="T704" s="50" t="s">
        <v>46</v>
      </c>
      <c r="U704" s="53"/>
      <c r="V704" s="57">
        <v>44610</v>
      </c>
      <c r="W704" s="53"/>
      <c r="X704" s="51"/>
      <c r="Y704" s="58"/>
      <c r="Z704" s="51"/>
      <c r="AA704" s="51"/>
      <c r="AB704" s="51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</row>
    <row r="705" spans="1:46" ht="45" customHeight="1">
      <c r="A705" s="40" t="s">
        <v>6281</v>
      </c>
      <c r="B705" s="33" t="s">
        <v>6282</v>
      </c>
      <c r="C705" s="34" t="s">
        <v>6283</v>
      </c>
      <c r="D705" s="35" t="s">
        <v>6284</v>
      </c>
      <c r="E705" s="35" t="s">
        <v>6285</v>
      </c>
      <c r="F705" s="162" t="s">
        <v>111</v>
      </c>
      <c r="G705" s="35" t="s">
        <v>6286</v>
      </c>
      <c r="H705" s="35" t="s">
        <v>447</v>
      </c>
      <c r="I705" s="35" t="s">
        <v>38</v>
      </c>
      <c r="J705" s="35" t="s">
        <v>6287</v>
      </c>
      <c r="K705" s="35"/>
      <c r="L705" s="35" t="s">
        <v>149</v>
      </c>
      <c r="M705" s="36" t="s">
        <v>6288</v>
      </c>
      <c r="N705" s="33">
        <v>156249000</v>
      </c>
      <c r="O705" s="33"/>
      <c r="P705" s="35" t="s">
        <v>44</v>
      </c>
      <c r="Q705" s="37" t="s">
        <v>6289</v>
      </c>
      <c r="R705" s="38">
        <v>49</v>
      </c>
      <c r="S705" s="39">
        <f t="shared" si="5"/>
        <v>7938</v>
      </c>
      <c r="T705" s="40" t="s">
        <v>46</v>
      </c>
      <c r="U705" s="35"/>
      <c r="V705" s="39">
        <v>44610</v>
      </c>
      <c r="W705" s="35"/>
      <c r="X705" s="33"/>
      <c r="Y705" s="41"/>
      <c r="Z705" s="33"/>
      <c r="AA705" s="33"/>
      <c r="AB705" s="33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</row>
    <row r="706" spans="1:46" ht="45" customHeight="1">
      <c r="A706" s="21" t="s">
        <v>6290</v>
      </c>
      <c r="B706" s="22" t="s">
        <v>6291</v>
      </c>
      <c r="C706" s="23" t="s">
        <v>6292</v>
      </c>
      <c r="D706" s="24" t="s">
        <v>6293</v>
      </c>
      <c r="E706" s="24" t="s">
        <v>6294</v>
      </c>
      <c r="F706" s="161" t="s">
        <v>158</v>
      </c>
      <c r="G706" s="24" t="s">
        <v>6295</v>
      </c>
      <c r="H706" s="24" t="s">
        <v>52</v>
      </c>
      <c r="I706" s="24" t="s">
        <v>53</v>
      </c>
      <c r="J706" s="24" t="s">
        <v>6296</v>
      </c>
      <c r="K706" s="24"/>
      <c r="L706" s="24" t="s">
        <v>41</v>
      </c>
      <c r="M706" s="59" t="s">
        <v>6297</v>
      </c>
      <c r="N706" s="22">
        <v>2604432170</v>
      </c>
      <c r="O706" s="22"/>
      <c r="P706" s="24" t="s">
        <v>685</v>
      </c>
      <c r="Q706" s="28" t="s">
        <v>6298</v>
      </c>
      <c r="R706" s="29">
        <v>5042</v>
      </c>
      <c r="S706" s="30">
        <f t="shared" si="5"/>
        <v>816804</v>
      </c>
      <c r="T706" s="21" t="s">
        <v>105</v>
      </c>
      <c r="U706" s="24"/>
      <c r="V706" s="30">
        <v>736320</v>
      </c>
      <c r="W706" s="24" t="s">
        <v>47</v>
      </c>
      <c r="X706" s="22">
        <v>1107686</v>
      </c>
      <c r="Y706" s="31"/>
      <c r="Z706" s="22">
        <v>3810645</v>
      </c>
      <c r="AA706" s="22">
        <v>4755865</v>
      </c>
      <c r="AB706" s="22"/>
      <c r="AC706" s="24">
        <v>5591369</v>
      </c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</row>
    <row r="707" spans="1:46" ht="45" customHeight="1">
      <c r="A707" s="21" t="s">
        <v>6299</v>
      </c>
      <c r="B707" s="22" t="s">
        <v>6300</v>
      </c>
      <c r="C707" s="23" t="s">
        <v>6301</v>
      </c>
      <c r="D707" s="24" t="s">
        <v>6302</v>
      </c>
      <c r="E707" s="24" t="s">
        <v>6303</v>
      </c>
      <c r="F707" s="161" t="s">
        <v>909</v>
      </c>
      <c r="G707" s="24" t="s">
        <v>6304</v>
      </c>
      <c r="H707" s="24" t="s">
        <v>331</v>
      </c>
      <c r="I707" s="24" t="s">
        <v>149</v>
      </c>
      <c r="J707" s="24" t="s">
        <v>6304</v>
      </c>
      <c r="K707" s="24" t="s">
        <v>331</v>
      </c>
      <c r="L707" s="24" t="s">
        <v>149</v>
      </c>
      <c r="M707" s="59" t="s">
        <v>6305</v>
      </c>
      <c r="N707" s="22">
        <v>2613050927</v>
      </c>
      <c r="O707" s="22"/>
      <c r="P707" s="24" t="s">
        <v>94</v>
      </c>
      <c r="Q707" s="28" t="s">
        <v>6306</v>
      </c>
      <c r="R707" s="29">
        <v>930</v>
      </c>
      <c r="S707" s="30">
        <f t="shared" si="5"/>
        <v>150660</v>
      </c>
      <c r="T707" s="21" t="s">
        <v>252</v>
      </c>
      <c r="U707" s="24"/>
      <c r="V707" s="30">
        <v>123900</v>
      </c>
      <c r="W707" s="24" t="s">
        <v>71</v>
      </c>
      <c r="X707" s="22"/>
      <c r="Y707" s="31">
        <v>3104193</v>
      </c>
      <c r="Z707" s="22">
        <v>3887715</v>
      </c>
      <c r="AA707" s="22">
        <v>4726423</v>
      </c>
      <c r="AB707" s="22"/>
      <c r="AC707" s="24">
        <v>5532096</v>
      </c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</row>
    <row r="708" spans="1:46" ht="45" customHeight="1">
      <c r="A708" s="12" t="s">
        <v>6307</v>
      </c>
      <c r="B708" s="13" t="s">
        <v>6308</v>
      </c>
      <c r="C708" s="14" t="s">
        <v>6309</v>
      </c>
      <c r="D708" s="15" t="s">
        <v>6310</v>
      </c>
      <c r="E708" s="15" t="s">
        <v>6311</v>
      </c>
      <c r="F708" s="146" t="s">
        <v>111</v>
      </c>
      <c r="G708" s="15" t="s">
        <v>6312</v>
      </c>
      <c r="H708" s="15" t="s">
        <v>1181</v>
      </c>
      <c r="I708" s="15" t="s">
        <v>80</v>
      </c>
      <c r="J708" s="15" t="s">
        <v>6312</v>
      </c>
      <c r="K708" s="15" t="s">
        <v>1181</v>
      </c>
      <c r="L708" s="15" t="s">
        <v>80</v>
      </c>
      <c r="M708" s="46" t="s">
        <v>2568</v>
      </c>
      <c r="N708" s="13" t="s">
        <v>6313</v>
      </c>
      <c r="O708" s="13"/>
      <c r="P708" s="15" t="s">
        <v>117</v>
      </c>
      <c r="Q708" s="17" t="s">
        <v>6314</v>
      </c>
      <c r="R708" s="18">
        <v>421</v>
      </c>
      <c r="S708" s="19">
        <f t="shared" si="5"/>
        <v>68202</v>
      </c>
      <c r="T708" s="12" t="s">
        <v>46</v>
      </c>
      <c r="U708" s="15"/>
      <c r="V708" s="19">
        <v>44610</v>
      </c>
      <c r="W708" s="15" t="s">
        <v>71</v>
      </c>
      <c r="X708" s="13">
        <v>1044754</v>
      </c>
      <c r="Y708" s="20">
        <v>3083169</v>
      </c>
      <c r="Z708" s="13">
        <v>3887806</v>
      </c>
      <c r="AA708" s="13">
        <v>4698056</v>
      </c>
      <c r="AB708" s="13"/>
      <c r="AC708" s="15">
        <v>5528543</v>
      </c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</row>
    <row r="709" spans="1:46" ht="45" customHeight="1">
      <c r="A709" s="12" t="s">
        <v>6315</v>
      </c>
      <c r="B709" s="13" t="s">
        <v>6316</v>
      </c>
      <c r="C709" s="14" t="s">
        <v>6317</v>
      </c>
      <c r="D709" s="15" t="s">
        <v>6318</v>
      </c>
      <c r="E709" s="15" t="s">
        <v>6319</v>
      </c>
      <c r="F709" s="146" t="s">
        <v>909</v>
      </c>
      <c r="G709" s="15" t="s">
        <v>6320</v>
      </c>
      <c r="H709" s="15" t="s">
        <v>3887</v>
      </c>
      <c r="I709" s="15" t="s">
        <v>38</v>
      </c>
      <c r="J709" s="15" t="s">
        <v>6321</v>
      </c>
      <c r="K709" s="15" t="s">
        <v>4559</v>
      </c>
      <c r="L709" s="15" t="s">
        <v>38</v>
      </c>
      <c r="M709" s="46" t="s">
        <v>6322</v>
      </c>
      <c r="N709" s="13" t="s">
        <v>6323</v>
      </c>
      <c r="O709" s="13"/>
      <c r="P709" s="15" t="s">
        <v>94</v>
      </c>
      <c r="Q709" s="17" t="s">
        <v>6324</v>
      </c>
      <c r="R709" s="18">
        <v>133</v>
      </c>
      <c r="S709" s="19">
        <f t="shared" si="5"/>
        <v>21546</v>
      </c>
      <c r="T709" s="12" t="s">
        <v>46</v>
      </c>
      <c r="U709" s="15"/>
      <c r="V709" s="19">
        <v>44610</v>
      </c>
      <c r="W709" s="15"/>
      <c r="X709" s="13"/>
      <c r="Y709" s="20">
        <v>3094833</v>
      </c>
      <c r="Z709" s="13"/>
      <c r="AA709" s="13">
        <v>4670778</v>
      </c>
      <c r="AB709" s="13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</row>
    <row r="710" spans="1:46" ht="45" customHeight="1">
      <c r="A710" s="12" t="s">
        <v>6325</v>
      </c>
      <c r="B710" s="13" t="s">
        <v>6326</v>
      </c>
      <c r="C710" s="14" t="s">
        <v>6327</v>
      </c>
      <c r="D710" s="15" t="s">
        <v>6328</v>
      </c>
      <c r="E710" s="15" t="s">
        <v>3583</v>
      </c>
      <c r="F710" s="146" t="s">
        <v>111</v>
      </c>
      <c r="G710" s="15" t="s">
        <v>6329</v>
      </c>
      <c r="H710" s="15" t="s">
        <v>6330</v>
      </c>
      <c r="I710" s="15" t="s">
        <v>149</v>
      </c>
      <c r="J710" s="15" t="s">
        <v>6329</v>
      </c>
      <c r="K710" s="15" t="s">
        <v>6330</v>
      </c>
      <c r="L710" s="15" t="s">
        <v>149</v>
      </c>
      <c r="M710" s="46" t="s">
        <v>6331</v>
      </c>
      <c r="N710" s="13">
        <v>2616147773</v>
      </c>
      <c r="O710" s="13"/>
      <c r="P710" s="15" t="s">
        <v>44</v>
      </c>
      <c r="Q710" s="17" t="s">
        <v>6332</v>
      </c>
      <c r="R710" s="18">
        <v>41</v>
      </c>
      <c r="S710" s="19">
        <f t="shared" si="5"/>
        <v>6642</v>
      </c>
      <c r="T710" s="12" t="s">
        <v>46</v>
      </c>
      <c r="U710" s="15"/>
      <c r="V710" s="19">
        <v>44610</v>
      </c>
      <c r="W710" s="15"/>
      <c r="X710" s="13"/>
      <c r="Y710" s="20"/>
      <c r="Z710" s="13">
        <v>3877367</v>
      </c>
      <c r="AA710" s="13"/>
      <c r="AB710" s="13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</row>
    <row r="711" spans="1:46" ht="45" customHeight="1">
      <c r="A711" s="12" t="s">
        <v>6333</v>
      </c>
      <c r="B711" s="13" t="s">
        <v>6334</v>
      </c>
      <c r="C711" s="14" t="s">
        <v>6335</v>
      </c>
      <c r="D711" s="15" t="s">
        <v>6336</v>
      </c>
      <c r="E711" s="15" t="s">
        <v>6337</v>
      </c>
      <c r="F711" s="146" t="s">
        <v>402</v>
      </c>
      <c r="G711" s="15" t="s">
        <v>6338</v>
      </c>
      <c r="H711" s="15" t="s">
        <v>630</v>
      </c>
      <c r="I711" s="15" t="s">
        <v>80</v>
      </c>
      <c r="J711" s="15" t="s">
        <v>6338</v>
      </c>
      <c r="K711" s="15" t="s">
        <v>630</v>
      </c>
      <c r="L711" s="15" t="s">
        <v>80</v>
      </c>
      <c r="M711" s="46" t="s">
        <v>3487</v>
      </c>
      <c r="N711" s="13">
        <v>2613050927</v>
      </c>
      <c r="O711" s="13"/>
      <c r="P711" s="15" t="s">
        <v>94</v>
      </c>
      <c r="Q711" s="17" t="s">
        <v>6339</v>
      </c>
      <c r="R711" s="18">
        <v>298</v>
      </c>
      <c r="S711" s="19">
        <f t="shared" si="5"/>
        <v>48276</v>
      </c>
      <c r="T711" s="12" t="s">
        <v>46</v>
      </c>
      <c r="U711" s="15"/>
      <c r="V711" s="19">
        <v>44610</v>
      </c>
      <c r="W711" s="15" t="s">
        <v>71</v>
      </c>
      <c r="X711" s="13">
        <v>1041289</v>
      </c>
      <c r="Y711" s="20"/>
      <c r="Z711" s="13">
        <v>3887711</v>
      </c>
      <c r="AA711" s="13">
        <v>4708236</v>
      </c>
      <c r="AB711" s="13"/>
      <c r="AC711" s="15">
        <v>5532887</v>
      </c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</row>
    <row r="712" spans="1:46" ht="45" customHeight="1">
      <c r="A712" s="12" t="s">
        <v>6340</v>
      </c>
      <c r="B712" s="13" t="s">
        <v>6341</v>
      </c>
      <c r="C712" s="14" t="s">
        <v>6342</v>
      </c>
      <c r="D712" s="15" t="s">
        <v>6343</v>
      </c>
      <c r="E712" s="15" t="s">
        <v>3583</v>
      </c>
      <c r="F712" s="146" t="s">
        <v>111</v>
      </c>
      <c r="G712" s="15" t="s">
        <v>6344</v>
      </c>
      <c r="H712" s="15" t="s">
        <v>6345</v>
      </c>
      <c r="I712" s="15" t="s">
        <v>149</v>
      </c>
      <c r="J712" s="15" t="s">
        <v>6344</v>
      </c>
      <c r="K712" s="15" t="s">
        <v>6345</v>
      </c>
      <c r="L712" s="15" t="s">
        <v>149</v>
      </c>
      <c r="M712" s="46" t="s">
        <v>6346</v>
      </c>
      <c r="N712" s="13">
        <v>2612070641</v>
      </c>
      <c r="O712" s="13"/>
      <c r="P712" s="15" t="s">
        <v>94</v>
      </c>
      <c r="Q712" s="17" t="s">
        <v>6347</v>
      </c>
      <c r="R712" s="18">
        <v>59</v>
      </c>
      <c r="S712" s="19">
        <f t="shared" si="5"/>
        <v>9558</v>
      </c>
      <c r="T712" s="12" t="s">
        <v>46</v>
      </c>
      <c r="U712" s="15"/>
      <c r="V712" s="19">
        <v>44610</v>
      </c>
      <c r="W712" s="15"/>
      <c r="X712" s="13">
        <v>1136585</v>
      </c>
      <c r="Y712" s="20">
        <v>3099453</v>
      </c>
      <c r="Z712" s="13">
        <v>3836318</v>
      </c>
      <c r="AA712" s="13">
        <v>4753649</v>
      </c>
      <c r="AB712" s="13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</row>
    <row r="713" spans="1:46" ht="45" customHeight="1">
      <c r="A713" s="12" t="s">
        <v>6348</v>
      </c>
      <c r="B713" s="13" t="s">
        <v>6349</v>
      </c>
      <c r="C713" s="14" t="s">
        <v>6350</v>
      </c>
      <c r="D713" s="15" t="s">
        <v>6351</v>
      </c>
      <c r="E713" s="15" t="s">
        <v>3583</v>
      </c>
      <c r="F713" s="146" t="s">
        <v>111</v>
      </c>
      <c r="G713" s="15" t="s">
        <v>6352</v>
      </c>
      <c r="H713" s="15"/>
      <c r="I713" s="15" t="s">
        <v>149</v>
      </c>
      <c r="J713" s="15" t="s">
        <v>6352</v>
      </c>
      <c r="K713" s="15"/>
      <c r="L713" s="15" t="s">
        <v>149</v>
      </c>
      <c r="M713" s="46" t="s">
        <v>6353</v>
      </c>
      <c r="N713" s="13">
        <v>4520793</v>
      </c>
      <c r="O713" s="13"/>
      <c r="P713" s="15" t="s">
        <v>94</v>
      </c>
      <c r="Q713" s="17" t="s">
        <v>6354</v>
      </c>
      <c r="R713" s="18">
        <v>49</v>
      </c>
      <c r="S713" s="19">
        <f t="shared" si="5"/>
        <v>7938</v>
      </c>
      <c r="T713" s="12" t="s">
        <v>46</v>
      </c>
      <c r="U713" s="15"/>
      <c r="V713" s="19">
        <v>44610</v>
      </c>
      <c r="W713" s="15"/>
      <c r="X713" s="13">
        <v>1106679</v>
      </c>
      <c r="Y713" s="20">
        <v>3118789</v>
      </c>
      <c r="Z713" s="13"/>
      <c r="AA713" s="13"/>
      <c r="AB713" s="13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</row>
    <row r="714" spans="1:46" ht="45" customHeight="1">
      <c r="A714" s="12" t="s">
        <v>6355</v>
      </c>
      <c r="B714" s="13" t="s">
        <v>6356</v>
      </c>
      <c r="C714" s="14" t="s">
        <v>6357</v>
      </c>
      <c r="D714" s="15" t="s">
        <v>6358</v>
      </c>
      <c r="E714" s="15" t="s">
        <v>6359</v>
      </c>
      <c r="F714" s="146" t="s">
        <v>181</v>
      </c>
      <c r="G714" s="15" t="s">
        <v>6360</v>
      </c>
      <c r="H714" s="15" t="s">
        <v>52</v>
      </c>
      <c r="I714" s="15" t="s">
        <v>53</v>
      </c>
      <c r="J714" s="15" t="s">
        <v>6360</v>
      </c>
      <c r="K714" s="15" t="s">
        <v>331</v>
      </c>
      <c r="L714" s="15" t="s">
        <v>206</v>
      </c>
      <c r="M714" s="46" t="s">
        <v>6361</v>
      </c>
      <c r="N714" s="13" t="s">
        <v>6362</v>
      </c>
      <c r="O714" s="13"/>
      <c r="P714" s="15" t="s">
        <v>94</v>
      </c>
      <c r="Q714" s="17" t="s">
        <v>6363</v>
      </c>
      <c r="R714" s="18">
        <v>143</v>
      </c>
      <c r="S714" s="19">
        <f t="shared" si="5"/>
        <v>23166</v>
      </c>
      <c r="T714" s="12" t="s">
        <v>46</v>
      </c>
      <c r="U714" s="15"/>
      <c r="V714" s="19">
        <v>44610</v>
      </c>
      <c r="W714" s="15"/>
      <c r="X714" s="13">
        <v>1067657</v>
      </c>
      <c r="Y714" s="20">
        <v>3098695</v>
      </c>
      <c r="Z714" s="13">
        <v>3894788</v>
      </c>
      <c r="AA714" s="13"/>
      <c r="AB714" s="13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</row>
    <row r="715" spans="1:46" ht="45" customHeight="1">
      <c r="A715" s="12" t="s">
        <v>6364</v>
      </c>
      <c r="B715" s="13" t="s">
        <v>6365</v>
      </c>
      <c r="C715" s="14" t="s">
        <v>6366</v>
      </c>
      <c r="D715" s="15" t="s">
        <v>5064</v>
      </c>
      <c r="E715" s="15" t="s">
        <v>5907</v>
      </c>
      <c r="F715" s="146" t="s">
        <v>181</v>
      </c>
      <c r="G715" s="15" t="s">
        <v>6367</v>
      </c>
      <c r="H715" s="15" t="s">
        <v>2147</v>
      </c>
      <c r="I715" s="15" t="s">
        <v>881</v>
      </c>
      <c r="J715" s="15" t="s">
        <v>6367</v>
      </c>
      <c r="K715" s="15" t="s">
        <v>2147</v>
      </c>
      <c r="L715" s="15" t="s">
        <v>881</v>
      </c>
      <c r="M715" s="46" t="s">
        <v>6368</v>
      </c>
      <c r="N715" s="13" t="s">
        <v>6369</v>
      </c>
      <c r="O715" s="13"/>
      <c r="P715" s="15" t="s">
        <v>94</v>
      </c>
      <c r="Q715" s="17" t="s">
        <v>6370</v>
      </c>
      <c r="R715" s="18">
        <v>538</v>
      </c>
      <c r="S715" s="19">
        <f t="shared" si="5"/>
        <v>87156</v>
      </c>
      <c r="T715" s="12" t="s">
        <v>46</v>
      </c>
      <c r="U715" s="15"/>
      <c r="V715" s="19">
        <v>44610</v>
      </c>
      <c r="W715" s="15" t="s">
        <v>71</v>
      </c>
      <c r="X715" s="13">
        <v>992966</v>
      </c>
      <c r="Y715" s="20">
        <v>3081443</v>
      </c>
      <c r="Z715" s="13">
        <v>3820351</v>
      </c>
      <c r="AA715" s="13">
        <v>4698042</v>
      </c>
      <c r="AB715" s="13"/>
      <c r="AC715" s="15">
        <v>5504620</v>
      </c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</row>
    <row r="716" spans="1:46" ht="45" customHeight="1">
      <c r="A716" s="21" t="s">
        <v>6371</v>
      </c>
      <c r="B716" s="22" t="s">
        <v>6372</v>
      </c>
      <c r="C716" s="23" t="s">
        <v>6373</v>
      </c>
      <c r="D716" s="24" t="s">
        <v>6374</v>
      </c>
      <c r="E716" s="24" t="s">
        <v>6375</v>
      </c>
      <c r="F716" s="24" t="s">
        <v>158</v>
      </c>
      <c r="G716" s="24" t="s">
        <v>6376</v>
      </c>
      <c r="H716" s="24" t="s">
        <v>1262</v>
      </c>
      <c r="I716" s="24" t="s">
        <v>115</v>
      </c>
      <c r="J716" s="24" t="s">
        <v>6377</v>
      </c>
      <c r="K716" s="24" t="s">
        <v>6378</v>
      </c>
      <c r="L716" s="24" t="s">
        <v>115</v>
      </c>
      <c r="M716" s="59" t="s">
        <v>6379</v>
      </c>
      <c r="N716" s="22" t="s">
        <v>6380</v>
      </c>
      <c r="O716" s="22"/>
      <c r="P716" s="24" t="s">
        <v>5316</v>
      </c>
      <c r="Q716" s="28" t="s">
        <v>6381</v>
      </c>
      <c r="R716" s="29">
        <v>1208</v>
      </c>
      <c r="S716" s="30">
        <f t="shared" si="5"/>
        <v>195696</v>
      </c>
      <c r="T716" s="21" t="s">
        <v>198</v>
      </c>
      <c r="U716" s="24"/>
      <c r="V716" s="30">
        <v>215940</v>
      </c>
      <c r="W716" s="24" t="s">
        <v>47</v>
      </c>
      <c r="X716" s="22">
        <v>1020989</v>
      </c>
      <c r="Y716" s="31">
        <v>3094120</v>
      </c>
      <c r="Z716" s="22">
        <v>3861176</v>
      </c>
      <c r="AA716" s="22">
        <v>4693773</v>
      </c>
      <c r="AB716" s="22"/>
      <c r="AC716" s="24">
        <v>5552481</v>
      </c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</row>
    <row r="717" spans="1:46" ht="45" customHeight="1">
      <c r="A717" s="12" t="s">
        <v>6382</v>
      </c>
      <c r="B717" s="13" t="s">
        <v>6383</v>
      </c>
      <c r="C717" s="14" t="s">
        <v>6384</v>
      </c>
      <c r="D717" s="15" t="s">
        <v>6385</v>
      </c>
      <c r="E717" s="15" t="s">
        <v>6386</v>
      </c>
      <c r="F717" s="146" t="s">
        <v>35</v>
      </c>
      <c r="G717" s="15" t="s">
        <v>6387</v>
      </c>
      <c r="H717" s="15" t="s">
        <v>6388</v>
      </c>
      <c r="I717" s="15" t="s">
        <v>38</v>
      </c>
      <c r="J717" s="15" t="s">
        <v>6387</v>
      </c>
      <c r="K717" s="15" t="s">
        <v>6388</v>
      </c>
      <c r="L717" s="15" t="s">
        <v>38</v>
      </c>
      <c r="M717" s="46" t="s">
        <v>6389</v>
      </c>
      <c r="N717" s="13" t="s">
        <v>6390</v>
      </c>
      <c r="O717" s="73">
        <v>46186</v>
      </c>
      <c r="P717" s="15" t="s">
        <v>1466</v>
      </c>
      <c r="Q717" s="17" t="s">
        <v>6391</v>
      </c>
      <c r="R717" s="18">
        <v>343</v>
      </c>
      <c r="S717" s="19">
        <f t="shared" si="5"/>
        <v>55566</v>
      </c>
      <c r="T717" s="12" t="s">
        <v>46</v>
      </c>
      <c r="U717" s="15"/>
      <c r="V717" s="19">
        <f>44610/2</f>
        <v>22305</v>
      </c>
      <c r="W717" s="15" t="s">
        <v>71</v>
      </c>
      <c r="X717" s="13">
        <v>1028079</v>
      </c>
      <c r="Y717" s="20">
        <v>3098016</v>
      </c>
      <c r="Z717" s="13">
        <v>3862352</v>
      </c>
      <c r="AA717" s="13">
        <v>4752532</v>
      </c>
      <c r="AB717" s="13"/>
      <c r="AC717" s="15">
        <v>5596609</v>
      </c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</row>
    <row r="718" spans="1:46" ht="45" customHeight="1">
      <c r="A718" s="12" t="s">
        <v>6392</v>
      </c>
      <c r="B718" s="13" t="s">
        <v>6393</v>
      </c>
      <c r="C718" s="14" t="s">
        <v>6394</v>
      </c>
      <c r="D718" s="15" t="s">
        <v>2589</v>
      </c>
      <c r="E718" s="15" t="s">
        <v>6395</v>
      </c>
      <c r="F718" s="15" t="s">
        <v>111</v>
      </c>
      <c r="G718" s="15" t="s">
        <v>2590</v>
      </c>
      <c r="H718" s="15"/>
      <c r="I718" s="15" t="s">
        <v>149</v>
      </c>
      <c r="J718" s="15" t="s">
        <v>6396</v>
      </c>
      <c r="K718" s="15" t="s">
        <v>6397</v>
      </c>
      <c r="L718" s="15" t="s">
        <v>2691</v>
      </c>
      <c r="M718" s="46" t="s">
        <v>2592</v>
      </c>
      <c r="N718" s="13" t="s">
        <v>2593</v>
      </c>
      <c r="O718" s="13"/>
      <c r="P718" s="15" t="s">
        <v>44</v>
      </c>
      <c r="Q718" s="17" t="s">
        <v>6398</v>
      </c>
      <c r="R718" s="18">
        <v>39</v>
      </c>
      <c r="S718" s="19">
        <f t="shared" si="5"/>
        <v>6318</v>
      </c>
      <c r="T718" s="12" t="s">
        <v>46</v>
      </c>
      <c r="U718" s="15"/>
      <c r="V718" s="19">
        <v>44610</v>
      </c>
      <c r="W718" s="15" t="s">
        <v>71</v>
      </c>
      <c r="X718" s="13">
        <v>1043918</v>
      </c>
      <c r="Y718" s="20">
        <v>3113877</v>
      </c>
      <c r="Z718" s="13">
        <v>3897007</v>
      </c>
      <c r="AA718" s="13">
        <v>4753582</v>
      </c>
      <c r="AB718" s="13"/>
      <c r="AC718" s="15">
        <v>5609417</v>
      </c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</row>
    <row r="719" spans="1:46" ht="45" customHeight="1">
      <c r="A719" s="12" t="s">
        <v>6399</v>
      </c>
      <c r="B719" s="13" t="s">
        <v>6400</v>
      </c>
      <c r="C719" s="14" t="s">
        <v>6401</v>
      </c>
      <c r="D719" s="15" t="s">
        <v>6402</v>
      </c>
      <c r="E719" s="15" t="s">
        <v>1809</v>
      </c>
      <c r="F719" s="146" t="s">
        <v>181</v>
      </c>
      <c r="G719" s="15" t="s">
        <v>6403</v>
      </c>
      <c r="H719" s="15" t="s">
        <v>52</v>
      </c>
      <c r="I719" s="15" t="s">
        <v>53</v>
      </c>
      <c r="J719" s="15" t="s">
        <v>6403</v>
      </c>
      <c r="K719" s="15"/>
      <c r="L719" s="15" t="s">
        <v>206</v>
      </c>
      <c r="M719" s="16" t="s">
        <v>6404</v>
      </c>
      <c r="N719" s="13">
        <v>2617212332</v>
      </c>
      <c r="O719" s="13"/>
      <c r="P719" s="15" t="s">
        <v>44</v>
      </c>
      <c r="Q719" s="17" t="s">
        <v>6405</v>
      </c>
      <c r="R719" s="18">
        <v>78</v>
      </c>
      <c r="S719" s="19">
        <f t="shared" si="5"/>
        <v>12636</v>
      </c>
      <c r="T719" s="12" t="s">
        <v>46</v>
      </c>
      <c r="U719" s="15"/>
      <c r="V719" s="19">
        <v>44610</v>
      </c>
      <c r="W719" s="49" t="s">
        <v>71</v>
      </c>
      <c r="X719" s="13"/>
      <c r="Y719" s="20">
        <v>3071548</v>
      </c>
      <c r="Z719" s="13"/>
      <c r="AA719" s="13"/>
      <c r="AB719" s="13">
        <v>4864758</v>
      </c>
      <c r="AC719" s="49">
        <v>5637393</v>
      </c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</row>
    <row r="720" spans="1:46" ht="45" customHeight="1">
      <c r="A720" s="12" t="s">
        <v>6406</v>
      </c>
      <c r="B720" s="13" t="s">
        <v>6407</v>
      </c>
      <c r="C720" s="14" t="s">
        <v>6408</v>
      </c>
      <c r="D720" s="15" t="s">
        <v>6409</v>
      </c>
      <c r="E720" s="15" t="s">
        <v>1363</v>
      </c>
      <c r="F720" s="15" t="s">
        <v>111</v>
      </c>
      <c r="G720" s="15" t="s">
        <v>6410</v>
      </c>
      <c r="H720" s="15"/>
      <c r="I720" s="15" t="s">
        <v>149</v>
      </c>
      <c r="J720" s="15" t="s">
        <v>6410</v>
      </c>
      <c r="K720" s="15"/>
      <c r="L720" s="15" t="s">
        <v>149</v>
      </c>
      <c r="M720" s="46" t="s">
        <v>3283</v>
      </c>
      <c r="N720" s="13" t="s">
        <v>6411</v>
      </c>
      <c r="O720" s="13"/>
      <c r="P720" s="15" t="s">
        <v>44</v>
      </c>
      <c r="Q720" s="17" t="s">
        <v>6412</v>
      </c>
      <c r="R720" s="18">
        <v>24</v>
      </c>
      <c r="S720" s="19">
        <f t="shared" si="5"/>
        <v>3888</v>
      </c>
      <c r="T720" s="12" t="s">
        <v>46</v>
      </c>
      <c r="U720" s="15"/>
      <c r="V720" s="19">
        <v>44610</v>
      </c>
      <c r="W720" s="15" t="s">
        <v>71</v>
      </c>
      <c r="X720" s="13">
        <v>1021870</v>
      </c>
      <c r="Y720" s="20">
        <v>3067102</v>
      </c>
      <c r="Z720" s="13">
        <v>3832904</v>
      </c>
      <c r="AA720" s="13">
        <v>4709414</v>
      </c>
      <c r="AB720" s="13"/>
      <c r="AC720" s="15">
        <v>5591572</v>
      </c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</row>
    <row r="721" spans="1:46" ht="45" customHeight="1">
      <c r="A721" s="12" t="s">
        <v>6413</v>
      </c>
      <c r="B721" s="13" t="s">
        <v>6414</v>
      </c>
      <c r="C721" s="14" t="s">
        <v>6415</v>
      </c>
      <c r="D721" s="15" t="s">
        <v>6416</v>
      </c>
      <c r="E721" s="15" t="s">
        <v>3583</v>
      </c>
      <c r="F721" s="146" t="s">
        <v>111</v>
      </c>
      <c r="G721" s="15" t="s">
        <v>6417</v>
      </c>
      <c r="H721" s="15"/>
      <c r="I721" s="15" t="s">
        <v>149</v>
      </c>
      <c r="J721" s="15" t="s">
        <v>6417</v>
      </c>
      <c r="K721" s="15"/>
      <c r="L721" s="15" t="s">
        <v>149</v>
      </c>
      <c r="M721" s="46" t="s">
        <v>6418</v>
      </c>
      <c r="N721" s="13" t="s">
        <v>6419</v>
      </c>
      <c r="O721" s="13"/>
      <c r="P721" s="15" t="s">
        <v>44</v>
      </c>
      <c r="Q721" s="17" t="s">
        <v>6420</v>
      </c>
      <c r="R721" s="18">
        <v>32</v>
      </c>
      <c r="S721" s="19">
        <f t="shared" si="5"/>
        <v>5184</v>
      </c>
      <c r="T721" s="12" t="s">
        <v>46</v>
      </c>
      <c r="U721" s="15"/>
      <c r="V721" s="19">
        <v>44610</v>
      </c>
      <c r="W721" s="15" t="s">
        <v>71</v>
      </c>
      <c r="X721" s="13"/>
      <c r="Y721" s="20">
        <v>3067045</v>
      </c>
      <c r="Z721" s="13">
        <v>3832925</v>
      </c>
      <c r="AA721" s="13">
        <v>4709431</v>
      </c>
      <c r="AB721" s="13"/>
      <c r="AC721" s="15">
        <v>5532636</v>
      </c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</row>
    <row r="722" spans="1:46" ht="45" customHeight="1">
      <c r="A722" s="12" t="s">
        <v>6421</v>
      </c>
      <c r="B722" s="13" t="s">
        <v>6422</v>
      </c>
      <c r="C722" s="14" t="s">
        <v>6423</v>
      </c>
      <c r="D722" s="15" t="s">
        <v>5592</v>
      </c>
      <c r="E722" s="15" t="s">
        <v>6424</v>
      </c>
      <c r="F722" s="146" t="s">
        <v>111</v>
      </c>
      <c r="G722" s="15" t="s">
        <v>6425</v>
      </c>
      <c r="H722" s="15"/>
      <c r="I722" s="15" t="s">
        <v>149</v>
      </c>
      <c r="J722" s="15" t="s">
        <v>6426</v>
      </c>
      <c r="K722" s="15"/>
      <c r="L722" s="15" t="s">
        <v>41</v>
      </c>
      <c r="M722" s="16" t="s">
        <v>5594</v>
      </c>
      <c r="N722" s="13" t="s">
        <v>6427</v>
      </c>
      <c r="O722" s="13"/>
      <c r="P722" s="15" t="s">
        <v>94</v>
      </c>
      <c r="Q722" s="17" t="s">
        <v>6428</v>
      </c>
      <c r="R722" s="18">
        <v>363</v>
      </c>
      <c r="S722" s="19">
        <f t="shared" si="5"/>
        <v>58806</v>
      </c>
      <c r="T722" s="12" t="s">
        <v>46</v>
      </c>
      <c r="U722" s="15"/>
      <c r="V722" s="19">
        <v>44610</v>
      </c>
      <c r="W722" s="15" t="s">
        <v>71</v>
      </c>
      <c r="X722" s="13">
        <v>1030172</v>
      </c>
      <c r="Y722" s="20">
        <v>3117605</v>
      </c>
      <c r="Z722" s="13">
        <v>3908265</v>
      </c>
      <c r="AA722" s="13">
        <v>4757771</v>
      </c>
      <c r="AB722" s="13"/>
      <c r="AC722" s="15">
        <v>5606176</v>
      </c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</row>
    <row r="723" spans="1:46" ht="45" customHeight="1">
      <c r="A723" s="50" t="s">
        <v>6429</v>
      </c>
      <c r="B723" s="51" t="s">
        <v>6430</v>
      </c>
      <c r="C723" s="52" t="s">
        <v>6431</v>
      </c>
      <c r="D723" s="53" t="s">
        <v>6432</v>
      </c>
      <c r="E723" s="53" t="s">
        <v>6433</v>
      </c>
      <c r="F723" s="141" t="s">
        <v>181</v>
      </c>
      <c r="G723" s="53" t="s">
        <v>6434</v>
      </c>
      <c r="H723" s="53" t="s">
        <v>617</v>
      </c>
      <c r="I723" s="53" t="s">
        <v>38</v>
      </c>
      <c r="J723" s="53" t="s">
        <v>6434</v>
      </c>
      <c r="K723" s="53" t="s">
        <v>617</v>
      </c>
      <c r="L723" s="53" t="s">
        <v>38</v>
      </c>
      <c r="M723" s="54" t="s">
        <v>3487</v>
      </c>
      <c r="N723" s="51"/>
      <c r="O723" s="51"/>
      <c r="P723" s="53" t="s">
        <v>3014</v>
      </c>
      <c r="Q723" s="55" t="s">
        <v>6435</v>
      </c>
      <c r="R723" s="56">
        <v>45</v>
      </c>
      <c r="S723" s="57">
        <f t="shared" si="5"/>
        <v>7290</v>
      </c>
      <c r="T723" s="50" t="s">
        <v>46</v>
      </c>
      <c r="U723" s="53"/>
      <c r="V723" s="57">
        <v>44610</v>
      </c>
      <c r="W723" s="53"/>
      <c r="X723" s="51"/>
      <c r="Y723" s="58"/>
      <c r="Z723" s="51"/>
      <c r="AA723" s="51"/>
      <c r="AB723" s="51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</row>
    <row r="724" spans="1:46" ht="45" customHeight="1">
      <c r="A724" s="21" t="s">
        <v>6436</v>
      </c>
      <c r="B724" s="22" t="s">
        <v>6437</v>
      </c>
      <c r="C724" s="23" t="s">
        <v>6438</v>
      </c>
      <c r="D724" s="24" t="s">
        <v>6439</v>
      </c>
      <c r="E724" s="24" t="s">
        <v>6440</v>
      </c>
      <c r="F724" s="161" t="s">
        <v>111</v>
      </c>
      <c r="G724" s="24" t="s">
        <v>6441</v>
      </c>
      <c r="H724" s="24" t="s">
        <v>216</v>
      </c>
      <c r="I724" s="24" t="s">
        <v>149</v>
      </c>
      <c r="J724" s="24" t="s">
        <v>6442</v>
      </c>
      <c r="K724" s="24" t="s">
        <v>331</v>
      </c>
      <c r="L724" s="24" t="s">
        <v>149</v>
      </c>
      <c r="M724" s="59" t="s">
        <v>6443</v>
      </c>
      <c r="N724" s="22" t="s">
        <v>6444</v>
      </c>
      <c r="O724" s="22"/>
      <c r="P724" s="24" t="s">
        <v>94</v>
      </c>
      <c r="Q724" s="28" t="s">
        <v>6445</v>
      </c>
      <c r="R724" s="29">
        <v>3288</v>
      </c>
      <c r="S724" s="30">
        <f t="shared" si="5"/>
        <v>532656</v>
      </c>
      <c r="T724" s="21" t="s">
        <v>129</v>
      </c>
      <c r="U724" s="24"/>
      <c r="V724" s="30">
        <v>545160</v>
      </c>
      <c r="W724" s="24"/>
      <c r="X724" s="22"/>
      <c r="Y724" s="31"/>
      <c r="Z724" s="22">
        <v>3897218</v>
      </c>
      <c r="AA724" s="22">
        <v>4753613</v>
      </c>
      <c r="AB724" s="22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</row>
    <row r="725" spans="1:46" ht="45" customHeight="1">
      <c r="A725" s="12" t="s">
        <v>6446</v>
      </c>
      <c r="B725" s="13" t="s">
        <v>6447</v>
      </c>
      <c r="C725" s="14" t="s">
        <v>6448</v>
      </c>
      <c r="D725" s="15" t="s">
        <v>1187</v>
      </c>
      <c r="E725" s="15" t="s">
        <v>6449</v>
      </c>
      <c r="F725" s="146" t="s">
        <v>77</v>
      </c>
      <c r="G725" s="15" t="s">
        <v>1189</v>
      </c>
      <c r="H725" s="15" t="s">
        <v>1190</v>
      </c>
      <c r="I725" s="15" t="s">
        <v>38</v>
      </c>
      <c r="J725" s="15" t="s">
        <v>6450</v>
      </c>
      <c r="K725" s="15" t="s">
        <v>40</v>
      </c>
      <c r="L725" s="15" t="s">
        <v>1058</v>
      </c>
      <c r="M725" s="67" t="s">
        <v>6451</v>
      </c>
      <c r="N725" s="47" t="s">
        <v>6452</v>
      </c>
      <c r="O725" s="13"/>
      <c r="P725" s="15" t="s">
        <v>94</v>
      </c>
      <c r="Q725" s="17" t="s">
        <v>6453</v>
      </c>
      <c r="R725" s="18">
        <v>594</v>
      </c>
      <c r="S725" s="19">
        <f t="shared" si="5"/>
        <v>96228</v>
      </c>
      <c r="T725" s="12" t="s">
        <v>46</v>
      </c>
      <c r="U725" s="15"/>
      <c r="V725" s="19">
        <v>44610</v>
      </c>
      <c r="W725" s="49" t="s">
        <v>71</v>
      </c>
      <c r="X725" s="13">
        <v>1133235</v>
      </c>
      <c r="Y725" s="20">
        <v>3120799</v>
      </c>
      <c r="Z725" s="13"/>
      <c r="AA725" s="13">
        <v>4753702</v>
      </c>
      <c r="AB725" s="13"/>
      <c r="AC725" s="49">
        <v>5637399</v>
      </c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</row>
    <row r="726" spans="1:46" ht="45" customHeight="1">
      <c r="A726" s="12" t="s">
        <v>6454</v>
      </c>
      <c r="B726" s="13" t="s">
        <v>6455</v>
      </c>
      <c r="C726" s="14" t="s">
        <v>6456</v>
      </c>
      <c r="D726" s="15" t="s">
        <v>6457</v>
      </c>
      <c r="E726" s="15" t="s">
        <v>6458</v>
      </c>
      <c r="F726" s="146" t="s">
        <v>62</v>
      </c>
      <c r="G726" s="15" t="s">
        <v>6459</v>
      </c>
      <c r="H726" s="15" t="s">
        <v>52</v>
      </c>
      <c r="I726" s="15" t="s">
        <v>53</v>
      </c>
      <c r="J726" s="15" t="s">
        <v>6460</v>
      </c>
      <c r="K726" s="15" t="s">
        <v>2470</v>
      </c>
      <c r="L726" s="15" t="s">
        <v>115</v>
      </c>
      <c r="M726" s="114" t="s">
        <v>6461</v>
      </c>
      <c r="N726" s="163">
        <v>2615415678</v>
      </c>
      <c r="O726" s="13"/>
      <c r="P726" s="15" t="s">
        <v>4479</v>
      </c>
      <c r="Q726" s="17" t="s">
        <v>6462</v>
      </c>
      <c r="R726" s="18">
        <v>37</v>
      </c>
      <c r="S726" s="19">
        <f t="shared" si="5"/>
        <v>5994</v>
      </c>
      <c r="T726" s="12" t="s">
        <v>46</v>
      </c>
      <c r="U726" s="15"/>
      <c r="V726" s="19">
        <v>44610</v>
      </c>
      <c r="W726" s="15" t="s">
        <v>71</v>
      </c>
      <c r="X726" s="13">
        <v>1131234</v>
      </c>
      <c r="Y726" s="20">
        <v>3120285</v>
      </c>
      <c r="Z726" s="13">
        <v>3893835</v>
      </c>
      <c r="AA726" s="13">
        <v>4749554</v>
      </c>
      <c r="AB726" s="13"/>
      <c r="AC726" s="15">
        <v>5590887</v>
      </c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</row>
    <row r="727" spans="1:46" ht="45" customHeight="1">
      <c r="A727" s="50" t="s">
        <v>6463</v>
      </c>
      <c r="B727" s="51" t="s">
        <v>6464</v>
      </c>
      <c r="C727" s="52" t="s">
        <v>6465</v>
      </c>
      <c r="D727" s="53" t="s">
        <v>6466</v>
      </c>
      <c r="E727" s="53" t="s">
        <v>6467</v>
      </c>
      <c r="F727" s="141" t="s">
        <v>111</v>
      </c>
      <c r="G727" s="53" t="s">
        <v>2980</v>
      </c>
      <c r="H727" s="53"/>
      <c r="I727" s="53" t="s">
        <v>149</v>
      </c>
      <c r="J727" s="53" t="s">
        <v>2980</v>
      </c>
      <c r="K727" s="53"/>
      <c r="L727" s="53" t="s">
        <v>149</v>
      </c>
      <c r="M727" s="54" t="s">
        <v>6468</v>
      </c>
      <c r="N727" s="51">
        <v>4284959</v>
      </c>
      <c r="O727" s="51"/>
      <c r="P727" s="53" t="s">
        <v>44</v>
      </c>
      <c r="Q727" s="55" t="s">
        <v>6469</v>
      </c>
      <c r="R727" s="56">
        <v>49</v>
      </c>
      <c r="S727" s="57">
        <f t="shared" si="5"/>
        <v>7938</v>
      </c>
      <c r="T727" s="50" t="s">
        <v>46</v>
      </c>
      <c r="U727" s="53"/>
      <c r="V727" s="57">
        <v>44610</v>
      </c>
      <c r="W727" s="53"/>
      <c r="X727" s="51"/>
      <c r="Y727" s="58"/>
      <c r="Z727" s="51"/>
      <c r="AA727" s="51"/>
      <c r="AB727" s="51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</row>
    <row r="728" spans="1:46" ht="45" customHeight="1">
      <c r="A728" s="40" t="s">
        <v>6470</v>
      </c>
      <c r="B728" s="33" t="s">
        <v>6471</v>
      </c>
      <c r="C728" s="34" t="s">
        <v>6472</v>
      </c>
      <c r="D728" s="35" t="s">
        <v>6473</v>
      </c>
      <c r="E728" s="35" t="s">
        <v>6474</v>
      </c>
      <c r="F728" s="162" t="s">
        <v>909</v>
      </c>
      <c r="G728" s="35" t="s">
        <v>6475</v>
      </c>
      <c r="H728" s="35" t="s">
        <v>52</v>
      </c>
      <c r="I728" s="35" t="s">
        <v>53</v>
      </c>
      <c r="J728" s="35" t="s">
        <v>6476</v>
      </c>
      <c r="K728" s="35"/>
      <c r="L728" s="35" t="s">
        <v>115</v>
      </c>
      <c r="M728" s="36" t="s">
        <v>6477</v>
      </c>
      <c r="N728" s="33" t="s">
        <v>6478</v>
      </c>
      <c r="O728" s="33"/>
      <c r="P728" s="35" t="s">
        <v>1381</v>
      </c>
      <c r="Q728" s="37" t="s">
        <v>6479</v>
      </c>
      <c r="R728" s="38">
        <v>138</v>
      </c>
      <c r="S728" s="39">
        <f t="shared" si="5"/>
        <v>22356</v>
      </c>
      <c r="T728" s="40" t="s">
        <v>46</v>
      </c>
      <c r="U728" s="35"/>
      <c r="V728" s="39">
        <v>44610</v>
      </c>
      <c r="W728" s="35"/>
      <c r="X728" s="33"/>
      <c r="Y728" s="41"/>
      <c r="Z728" s="33"/>
      <c r="AA728" s="33"/>
      <c r="AB728" s="33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</row>
    <row r="729" spans="1:46" ht="45" customHeight="1">
      <c r="A729" s="21" t="s">
        <v>6480</v>
      </c>
      <c r="B729" s="22" t="s">
        <v>6481</v>
      </c>
      <c r="C729" s="23" t="s">
        <v>6482</v>
      </c>
      <c r="D729" s="24" t="s">
        <v>1086</v>
      </c>
      <c r="E729" s="24" t="s">
        <v>6474</v>
      </c>
      <c r="F729" s="161" t="s">
        <v>909</v>
      </c>
      <c r="G729" s="24" t="s">
        <v>6483</v>
      </c>
      <c r="H729" s="24" t="s">
        <v>630</v>
      </c>
      <c r="I729" s="24" t="s">
        <v>80</v>
      </c>
      <c r="J729" s="24" t="s">
        <v>6484</v>
      </c>
      <c r="K729" s="24" t="s">
        <v>1878</v>
      </c>
      <c r="L729" s="24" t="s">
        <v>80</v>
      </c>
      <c r="M729" s="59" t="s">
        <v>6485</v>
      </c>
      <c r="N729" s="22" t="s">
        <v>6486</v>
      </c>
      <c r="O729" s="26">
        <v>45536</v>
      </c>
      <c r="P729" s="24" t="s">
        <v>1381</v>
      </c>
      <c r="Q729" s="28" t="s">
        <v>6487</v>
      </c>
      <c r="R729" s="29">
        <v>2052.4299999999998</v>
      </c>
      <c r="S729" s="30">
        <f t="shared" si="5"/>
        <v>332493.65999999997</v>
      </c>
      <c r="T729" s="21" t="s">
        <v>96</v>
      </c>
      <c r="U729" s="24"/>
      <c r="V729" s="30">
        <v>368160</v>
      </c>
      <c r="W729" s="45" t="s">
        <v>71</v>
      </c>
      <c r="X729" s="22">
        <v>1038871</v>
      </c>
      <c r="Y729" s="31">
        <v>3116446</v>
      </c>
      <c r="Z729" s="22">
        <v>3856827</v>
      </c>
      <c r="AA729" s="22">
        <v>4734929</v>
      </c>
      <c r="AB729" s="22"/>
      <c r="AC729" s="45">
        <v>5626643</v>
      </c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</row>
    <row r="730" spans="1:46" ht="45" customHeight="1">
      <c r="A730" s="40" t="s">
        <v>6488</v>
      </c>
      <c r="B730" s="33" t="s">
        <v>6489</v>
      </c>
      <c r="C730" s="34" t="s">
        <v>6490</v>
      </c>
      <c r="D730" s="35" t="s">
        <v>6491</v>
      </c>
      <c r="E730" s="35" t="s">
        <v>6492</v>
      </c>
      <c r="F730" s="162" t="s">
        <v>181</v>
      </c>
      <c r="G730" s="35" t="s">
        <v>6493</v>
      </c>
      <c r="H730" s="35" t="s">
        <v>289</v>
      </c>
      <c r="I730" s="35" t="s">
        <v>38</v>
      </c>
      <c r="J730" s="35" t="s">
        <v>6494</v>
      </c>
      <c r="K730" s="35"/>
      <c r="L730" s="35" t="s">
        <v>149</v>
      </c>
      <c r="M730" s="36" t="s">
        <v>6495</v>
      </c>
      <c r="N730" s="33">
        <v>2614853780</v>
      </c>
      <c r="O730" s="33"/>
      <c r="P730" s="35" t="s">
        <v>44</v>
      </c>
      <c r="Q730" s="37" t="s">
        <v>6496</v>
      </c>
      <c r="R730" s="38">
        <v>35</v>
      </c>
      <c r="S730" s="39">
        <f t="shared" si="5"/>
        <v>5670</v>
      </c>
      <c r="T730" s="40" t="s">
        <v>46</v>
      </c>
      <c r="U730" s="35"/>
      <c r="V730" s="39">
        <v>44610</v>
      </c>
      <c r="W730" s="35"/>
      <c r="X730" s="33"/>
      <c r="Y730" s="41"/>
      <c r="Z730" s="33"/>
      <c r="AA730" s="33"/>
      <c r="AB730" s="33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</row>
    <row r="731" spans="1:46" ht="45" customHeight="1">
      <c r="A731" s="12" t="s">
        <v>6497</v>
      </c>
      <c r="B731" s="13" t="s">
        <v>6498</v>
      </c>
      <c r="C731" s="14" t="s">
        <v>6499</v>
      </c>
      <c r="D731" s="15" t="s">
        <v>6500</v>
      </c>
      <c r="E731" s="15" t="s">
        <v>6501</v>
      </c>
      <c r="F731" s="146" t="s">
        <v>111</v>
      </c>
      <c r="G731" s="15" t="s">
        <v>6502</v>
      </c>
      <c r="H731" s="15" t="s">
        <v>630</v>
      </c>
      <c r="I731" s="15" t="s">
        <v>80</v>
      </c>
      <c r="J731" s="15" t="s">
        <v>6502</v>
      </c>
      <c r="K731" s="15" t="s">
        <v>630</v>
      </c>
      <c r="L731" s="15" t="s">
        <v>80</v>
      </c>
      <c r="M731" s="46" t="s">
        <v>6503</v>
      </c>
      <c r="N731" s="13">
        <v>156131857</v>
      </c>
      <c r="O731" s="13"/>
      <c r="P731" s="15" t="s">
        <v>44</v>
      </c>
      <c r="Q731" s="17" t="s">
        <v>6504</v>
      </c>
      <c r="R731" s="18">
        <v>37</v>
      </c>
      <c r="S731" s="19">
        <f t="shared" si="5"/>
        <v>5994</v>
      </c>
      <c r="T731" s="12" t="s">
        <v>46</v>
      </c>
      <c r="U731" s="15"/>
      <c r="V731" s="19">
        <v>44610</v>
      </c>
      <c r="W731" s="15"/>
      <c r="X731" s="13"/>
      <c r="Y731" s="20">
        <v>3096015</v>
      </c>
      <c r="Z731" s="13">
        <v>3866904</v>
      </c>
      <c r="AA731" s="13"/>
      <c r="AB731" s="13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</row>
    <row r="732" spans="1:46" ht="45" customHeight="1">
      <c r="A732" s="12" t="s">
        <v>6505</v>
      </c>
      <c r="B732" s="13" t="s">
        <v>6506</v>
      </c>
      <c r="C732" s="14" t="s">
        <v>6507</v>
      </c>
      <c r="D732" s="15" t="s">
        <v>6508</v>
      </c>
      <c r="E732" s="15" t="s">
        <v>6509</v>
      </c>
      <c r="F732" s="146" t="s">
        <v>111</v>
      </c>
      <c r="G732" s="15" t="s">
        <v>6510</v>
      </c>
      <c r="H732" s="15"/>
      <c r="I732" s="15" t="s">
        <v>149</v>
      </c>
      <c r="J732" s="15" t="s">
        <v>6510</v>
      </c>
      <c r="K732" s="15"/>
      <c r="L732" s="15" t="s">
        <v>149</v>
      </c>
      <c r="M732" s="46" t="s">
        <v>6511</v>
      </c>
      <c r="N732" s="13">
        <v>2616512117</v>
      </c>
      <c r="O732" s="13"/>
      <c r="P732" s="15" t="s">
        <v>94</v>
      </c>
      <c r="Q732" s="17" t="s">
        <v>6512</v>
      </c>
      <c r="R732" s="18">
        <v>148</v>
      </c>
      <c r="S732" s="19">
        <f t="shared" si="5"/>
        <v>23976</v>
      </c>
      <c r="T732" s="12" t="s">
        <v>46</v>
      </c>
      <c r="U732" s="15"/>
      <c r="V732" s="19">
        <v>44610</v>
      </c>
      <c r="W732" s="15" t="s">
        <v>71</v>
      </c>
      <c r="X732" s="13">
        <v>1040474</v>
      </c>
      <c r="Y732" s="20">
        <v>3095272</v>
      </c>
      <c r="Z732" s="13">
        <v>3879129</v>
      </c>
      <c r="AA732" s="13">
        <v>4749880</v>
      </c>
      <c r="AB732" s="13"/>
      <c r="AC732" s="15">
        <v>5531917</v>
      </c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</row>
    <row r="733" spans="1:46" ht="45" customHeight="1">
      <c r="A733" s="40" t="s">
        <v>6513</v>
      </c>
      <c r="B733" s="33" t="s">
        <v>6514</v>
      </c>
      <c r="C733" s="34" t="s">
        <v>6515</v>
      </c>
      <c r="D733" s="35" t="s">
        <v>6516</v>
      </c>
      <c r="E733" s="35" t="s">
        <v>5322</v>
      </c>
      <c r="F733" s="162" t="s">
        <v>181</v>
      </c>
      <c r="G733" s="35" t="s">
        <v>6517</v>
      </c>
      <c r="H733" s="35"/>
      <c r="I733" s="35" t="s">
        <v>149</v>
      </c>
      <c r="J733" s="35" t="s">
        <v>6517</v>
      </c>
      <c r="K733" s="35"/>
      <c r="L733" s="35" t="s">
        <v>149</v>
      </c>
      <c r="M733" s="36" t="s">
        <v>6518</v>
      </c>
      <c r="N733" s="33">
        <v>2616742635</v>
      </c>
      <c r="O733" s="33"/>
      <c r="P733" s="35" t="s">
        <v>94</v>
      </c>
      <c r="Q733" s="37" t="s">
        <v>6519</v>
      </c>
      <c r="R733" s="38">
        <v>55</v>
      </c>
      <c r="S733" s="39">
        <f t="shared" si="5"/>
        <v>8910</v>
      </c>
      <c r="T733" s="40" t="s">
        <v>46</v>
      </c>
      <c r="U733" s="35"/>
      <c r="V733" s="39">
        <v>44610</v>
      </c>
      <c r="W733" s="35"/>
      <c r="X733" s="33"/>
      <c r="Y733" s="41"/>
      <c r="Z733" s="33"/>
      <c r="AA733" s="33"/>
      <c r="AB733" s="33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</row>
    <row r="734" spans="1:46" ht="45" customHeight="1">
      <c r="A734" s="12" t="s">
        <v>6520</v>
      </c>
      <c r="B734" s="13" t="s">
        <v>6521</v>
      </c>
      <c r="C734" s="14" t="s">
        <v>6522</v>
      </c>
      <c r="D734" s="15" t="s">
        <v>6523</v>
      </c>
      <c r="E734" s="15" t="s">
        <v>3583</v>
      </c>
      <c r="F734" s="146" t="s">
        <v>111</v>
      </c>
      <c r="G734" s="15" t="s">
        <v>6524</v>
      </c>
      <c r="H734" s="15" t="s">
        <v>6525</v>
      </c>
      <c r="I734" s="15" t="s">
        <v>149</v>
      </c>
      <c r="J734" s="15" t="s">
        <v>6524</v>
      </c>
      <c r="K734" s="15" t="s">
        <v>6525</v>
      </c>
      <c r="L734" s="15" t="s">
        <v>149</v>
      </c>
      <c r="M734" s="16" t="s">
        <v>6526</v>
      </c>
      <c r="N734" s="13" t="s">
        <v>6527</v>
      </c>
      <c r="O734" s="13"/>
      <c r="P734" s="15" t="s">
        <v>44</v>
      </c>
      <c r="Q734" s="17" t="s">
        <v>6528</v>
      </c>
      <c r="R734" s="18">
        <v>28</v>
      </c>
      <c r="S734" s="19">
        <f t="shared" si="5"/>
        <v>4536</v>
      </c>
      <c r="T734" s="12" t="s">
        <v>46</v>
      </c>
      <c r="U734" s="15"/>
      <c r="V734" s="19">
        <v>44610</v>
      </c>
      <c r="W734" s="15" t="s">
        <v>71</v>
      </c>
      <c r="X734" s="13"/>
      <c r="Y734" s="20"/>
      <c r="Z734" s="13">
        <v>3832915</v>
      </c>
      <c r="AA734" s="13">
        <v>47231319</v>
      </c>
      <c r="AB734" s="13"/>
      <c r="AC734" s="15">
        <v>5531491</v>
      </c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</row>
    <row r="735" spans="1:46" ht="45" customHeight="1">
      <c r="A735" s="12" t="s">
        <v>6529</v>
      </c>
      <c r="B735" s="13" t="s">
        <v>6530</v>
      </c>
      <c r="C735" s="14" t="s">
        <v>6531</v>
      </c>
      <c r="D735" s="15" t="s">
        <v>6532</v>
      </c>
      <c r="E735" s="15" t="s">
        <v>6533</v>
      </c>
      <c r="F735" s="146" t="s">
        <v>111</v>
      </c>
      <c r="G735" s="15" t="s">
        <v>6534</v>
      </c>
      <c r="H735" s="15" t="s">
        <v>216</v>
      </c>
      <c r="I735" s="15" t="s">
        <v>149</v>
      </c>
      <c r="J735" s="15" t="s">
        <v>6534</v>
      </c>
      <c r="K735" s="15" t="s">
        <v>216</v>
      </c>
      <c r="L735" s="15" t="s">
        <v>149</v>
      </c>
      <c r="M735" s="16" t="s">
        <v>6535</v>
      </c>
      <c r="N735" s="13" t="s">
        <v>6536</v>
      </c>
      <c r="O735" s="13"/>
      <c r="P735" s="15" t="s">
        <v>44</v>
      </c>
      <c r="Q735" s="17" t="s">
        <v>6537</v>
      </c>
      <c r="R735" s="18">
        <v>73</v>
      </c>
      <c r="S735" s="19">
        <f t="shared" si="5"/>
        <v>11826</v>
      </c>
      <c r="T735" s="12" t="s">
        <v>46</v>
      </c>
      <c r="U735" s="15"/>
      <c r="V735" s="19">
        <v>44610</v>
      </c>
      <c r="W735" s="15" t="s">
        <v>47</v>
      </c>
      <c r="X735" s="13"/>
      <c r="Y735" s="20"/>
      <c r="Z735" s="13"/>
      <c r="AA735" s="13">
        <v>4742265</v>
      </c>
      <c r="AB735" s="13"/>
      <c r="AC735" s="15">
        <v>5557707</v>
      </c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</row>
    <row r="736" spans="1:46" ht="45" customHeight="1">
      <c r="A736" s="40" t="s">
        <v>6538</v>
      </c>
      <c r="B736" s="33" t="s">
        <v>6539</v>
      </c>
      <c r="C736" s="34" t="s">
        <v>6540</v>
      </c>
      <c r="D736" s="35" t="s">
        <v>6541</v>
      </c>
      <c r="E736" s="35" t="s">
        <v>6542</v>
      </c>
      <c r="F736" s="162" t="s">
        <v>111</v>
      </c>
      <c r="G736" s="35" t="s">
        <v>6543</v>
      </c>
      <c r="H736" s="35" t="s">
        <v>671</v>
      </c>
      <c r="I736" s="35" t="s">
        <v>149</v>
      </c>
      <c r="J736" s="35" t="s">
        <v>6543</v>
      </c>
      <c r="K736" s="35" t="s">
        <v>671</v>
      </c>
      <c r="L736" s="35" t="s">
        <v>149</v>
      </c>
      <c r="M736" s="36" t="s">
        <v>6544</v>
      </c>
      <c r="N736" s="33" t="s">
        <v>6545</v>
      </c>
      <c r="O736" s="33"/>
      <c r="P736" s="35" t="s">
        <v>44</v>
      </c>
      <c r="Q736" s="37" t="s">
        <v>6546</v>
      </c>
      <c r="R736" s="38">
        <v>21</v>
      </c>
      <c r="S736" s="39">
        <f t="shared" si="5"/>
        <v>3402</v>
      </c>
      <c r="T736" s="40" t="s">
        <v>46</v>
      </c>
      <c r="U736" s="35"/>
      <c r="V736" s="39">
        <v>44610</v>
      </c>
      <c r="W736" s="35"/>
      <c r="X736" s="33"/>
      <c r="Y736" s="41"/>
      <c r="Z736" s="33"/>
      <c r="AA736" s="33"/>
      <c r="AB736" s="33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</row>
    <row r="737" spans="1:46" ht="45" customHeight="1">
      <c r="A737" s="40" t="s">
        <v>6547</v>
      </c>
      <c r="B737" s="33" t="s">
        <v>6548</v>
      </c>
      <c r="C737" s="34" t="s">
        <v>6549</v>
      </c>
      <c r="D737" s="35" t="s">
        <v>6550</v>
      </c>
      <c r="E737" s="35" t="s">
        <v>6551</v>
      </c>
      <c r="F737" s="162" t="s">
        <v>111</v>
      </c>
      <c r="G737" s="35" t="s">
        <v>6552</v>
      </c>
      <c r="H737" s="35"/>
      <c r="I737" s="35" t="s">
        <v>149</v>
      </c>
      <c r="J737" s="35" t="s">
        <v>6553</v>
      </c>
      <c r="K737" s="35" t="s">
        <v>291</v>
      </c>
      <c r="L737" s="35" t="s">
        <v>115</v>
      </c>
      <c r="M737" s="36" t="s">
        <v>6554</v>
      </c>
      <c r="N737" s="33">
        <v>2613625781</v>
      </c>
      <c r="O737" s="33"/>
      <c r="P737" s="35" t="s">
        <v>44</v>
      </c>
      <c r="Q737" s="37" t="s">
        <v>6555</v>
      </c>
      <c r="R737" s="38">
        <v>668</v>
      </c>
      <c r="S737" s="39">
        <f t="shared" si="5"/>
        <v>108216</v>
      </c>
      <c r="T737" s="40" t="s">
        <v>252</v>
      </c>
      <c r="U737" s="35"/>
      <c r="V737" s="39">
        <v>123900</v>
      </c>
      <c r="W737" s="35"/>
      <c r="X737" s="33"/>
      <c r="Y737" s="41"/>
      <c r="Z737" s="33"/>
      <c r="AA737" s="33"/>
      <c r="AB737" s="33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</row>
    <row r="738" spans="1:46" ht="45" customHeight="1">
      <c r="A738" s="12" t="s">
        <v>6556</v>
      </c>
      <c r="B738" s="13" t="s">
        <v>6557</v>
      </c>
      <c r="C738" s="14" t="s">
        <v>6558</v>
      </c>
      <c r="D738" s="15" t="s">
        <v>6559</v>
      </c>
      <c r="E738" s="15" t="s">
        <v>1363</v>
      </c>
      <c r="F738" s="146" t="s">
        <v>111</v>
      </c>
      <c r="G738" s="15" t="s">
        <v>6560</v>
      </c>
      <c r="H738" s="15"/>
      <c r="I738" s="15" t="s">
        <v>149</v>
      </c>
      <c r="J738" s="15" t="s">
        <v>6560</v>
      </c>
      <c r="K738" s="15"/>
      <c r="L738" s="15" t="s">
        <v>149</v>
      </c>
      <c r="M738" s="46" t="s">
        <v>6561</v>
      </c>
      <c r="N738" s="13" t="s">
        <v>6562</v>
      </c>
      <c r="O738" s="13"/>
      <c r="P738" s="15" t="s">
        <v>44</v>
      </c>
      <c r="Q738" s="17" t="s">
        <v>6563</v>
      </c>
      <c r="R738" s="18">
        <v>32</v>
      </c>
      <c r="S738" s="19">
        <f t="shared" si="5"/>
        <v>5184</v>
      </c>
      <c r="T738" s="12" t="s">
        <v>46</v>
      </c>
      <c r="U738" s="15"/>
      <c r="V738" s="19">
        <v>44610</v>
      </c>
      <c r="W738" s="49" t="s">
        <v>71</v>
      </c>
      <c r="X738" s="13"/>
      <c r="Y738" s="20"/>
      <c r="Z738" s="13">
        <v>3887844</v>
      </c>
      <c r="AA738" s="13">
        <v>4753596</v>
      </c>
      <c r="AB738" s="13"/>
      <c r="AC738" s="49">
        <v>5632355</v>
      </c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</row>
    <row r="739" spans="1:46" ht="45" customHeight="1">
      <c r="A739" s="21" t="s">
        <v>6564</v>
      </c>
      <c r="B739" s="22" t="s">
        <v>6565</v>
      </c>
      <c r="C739" s="23" t="s">
        <v>6566</v>
      </c>
      <c r="D739" s="24" t="s">
        <v>6567</v>
      </c>
      <c r="E739" s="24" t="s">
        <v>6568</v>
      </c>
      <c r="F739" s="161" t="s">
        <v>111</v>
      </c>
      <c r="G739" s="24" t="s">
        <v>6569</v>
      </c>
      <c r="H739" s="24"/>
      <c r="I739" s="24" t="s">
        <v>149</v>
      </c>
      <c r="J739" s="24" t="s">
        <v>6569</v>
      </c>
      <c r="K739" s="24"/>
      <c r="L739" s="24" t="s">
        <v>149</v>
      </c>
      <c r="M739" s="25" t="s">
        <v>6570</v>
      </c>
      <c r="N739" s="22">
        <v>4225439</v>
      </c>
      <c r="O739" s="22"/>
      <c r="P739" s="24" t="s">
        <v>151</v>
      </c>
      <c r="Q739" s="28" t="s">
        <v>6571</v>
      </c>
      <c r="R739" s="29">
        <v>1823</v>
      </c>
      <c r="S739" s="30">
        <f t="shared" si="5"/>
        <v>295326</v>
      </c>
      <c r="T739" s="21" t="s">
        <v>198</v>
      </c>
      <c r="U739" s="24"/>
      <c r="V739" s="30">
        <v>215940</v>
      </c>
      <c r="W739" s="24"/>
      <c r="X739" s="22">
        <v>1039656</v>
      </c>
      <c r="Y739" s="31">
        <v>3119072</v>
      </c>
      <c r="Z739" s="22"/>
      <c r="AA739" s="22">
        <v>4753599</v>
      </c>
      <c r="AB739" s="22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</row>
    <row r="740" spans="1:46" ht="45" customHeight="1">
      <c r="A740" s="12" t="s">
        <v>6572</v>
      </c>
      <c r="B740" s="13" t="s">
        <v>6573</v>
      </c>
      <c r="C740" s="14" t="s">
        <v>6574</v>
      </c>
      <c r="D740" s="15" t="s">
        <v>6575</v>
      </c>
      <c r="E740" s="15" t="s">
        <v>6576</v>
      </c>
      <c r="F740" s="146" t="s">
        <v>111</v>
      </c>
      <c r="G740" s="15" t="s">
        <v>6577</v>
      </c>
      <c r="H740" s="15"/>
      <c r="I740" s="15" t="s">
        <v>149</v>
      </c>
      <c r="J740" s="15" t="s">
        <v>6577</v>
      </c>
      <c r="K740" s="15"/>
      <c r="L740" s="15" t="s">
        <v>149</v>
      </c>
      <c r="M740" s="46" t="s">
        <v>6578</v>
      </c>
      <c r="N740" s="13">
        <v>4226090</v>
      </c>
      <c r="O740" s="13"/>
      <c r="P740" s="15" t="s">
        <v>44</v>
      </c>
      <c r="Q740" s="17" t="s">
        <v>6579</v>
      </c>
      <c r="R740" s="18">
        <v>37</v>
      </c>
      <c r="S740" s="19">
        <f t="shared" si="5"/>
        <v>5994</v>
      </c>
      <c r="T740" s="12" t="s">
        <v>46</v>
      </c>
      <c r="U740" s="15"/>
      <c r="V740" s="19">
        <v>44610</v>
      </c>
      <c r="W740" s="15" t="s">
        <v>71</v>
      </c>
      <c r="X740" s="13">
        <v>1043947</v>
      </c>
      <c r="Y740" s="20">
        <v>3107447</v>
      </c>
      <c r="Z740" s="13">
        <v>3897562</v>
      </c>
      <c r="AA740" s="13">
        <v>4740946</v>
      </c>
      <c r="AB740" s="13"/>
      <c r="AC740" s="15">
        <v>5592413</v>
      </c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</row>
    <row r="741" spans="1:46" ht="45" customHeight="1">
      <c r="A741" s="21" t="s">
        <v>6580</v>
      </c>
      <c r="B741" s="22" t="s">
        <v>6581</v>
      </c>
      <c r="C741" s="23" t="s">
        <v>6582</v>
      </c>
      <c r="D741" s="24" t="s">
        <v>1321</v>
      </c>
      <c r="E741" s="24" t="s">
        <v>3020</v>
      </c>
      <c r="F741" s="161" t="s">
        <v>776</v>
      </c>
      <c r="G741" s="24" t="s">
        <v>6583</v>
      </c>
      <c r="H741" s="24"/>
      <c r="I741" s="24" t="s">
        <v>6584</v>
      </c>
      <c r="J741" s="24" t="s">
        <v>6585</v>
      </c>
      <c r="K741" s="24" t="s">
        <v>331</v>
      </c>
      <c r="L741" s="24" t="s">
        <v>321</v>
      </c>
      <c r="M741" s="43" t="s">
        <v>6586</v>
      </c>
      <c r="N741" s="22" t="s">
        <v>6587</v>
      </c>
      <c r="O741" s="22"/>
      <c r="P741" s="24" t="s">
        <v>6588</v>
      </c>
      <c r="Q741" s="28" t="s">
        <v>6589</v>
      </c>
      <c r="R741" s="29">
        <v>5160</v>
      </c>
      <c r="S741" s="30">
        <f t="shared" si="5"/>
        <v>835920</v>
      </c>
      <c r="T741" s="21" t="s">
        <v>105</v>
      </c>
      <c r="U741" s="24"/>
      <c r="V741" s="30">
        <v>736320</v>
      </c>
      <c r="W741" s="45" t="s">
        <v>71</v>
      </c>
      <c r="X741" s="22">
        <v>1118860</v>
      </c>
      <c r="Y741" s="31">
        <v>3117122</v>
      </c>
      <c r="Z741" s="22">
        <v>3907539</v>
      </c>
      <c r="AA741" s="22"/>
      <c r="AB741" s="22"/>
      <c r="AC741" s="45">
        <v>5628146</v>
      </c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</row>
    <row r="742" spans="1:46" ht="45" customHeight="1">
      <c r="A742" s="12" t="s">
        <v>6590</v>
      </c>
      <c r="B742" s="13" t="s">
        <v>6591</v>
      </c>
      <c r="C742" s="14" t="s">
        <v>6592</v>
      </c>
      <c r="D742" s="15" t="s">
        <v>6593</v>
      </c>
      <c r="E742" s="15" t="s">
        <v>1115</v>
      </c>
      <c r="F742" s="146" t="s">
        <v>909</v>
      </c>
      <c r="G742" s="15" t="s">
        <v>6594</v>
      </c>
      <c r="H742" s="15" t="s">
        <v>52</v>
      </c>
      <c r="I742" s="15" t="s">
        <v>53</v>
      </c>
      <c r="J742" s="15" t="s">
        <v>6595</v>
      </c>
      <c r="K742" s="15" t="s">
        <v>1345</v>
      </c>
      <c r="L742" s="15" t="s">
        <v>65</v>
      </c>
      <c r="M742" s="16" t="s">
        <v>6596</v>
      </c>
      <c r="N742" s="13" t="s">
        <v>6597</v>
      </c>
      <c r="O742" s="13"/>
      <c r="P742" s="15" t="s">
        <v>566</v>
      </c>
      <c r="Q742" s="17" t="s">
        <v>6598</v>
      </c>
      <c r="R742" s="18">
        <v>82</v>
      </c>
      <c r="S742" s="19">
        <f t="shared" si="5"/>
        <v>13284</v>
      </c>
      <c r="T742" s="12" t="s">
        <v>46</v>
      </c>
      <c r="U742" s="15"/>
      <c r="V742" s="19">
        <v>44610</v>
      </c>
      <c r="W742" s="15"/>
      <c r="X742" s="13"/>
      <c r="Y742" s="20"/>
      <c r="Z742" s="13"/>
      <c r="AA742" s="13"/>
      <c r="AB742" s="13">
        <v>4840762</v>
      </c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</row>
    <row r="743" spans="1:46" ht="45" customHeight="1">
      <c r="A743" s="50" t="s">
        <v>6599</v>
      </c>
      <c r="B743" s="51" t="s">
        <v>6600</v>
      </c>
      <c r="C743" s="95" t="s">
        <v>6601</v>
      </c>
      <c r="D743" s="53" t="s">
        <v>6602</v>
      </c>
      <c r="E743" s="53" t="s">
        <v>6603</v>
      </c>
      <c r="F743" s="141" t="s">
        <v>776</v>
      </c>
      <c r="G743" s="53" t="s">
        <v>6604</v>
      </c>
      <c r="H743" s="53" t="s">
        <v>617</v>
      </c>
      <c r="I743" s="53" t="s">
        <v>38</v>
      </c>
      <c r="J743" s="53" t="s">
        <v>6604</v>
      </c>
      <c r="K743" s="53" t="s">
        <v>617</v>
      </c>
      <c r="L743" s="53" t="s">
        <v>38</v>
      </c>
      <c r="M743" s="54" t="s">
        <v>6605</v>
      </c>
      <c r="N743" s="51">
        <v>4981569</v>
      </c>
      <c r="O743" s="51"/>
      <c r="P743" s="53" t="s">
        <v>94</v>
      </c>
      <c r="Q743" s="55" t="s">
        <v>6606</v>
      </c>
      <c r="R743" s="56">
        <v>477</v>
      </c>
      <c r="S743" s="57">
        <f t="shared" si="5"/>
        <v>77274</v>
      </c>
      <c r="T743" s="50" t="s">
        <v>46</v>
      </c>
      <c r="U743" s="53"/>
      <c r="V743" s="57">
        <v>44610</v>
      </c>
      <c r="W743" s="53"/>
      <c r="X743" s="51"/>
      <c r="Y743" s="58"/>
      <c r="Z743" s="51"/>
      <c r="AA743" s="51"/>
      <c r="AB743" s="51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</row>
    <row r="744" spans="1:46" ht="45" customHeight="1">
      <c r="A744" s="21" t="s">
        <v>6607</v>
      </c>
      <c r="B744" s="22" t="s">
        <v>6608</v>
      </c>
      <c r="C744" s="23" t="s">
        <v>6609</v>
      </c>
      <c r="D744" s="24" t="s">
        <v>5064</v>
      </c>
      <c r="E744" s="24" t="s">
        <v>247</v>
      </c>
      <c r="F744" s="24" t="s">
        <v>181</v>
      </c>
      <c r="G744" s="24" t="s">
        <v>6610</v>
      </c>
      <c r="H744" s="24" t="s">
        <v>880</v>
      </c>
      <c r="I744" s="24" t="s">
        <v>881</v>
      </c>
      <c r="J744" s="24" t="s">
        <v>6610</v>
      </c>
      <c r="K744" s="24" t="s">
        <v>880</v>
      </c>
      <c r="L744" s="24" t="s">
        <v>881</v>
      </c>
      <c r="M744" s="59" t="s">
        <v>6611</v>
      </c>
      <c r="N744" s="22">
        <v>2622451323</v>
      </c>
      <c r="O744" s="22"/>
      <c r="P744" s="24" t="s">
        <v>94</v>
      </c>
      <c r="Q744" s="28" t="s">
        <v>6612</v>
      </c>
      <c r="R744" s="29">
        <v>1050</v>
      </c>
      <c r="S744" s="30">
        <f t="shared" si="5"/>
        <v>170100</v>
      </c>
      <c r="T744" s="21" t="s">
        <v>198</v>
      </c>
      <c r="U744" s="24"/>
      <c r="V744" s="30">
        <v>215940</v>
      </c>
      <c r="W744" s="24" t="s">
        <v>71</v>
      </c>
      <c r="X744" s="22">
        <v>992968</v>
      </c>
      <c r="Y744" s="31">
        <v>3119468</v>
      </c>
      <c r="Z744" s="22">
        <v>3888041</v>
      </c>
      <c r="AA744" s="22">
        <v>4682258</v>
      </c>
      <c r="AB744" s="22"/>
      <c r="AC744" s="24">
        <v>5504619</v>
      </c>
      <c r="AD744" s="45">
        <v>6479547</v>
      </c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</row>
    <row r="745" spans="1:46" ht="45" customHeight="1">
      <c r="A745" s="12" t="s">
        <v>6613</v>
      </c>
      <c r="B745" s="13" t="s">
        <v>6614</v>
      </c>
      <c r="C745" s="14" t="s">
        <v>6615</v>
      </c>
      <c r="D745" s="15" t="s">
        <v>6616</v>
      </c>
      <c r="E745" s="15" t="s">
        <v>6130</v>
      </c>
      <c r="F745" s="146" t="s">
        <v>111</v>
      </c>
      <c r="G745" s="15" t="s">
        <v>6617</v>
      </c>
      <c r="H745" s="15"/>
      <c r="I745" s="15" t="s">
        <v>149</v>
      </c>
      <c r="J745" s="15" t="s">
        <v>6617</v>
      </c>
      <c r="K745" s="15"/>
      <c r="L745" s="15" t="s">
        <v>149</v>
      </c>
      <c r="M745" s="46" t="s">
        <v>6618</v>
      </c>
      <c r="N745" s="13">
        <v>2614390719</v>
      </c>
      <c r="O745" s="13"/>
      <c r="P745" s="15" t="s">
        <v>44</v>
      </c>
      <c r="Q745" s="17" t="s">
        <v>6619</v>
      </c>
      <c r="R745" s="18">
        <v>52</v>
      </c>
      <c r="S745" s="19">
        <f t="shared" si="5"/>
        <v>8424</v>
      </c>
      <c r="T745" s="12" t="s">
        <v>46</v>
      </c>
      <c r="U745" s="15"/>
      <c r="V745" s="19">
        <v>44610</v>
      </c>
      <c r="W745" s="15"/>
      <c r="X745" s="13"/>
      <c r="Y745" s="20"/>
      <c r="Z745" s="13"/>
      <c r="AA745" s="13">
        <v>4726898</v>
      </c>
      <c r="AB745" s="13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</row>
    <row r="746" spans="1:46" ht="45" customHeight="1">
      <c r="A746" s="12" t="s">
        <v>6620</v>
      </c>
      <c r="B746" s="13" t="s">
        <v>6621</v>
      </c>
      <c r="C746" s="66" t="s">
        <v>6622</v>
      </c>
      <c r="D746" s="15" t="s">
        <v>6623</v>
      </c>
      <c r="E746" s="15" t="s">
        <v>6624</v>
      </c>
      <c r="F746" s="146" t="s">
        <v>111</v>
      </c>
      <c r="G746" s="15" t="s">
        <v>6625</v>
      </c>
      <c r="H746" s="15"/>
      <c r="I746" s="15" t="s">
        <v>149</v>
      </c>
      <c r="J746" s="15" t="s">
        <v>6625</v>
      </c>
      <c r="K746" s="15"/>
      <c r="L746" s="15" t="s">
        <v>149</v>
      </c>
      <c r="M746" s="46" t="s">
        <v>6626</v>
      </c>
      <c r="N746" s="13">
        <v>2613682370</v>
      </c>
      <c r="O746" s="13"/>
      <c r="P746" s="15" t="s">
        <v>4479</v>
      </c>
      <c r="Q746" s="17" t="s">
        <v>6627</v>
      </c>
      <c r="R746" s="18">
        <v>39</v>
      </c>
      <c r="S746" s="19">
        <f t="shared" si="5"/>
        <v>6318</v>
      </c>
      <c r="T746" s="12" t="s">
        <v>46</v>
      </c>
      <c r="U746" s="15"/>
      <c r="V746" s="19">
        <v>44610</v>
      </c>
      <c r="W746" s="15"/>
      <c r="X746" s="13"/>
      <c r="Y746" s="20"/>
      <c r="Z746" s="13"/>
      <c r="AA746" s="13"/>
      <c r="AB746" s="13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</row>
    <row r="747" spans="1:46" ht="45" customHeight="1">
      <c r="A747" s="12" t="s">
        <v>6628</v>
      </c>
      <c r="B747" s="13" t="s">
        <v>6629</v>
      </c>
      <c r="C747" s="14" t="s">
        <v>6630</v>
      </c>
      <c r="D747" s="15" t="s">
        <v>6631</v>
      </c>
      <c r="E747" s="15" t="s">
        <v>5907</v>
      </c>
      <c r="F747" s="15" t="s">
        <v>181</v>
      </c>
      <c r="G747" s="15" t="s">
        <v>6632</v>
      </c>
      <c r="H747" s="15" t="s">
        <v>405</v>
      </c>
      <c r="I747" s="15" t="s">
        <v>115</v>
      </c>
      <c r="J747" s="15" t="s">
        <v>6632</v>
      </c>
      <c r="K747" s="15" t="s">
        <v>405</v>
      </c>
      <c r="L747" s="15" t="s">
        <v>115</v>
      </c>
      <c r="M747" s="46" t="s">
        <v>6633</v>
      </c>
      <c r="N747" s="13">
        <v>2614911482</v>
      </c>
      <c r="O747" s="13"/>
      <c r="P747" s="15" t="s">
        <v>94</v>
      </c>
      <c r="Q747" s="17" t="s">
        <v>6634</v>
      </c>
      <c r="R747" s="18">
        <v>391</v>
      </c>
      <c r="S747" s="19">
        <f t="shared" si="5"/>
        <v>63342</v>
      </c>
      <c r="T747" s="12" t="s">
        <v>46</v>
      </c>
      <c r="U747" s="15"/>
      <c r="V747" s="19">
        <v>44610</v>
      </c>
      <c r="W747" s="15" t="s">
        <v>71</v>
      </c>
      <c r="X747" s="13">
        <v>1015566</v>
      </c>
      <c r="Y747" s="20">
        <v>3106178</v>
      </c>
      <c r="Z747" s="13">
        <v>3794489</v>
      </c>
      <c r="AA747" s="13">
        <v>4628759</v>
      </c>
      <c r="AB747" s="13"/>
      <c r="AC747" s="15">
        <v>5493560</v>
      </c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</row>
    <row r="748" spans="1:46" ht="45" customHeight="1">
      <c r="A748" s="12" t="s">
        <v>6635</v>
      </c>
      <c r="B748" s="13" t="s">
        <v>6636</v>
      </c>
      <c r="C748" s="14" t="s">
        <v>6637</v>
      </c>
      <c r="D748" s="15" t="s">
        <v>6638</v>
      </c>
      <c r="E748" s="15" t="s">
        <v>6639</v>
      </c>
      <c r="F748" s="146" t="s">
        <v>402</v>
      </c>
      <c r="G748" s="15" t="s">
        <v>6640</v>
      </c>
      <c r="H748" s="15" t="s">
        <v>1736</v>
      </c>
      <c r="I748" s="15" t="s">
        <v>149</v>
      </c>
      <c r="J748" s="15" t="s">
        <v>1252</v>
      </c>
      <c r="K748" s="15" t="s">
        <v>630</v>
      </c>
      <c r="L748" s="15" t="s">
        <v>80</v>
      </c>
      <c r="M748" s="46" t="s">
        <v>6641</v>
      </c>
      <c r="N748" s="13">
        <v>4312536</v>
      </c>
      <c r="O748" s="13"/>
      <c r="P748" s="15" t="s">
        <v>94</v>
      </c>
      <c r="Q748" s="17" t="s">
        <v>6642</v>
      </c>
      <c r="R748" s="18">
        <v>55</v>
      </c>
      <c r="S748" s="19">
        <f t="shared" si="5"/>
        <v>8910</v>
      </c>
      <c r="T748" s="12" t="s">
        <v>46</v>
      </c>
      <c r="U748" s="15"/>
      <c r="V748" s="19">
        <v>44610</v>
      </c>
      <c r="W748" s="15"/>
      <c r="X748" s="13"/>
      <c r="Y748" s="20">
        <v>3120808</v>
      </c>
      <c r="Z748" s="13">
        <v>3893581</v>
      </c>
      <c r="AA748" s="13">
        <v>4718446</v>
      </c>
      <c r="AB748" s="13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</row>
    <row r="749" spans="1:46" ht="45" customHeight="1">
      <c r="A749" s="12" t="s">
        <v>6643</v>
      </c>
      <c r="B749" s="13" t="s">
        <v>6644</v>
      </c>
      <c r="C749" s="14" t="s">
        <v>6645</v>
      </c>
      <c r="D749" s="15" t="s">
        <v>6646</v>
      </c>
      <c r="E749" s="15" t="s">
        <v>6647</v>
      </c>
      <c r="F749" s="146" t="s">
        <v>62</v>
      </c>
      <c r="G749" s="15" t="s">
        <v>6648</v>
      </c>
      <c r="H749" s="15" t="s">
        <v>3983</v>
      </c>
      <c r="I749" s="15" t="s">
        <v>65</v>
      </c>
      <c r="J749" s="15" t="s">
        <v>6648</v>
      </c>
      <c r="K749" s="15" t="s">
        <v>3738</v>
      </c>
      <c r="L749" s="15" t="s">
        <v>65</v>
      </c>
      <c r="M749" s="46" t="s">
        <v>6649</v>
      </c>
      <c r="N749" s="13" t="s">
        <v>6650</v>
      </c>
      <c r="O749" s="13"/>
      <c r="P749" s="15" t="s">
        <v>1337</v>
      </c>
      <c r="Q749" s="17" t="s">
        <v>6651</v>
      </c>
      <c r="R749" s="18">
        <v>36</v>
      </c>
      <c r="S749" s="19">
        <f t="shared" si="5"/>
        <v>5832</v>
      </c>
      <c r="T749" s="12" t="s">
        <v>46</v>
      </c>
      <c r="U749" s="15"/>
      <c r="V749" s="19">
        <v>44610</v>
      </c>
      <c r="W749" s="49" t="s">
        <v>71</v>
      </c>
      <c r="X749" s="13">
        <v>1122759</v>
      </c>
      <c r="Y749" s="20">
        <v>3107894</v>
      </c>
      <c r="Z749" s="13">
        <v>3896592</v>
      </c>
      <c r="AA749" s="13"/>
      <c r="AB749" s="13"/>
      <c r="AC749" s="49">
        <v>5624583</v>
      </c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</row>
    <row r="750" spans="1:46" ht="45" customHeight="1">
      <c r="A750" s="21" t="s">
        <v>6652</v>
      </c>
      <c r="B750" s="22" t="s">
        <v>6653</v>
      </c>
      <c r="C750" s="23" t="s">
        <v>6654</v>
      </c>
      <c r="D750" s="24" t="s">
        <v>6655</v>
      </c>
      <c r="E750" s="24" t="s">
        <v>2467</v>
      </c>
      <c r="F750" s="24" t="s">
        <v>181</v>
      </c>
      <c r="G750" s="24" t="s">
        <v>6656</v>
      </c>
      <c r="H750" s="24" t="s">
        <v>4034</v>
      </c>
      <c r="I750" s="24" t="s">
        <v>149</v>
      </c>
      <c r="J750" s="24" t="s">
        <v>6656</v>
      </c>
      <c r="K750" s="24" t="s">
        <v>4034</v>
      </c>
      <c r="L750" s="24" t="s">
        <v>149</v>
      </c>
      <c r="M750" s="43" t="s">
        <v>6657</v>
      </c>
      <c r="N750" s="77">
        <v>2614727070</v>
      </c>
      <c r="O750" s="22"/>
      <c r="P750" s="24" t="s">
        <v>94</v>
      </c>
      <c r="Q750" s="28" t="s">
        <v>6658</v>
      </c>
      <c r="R750" s="29">
        <v>734</v>
      </c>
      <c r="S750" s="30">
        <f t="shared" si="5"/>
        <v>118908</v>
      </c>
      <c r="T750" s="21" t="s">
        <v>252</v>
      </c>
      <c r="U750" s="24"/>
      <c r="V750" s="30">
        <v>123900</v>
      </c>
      <c r="W750" s="45" t="s">
        <v>71</v>
      </c>
      <c r="X750" s="22">
        <v>1139557</v>
      </c>
      <c r="Y750" s="31">
        <v>3091713</v>
      </c>
      <c r="Z750" s="22"/>
      <c r="AA750" s="22"/>
      <c r="AB750" s="22"/>
      <c r="AC750" s="45">
        <v>5637008</v>
      </c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</row>
    <row r="751" spans="1:46" ht="45" customHeight="1">
      <c r="A751" s="12" t="s">
        <v>6659</v>
      </c>
      <c r="B751" s="13" t="s">
        <v>6660</v>
      </c>
      <c r="C751" s="14" t="s">
        <v>6661</v>
      </c>
      <c r="D751" s="15" t="s">
        <v>6662</v>
      </c>
      <c r="E751" s="15" t="s">
        <v>6663</v>
      </c>
      <c r="F751" s="15" t="s">
        <v>158</v>
      </c>
      <c r="G751" s="15" t="s">
        <v>6664</v>
      </c>
      <c r="H751" s="15" t="s">
        <v>1407</v>
      </c>
      <c r="I751" s="15" t="s">
        <v>80</v>
      </c>
      <c r="J751" s="15" t="s">
        <v>6664</v>
      </c>
      <c r="K751" s="15" t="s">
        <v>1407</v>
      </c>
      <c r="L751" s="15" t="s">
        <v>80</v>
      </c>
      <c r="M751" s="46" t="s">
        <v>6665</v>
      </c>
      <c r="N751" s="13" t="s">
        <v>6666</v>
      </c>
      <c r="O751" s="13"/>
      <c r="P751" s="15" t="s">
        <v>44</v>
      </c>
      <c r="Q751" s="17" t="s">
        <v>6667</v>
      </c>
      <c r="R751" s="18">
        <v>327</v>
      </c>
      <c r="S751" s="19">
        <f t="shared" si="5"/>
        <v>52974</v>
      </c>
      <c r="T751" s="12" t="s">
        <v>46</v>
      </c>
      <c r="U751" s="15"/>
      <c r="V751" s="19">
        <v>44610</v>
      </c>
      <c r="W751" s="15" t="s">
        <v>71</v>
      </c>
      <c r="X751" s="13">
        <v>1004721</v>
      </c>
      <c r="Y751" s="20">
        <v>3067108</v>
      </c>
      <c r="Z751" s="13">
        <v>3835371</v>
      </c>
      <c r="AA751" s="13">
        <v>4671567</v>
      </c>
      <c r="AB751" s="13"/>
      <c r="AC751" s="15">
        <v>5508214</v>
      </c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</row>
    <row r="752" spans="1:46" ht="45" customHeight="1">
      <c r="A752" s="12" t="s">
        <v>6668</v>
      </c>
      <c r="B752" s="13" t="s">
        <v>6669</v>
      </c>
      <c r="C752" s="14" t="s">
        <v>6670</v>
      </c>
      <c r="D752" s="15" t="s">
        <v>6671</v>
      </c>
      <c r="E752" s="15" t="s">
        <v>5907</v>
      </c>
      <c r="F752" s="15" t="s">
        <v>181</v>
      </c>
      <c r="G752" s="15" t="s">
        <v>6672</v>
      </c>
      <c r="H752" s="15"/>
      <c r="I752" s="15" t="s">
        <v>38</v>
      </c>
      <c r="J752" s="15" t="s">
        <v>6673</v>
      </c>
      <c r="K752" s="15"/>
      <c r="L752" s="15" t="s">
        <v>38</v>
      </c>
      <c r="M752" s="16" t="s">
        <v>6674</v>
      </c>
      <c r="N752" s="13">
        <v>4981777</v>
      </c>
      <c r="O752" s="13"/>
      <c r="P752" s="15" t="s">
        <v>94</v>
      </c>
      <c r="Q752" s="17" t="s">
        <v>6675</v>
      </c>
      <c r="R752" s="18">
        <v>555</v>
      </c>
      <c r="S752" s="19">
        <f t="shared" si="5"/>
        <v>89910</v>
      </c>
      <c r="T752" s="12" t="s">
        <v>46</v>
      </c>
      <c r="U752" s="15"/>
      <c r="V752" s="19">
        <v>44610</v>
      </c>
      <c r="W752" s="15" t="s">
        <v>71</v>
      </c>
      <c r="X752" s="13"/>
      <c r="Y752" s="20">
        <v>3100058</v>
      </c>
      <c r="Z752" s="13">
        <v>3873512</v>
      </c>
      <c r="AA752" s="13">
        <v>4744931</v>
      </c>
      <c r="AB752" s="13"/>
      <c r="AC752" s="15">
        <v>5601603</v>
      </c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</row>
    <row r="753" spans="1:46" ht="45" customHeight="1">
      <c r="A753" s="21" t="s">
        <v>6676</v>
      </c>
      <c r="B753" s="22" t="s">
        <v>6677</v>
      </c>
      <c r="C753" s="23" t="s">
        <v>6678</v>
      </c>
      <c r="D753" s="24" t="s">
        <v>3535</v>
      </c>
      <c r="E753" s="24" t="s">
        <v>1097</v>
      </c>
      <c r="F753" s="161" t="s">
        <v>402</v>
      </c>
      <c r="G753" s="24" t="s">
        <v>3537</v>
      </c>
      <c r="H753" s="24" t="s">
        <v>331</v>
      </c>
      <c r="I753" s="24" t="s">
        <v>80</v>
      </c>
      <c r="J753" s="24" t="s">
        <v>3537</v>
      </c>
      <c r="K753" s="24" t="s">
        <v>331</v>
      </c>
      <c r="L753" s="24" t="s">
        <v>80</v>
      </c>
      <c r="M753" s="59" t="s">
        <v>3539</v>
      </c>
      <c r="N753" s="22" t="s">
        <v>6679</v>
      </c>
      <c r="O753" s="22"/>
      <c r="P753" s="24" t="s">
        <v>408</v>
      </c>
      <c r="Q753" s="28" t="s">
        <v>6680</v>
      </c>
      <c r="R753" s="29">
        <v>2072</v>
      </c>
      <c r="S753" s="30">
        <f t="shared" si="5"/>
        <v>335664</v>
      </c>
      <c r="T753" s="21" t="s">
        <v>96</v>
      </c>
      <c r="U753" s="24"/>
      <c r="V753" s="30">
        <v>368160</v>
      </c>
      <c r="W753" s="24" t="s">
        <v>71</v>
      </c>
      <c r="X753" s="22"/>
      <c r="Y753" s="31">
        <v>3111867</v>
      </c>
      <c r="Z753" s="22">
        <v>3885289</v>
      </c>
      <c r="AA753" s="22">
        <v>4726384</v>
      </c>
      <c r="AB753" s="22"/>
      <c r="AC753" s="24">
        <v>5612674</v>
      </c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</row>
    <row r="754" spans="1:46" ht="45" customHeight="1">
      <c r="A754" s="12" t="s">
        <v>6681</v>
      </c>
      <c r="B754" s="13" t="s">
        <v>6682</v>
      </c>
      <c r="C754" s="14" t="s">
        <v>6683</v>
      </c>
      <c r="D754" s="15" t="s">
        <v>2406</v>
      </c>
      <c r="E754" s="15" t="s">
        <v>2407</v>
      </c>
      <c r="F754" s="15" t="s">
        <v>181</v>
      </c>
      <c r="G754" s="15" t="s">
        <v>2408</v>
      </c>
      <c r="H754" s="15" t="s">
        <v>1878</v>
      </c>
      <c r="I754" s="15" t="s">
        <v>80</v>
      </c>
      <c r="J754" s="15" t="s">
        <v>6684</v>
      </c>
      <c r="K754" s="15" t="s">
        <v>6685</v>
      </c>
      <c r="L754" s="15" t="s">
        <v>1279</v>
      </c>
      <c r="M754" s="46" t="s">
        <v>6686</v>
      </c>
      <c r="N754" s="13" t="s">
        <v>6687</v>
      </c>
      <c r="O754" s="13"/>
      <c r="P754" s="15" t="s">
        <v>94</v>
      </c>
      <c r="Q754" s="17" t="s">
        <v>6688</v>
      </c>
      <c r="R754" s="18">
        <v>300</v>
      </c>
      <c r="S754" s="19">
        <f t="shared" si="5"/>
        <v>48600</v>
      </c>
      <c r="T754" s="12" t="s">
        <v>46</v>
      </c>
      <c r="U754" s="15"/>
      <c r="V754" s="19">
        <v>44610</v>
      </c>
      <c r="W754" s="15" t="s">
        <v>71</v>
      </c>
      <c r="X754" s="13">
        <v>1032657</v>
      </c>
      <c r="Y754" s="20">
        <v>3073190</v>
      </c>
      <c r="Z754" s="13">
        <v>3827552</v>
      </c>
      <c r="AA754" s="13">
        <v>4666799</v>
      </c>
      <c r="AB754" s="13"/>
      <c r="AC754" s="15">
        <v>5531148</v>
      </c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</row>
    <row r="755" spans="1:46" ht="45" customHeight="1">
      <c r="A755" s="12" t="s">
        <v>6689</v>
      </c>
      <c r="B755" s="13" t="s">
        <v>6690</v>
      </c>
      <c r="C755" s="14" t="s">
        <v>6691</v>
      </c>
      <c r="D755" s="15" t="s">
        <v>6692</v>
      </c>
      <c r="E755" s="15" t="s">
        <v>6693</v>
      </c>
      <c r="F755" s="146" t="s">
        <v>966</v>
      </c>
      <c r="G755" s="15" t="s">
        <v>6694</v>
      </c>
      <c r="H755" s="15" t="s">
        <v>52</v>
      </c>
      <c r="I755" s="15" t="s">
        <v>53</v>
      </c>
      <c r="J755" s="15" t="s">
        <v>6695</v>
      </c>
      <c r="K755" s="15" t="s">
        <v>91</v>
      </c>
      <c r="L755" s="15" t="s">
        <v>41</v>
      </c>
      <c r="M755" s="16" t="s">
        <v>6696</v>
      </c>
      <c r="N755" s="13" t="s">
        <v>6697</v>
      </c>
      <c r="O755" s="13"/>
      <c r="P755" s="15" t="s">
        <v>44</v>
      </c>
      <c r="Q755" s="17" t="s">
        <v>6698</v>
      </c>
      <c r="R755" s="18">
        <v>103</v>
      </c>
      <c r="S755" s="19">
        <f t="shared" si="5"/>
        <v>16686</v>
      </c>
      <c r="T755" s="12" t="s">
        <v>46</v>
      </c>
      <c r="U755" s="15"/>
      <c r="V755" s="19">
        <v>44610</v>
      </c>
      <c r="W755" s="15"/>
      <c r="X755" s="13"/>
      <c r="Y755" s="20"/>
      <c r="Z755" s="13"/>
      <c r="AA755" s="13"/>
      <c r="AB755" s="13">
        <v>4904991</v>
      </c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</row>
    <row r="756" spans="1:46" ht="45" customHeight="1">
      <c r="A756" s="12" t="s">
        <v>6699</v>
      </c>
      <c r="B756" s="13" t="s">
        <v>6700</v>
      </c>
      <c r="C756" s="14" t="s">
        <v>6701</v>
      </c>
      <c r="D756" s="15" t="s">
        <v>6702</v>
      </c>
      <c r="E756" s="15" t="s">
        <v>6703</v>
      </c>
      <c r="F756" s="146" t="s">
        <v>204</v>
      </c>
      <c r="G756" s="15" t="s">
        <v>6704</v>
      </c>
      <c r="H756" s="15" t="s">
        <v>1262</v>
      </c>
      <c r="I756" s="15" t="s">
        <v>115</v>
      </c>
      <c r="J756" s="15" t="s">
        <v>6705</v>
      </c>
      <c r="K756" s="15"/>
      <c r="L756" s="15" t="s">
        <v>149</v>
      </c>
      <c r="M756" s="16" t="s">
        <v>6706</v>
      </c>
      <c r="N756" s="13" t="s">
        <v>6707</v>
      </c>
      <c r="O756" s="13"/>
      <c r="P756" s="15" t="s">
        <v>6708</v>
      </c>
      <c r="Q756" s="17" t="s">
        <v>6709</v>
      </c>
      <c r="R756" s="18">
        <v>223</v>
      </c>
      <c r="S756" s="19">
        <f t="shared" si="5"/>
        <v>36126</v>
      </c>
      <c r="T756" s="12" t="s">
        <v>46</v>
      </c>
      <c r="U756" s="15"/>
      <c r="V756" s="19">
        <v>44610</v>
      </c>
      <c r="W756" s="15"/>
      <c r="X756" s="13"/>
      <c r="Y756" s="20">
        <v>3120133</v>
      </c>
      <c r="Z756" s="13"/>
      <c r="AA756" s="13"/>
      <c r="AB756" s="13">
        <v>4896561</v>
      </c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</row>
    <row r="757" spans="1:46" ht="45" customHeight="1">
      <c r="A757" s="40" t="s">
        <v>6710</v>
      </c>
      <c r="B757" s="33" t="s">
        <v>6711</v>
      </c>
      <c r="C757" s="34" t="s">
        <v>6712</v>
      </c>
      <c r="D757" s="35" t="s">
        <v>6713</v>
      </c>
      <c r="E757" s="35" t="s">
        <v>6714</v>
      </c>
      <c r="F757" s="162" t="s">
        <v>204</v>
      </c>
      <c r="G757" s="35" t="s">
        <v>6715</v>
      </c>
      <c r="H757" s="35"/>
      <c r="I757" s="35" t="s">
        <v>65</v>
      </c>
      <c r="J757" s="35" t="s">
        <v>6715</v>
      </c>
      <c r="K757" s="35"/>
      <c r="L757" s="35" t="s">
        <v>65</v>
      </c>
      <c r="M757" s="36" t="s">
        <v>6716</v>
      </c>
      <c r="N757" s="33">
        <v>2615902333</v>
      </c>
      <c r="O757" s="33"/>
      <c r="P757" s="35" t="s">
        <v>94</v>
      </c>
      <c r="Q757" s="37" t="s">
        <v>6717</v>
      </c>
      <c r="R757" s="38">
        <v>871</v>
      </c>
      <c r="S757" s="39">
        <f t="shared" si="5"/>
        <v>141102</v>
      </c>
      <c r="T757" s="40" t="s">
        <v>252</v>
      </c>
      <c r="U757" s="35"/>
      <c r="V757" s="39">
        <v>123900</v>
      </c>
      <c r="W757" s="35"/>
      <c r="X757" s="33"/>
      <c r="Y757" s="41"/>
      <c r="Z757" s="33"/>
      <c r="AA757" s="33"/>
      <c r="AB757" s="33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</row>
    <row r="758" spans="1:46" ht="45" customHeight="1">
      <c r="A758" s="40" t="s">
        <v>6718</v>
      </c>
      <c r="B758" s="33" t="s">
        <v>6719</v>
      </c>
      <c r="C758" s="34" t="s">
        <v>6720</v>
      </c>
      <c r="D758" s="35" t="s">
        <v>6721</v>
      </c>
      <c r="E758" s="35" t="s">
        <v>3583</v>
      </c>
      <c r="F758" s="162" t="s">
        <v>111</v>
      </c>
      <c r="G758" s="35" t="s">
        <v>1002</v>
      </c>
      <c r="H758" s="35"/>
      <c r="I758" s="35" t="s">
        <v>115</v>
      </c>
      <c r="J758" s="35" t="s">
        <v>1002</v>
      </c>
      <c r="K758" s="35"/>
      <c r="L758" s="35" t="s">
        <v>115</v>
      </c>
      <c r="M758" s="36" t="s">
        <v>6722</v>
      </c>
      <c r="N758" s="33">
        <v>2613439711</v>
      </c>
      <c r="O758" s="33"/>
      <c r="P758" s="35" t="s">
        <v>408</v>
      </c>
      <c r="Q758" s="37" t="s">
        <v>6723</v>
      </c>
      <c r="R758" s="38">
        <v>39.54</v>
      </c>
      <c r="S758" s="39">
        <f t="shared" si="5"/>
        <v>6405.48</v>
      </c>
      <c r="T758" s="40" t="s">
        <v>46</v>
      </c>
      <c r="U758" s="35"/>
      <c r="V758" s="39">
        <v>44610</v>
      </c>
      <c r="W758" s="35"/>
      <c r="X758" s="33"/>
      <c r="Y758" s="41"/>
      <c r="Z758" s="33"/>
      <c r="AA758" s="33"/>
      <c r="AB758" s="33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</row>
    <row r="759" spans="1:46" ht="45" customHeight="1">
      <c r="A759" s="12" t="s">
        <v>6724</v>
      </c>
      <c r="B759" s="13" t="s">
        <v>6725</v>
      </c>
      <c r="C759" s="14" t="s">
        <v>6726</v>
      </c>
      <c r="D759" s="15" t="s">
        <v>6727</v>
      </c>
      <c r="E759" s="15" t="s">
        <v>1849</v>
      </c>
      <c r="F759" s="146" t="s">
        <v>181</v>
      </c>
      <c r="G759" s="15" t="s">
        <v>6728</v>
      </c>
      <c r="H759" s="15" t="s">
        <v>6330</v>
      </c>
      <c r="I759" s="15" t="s">
        <v>149</v>
      </c>
      <c r="J759" s="15" t="s">
        <v>6728</v>
      </c>
      <c r="K759" s="15" t="s">
        <v>6330</v>
      </c>
      <c r="L759" s="15" t="s">
        <v>149</v>
      </c>
      <c r="M759" s="16" t="s">
        <v>6729</v>
      </c>
      <c r="N759" s="13">
        <v>2614272015</v>
      </c>
      <c r="O759" s="13"/>
      <c r="P759" s="15" t="s">
        <v>44</v>
      </c>
      <c r="Q759" s="17" t="s">
        <v>6730</v>
      </c>
      <c r="R759" s="18">
        <v>73</v>
      </c>
      <c r="S759" s="19">
        <f t="shared" si="5"/>
        <v>11826</v>
      </c>
      <c r="T759" s="12" t="s">
        <v>46</v>
      </c>
      <c r="U759" s="15"/>
      <c r="V759" s="19">
        <v>44610</v>
      </c>
      <c r="W759" s="49" t="s">
        <v>71</v>
      </c>
      <c r="X759" s="13"/>
      <c r="Y759" s="20"/>
      <c r="Z759" s="13">
        <v>3887684</v>
      </c>
      <c r="AA759" s="13">
        <v>4753513</v>
      </c>
      <c r="AB759" s="13"/>
      <c r="AC759" s="49">
        <v>5627100</v>
      </c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</row>
    <row r="760" spans="1:46" ht="45" customHeight="1">
      <c r="A760" s="21" t="s">
        <v>6731</v>
      </c>
      <c r="B760" s="22" t="s">
        <v>6732</v>
      </c>
      <c r="C760" s="23" t="s">
        <v>6733</v>
      </c>
      <c r="D760" s="24" t="s">
        <v>6734</v>
      </c>
      <c r="E760" s="24" t="s">
        <v>6735</v>
      </c>
      <c r="F760" s="161" t="s">
        <v>402</v>
      </c>
      <c r="G760" s="24" t="s">
        <v>6736</v>
      </c>
      <c r="H760" s="24"/>
      <c r="I760" s="24" t="s">
        <v>65</v>
      </c>
      <c r="J760" s="24" t="s">
        <v>6736</v>
      </c>
      <c r="K760" s="24"/>
      <c r="L760" s="24" t="s">
        <v>65</v>
      </c>
      <c r="M760" s="59" t="s">
        <v>6737</v>
      </c>
      <c r="N760" s="22">
        <v>2614487260</v>
      </c>
      <c r="O760" s="22"/>
      <c r="P760" s="24" t="s">
        <v>1870</v>
      </c>
      <c r="Q760" s="28" t="s">
        <v>6738</v>
      </c>
      <c r="R760" s="29">
        <v>3071</v>
      </c>
      <c r="S760" s="30">
        <f t="shared" si="5"/>
        <v>497502</v>
      </c>
      <c r="T760" s="21" t="s">
        <v>129</v>
      </c>
      <c r="U760" s="24"/>
      <c r="V760" s="30">
        <v>545160</v>
      </c>
      <c r="W760" s="24" t="s">
        <v>71</v>
      </c>
      <c r="X760" s="22">
        <v>1038850</v>
      </c>
      <c r="Y760" s="31">
        <v>3105154</v>
      </c>
      <c r="Z760" s="22">
        <v>3890509</v>
      </c>
      <c r="AA760" s="22"/>
      <c r="AB760" s="22"/>
      <c r="AC760" s="24">
        <v>5615690</v>
      </c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</row>
    <row r="761" spans="1:46" ht="45" customHeight="1">
      <c r="A761" s="12" t="s">
        <v>6739</v>
      </c>
      <c r="B761" s="13" t="s">
        <v>6740</v>
      </c>
      <c r="C761" s="14" t="s">
        <v>6741</v>
      </c>
      <c r="D761" s="15" t="s">
        <v>6742</v>
      </c>
      <c r="E761" s="15" t="s">
        <v>2441</v>
      </c>
      <c r="F761" s="146" t="s">
        <v>181</v>
      </c>
      <c r="G761" s="15" t="s">
        <v>6743</v>
      </c>
      <c r="H761" s="15" t="s">
        <v>6744</v>
      </c>
      <c r="I761" s="15" t="s">
        <v>149</v>
      </c>
      <c r="J761" s="15" t="s">
        <v>6743</v>
      </c>
      <c r="K761" s="15" t="s">
        <v>6744</v>
      </c>
      <c r="L761" s="15" t="s">
        <v>149</v>
      </c>
      <c r="M761" s="46" t="s">
        <v>6745</v>
      </c>
      <c r="N761" s="13">
        <v>4273711</v>
      </c>
      <c r="O761" s="13"/>
      <c r="P761" s="15" t="s">
        <v>94</v>
      </c>
      <c r="Q761" s="17" t="s">
        <v>6746</v>
      </c>
      <c r="R761" s="18">
        <v>524</v>
      </c>
      <c r="S761" s="19">
        <f t="shared" si="5"/>
        <v>84888</v>
      </c>
      <c r="T761" s="12" t="s">
        <v>46</v>
      </c>
      <c r="U761" s="15"/>
      <c r="V761" s="19">
        <v>44610</v>
      </c>
      <c r="W761" s="15" t="s">
        <v>71</v>
      </c>
      <c r="X761" s="13">
        <v>1006333</v>
      </c>
      <c r="Y761" s="20">
        <v>3058625</v>
      </c>
      <c r="Z761" s="13">
        <v>3890142</v>
      </c>
      <c r="AA761" s="13">
        <v>4625110</v>
      </c>
      <c r="AB761" s="13"/>
      <c r="AC761" s="15">
        <v>5511601</v>
      </c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</row>
    <row r="762" spans="1:46" ht="45" customHeight="1">
      <c r="A762" s="12" t="s">
        <v>6747</v>
      </c>
      <c r="B762" s="13" t="s">
        <v>6748</v>
      </c>
      <c r="C762" s="14" t="s">
        <v>6749</v>
      </c>
      <c r="D762" s="15" t="s">
        <v>6750</v>
      </c>
      <c r="E762" s="15" t="s">
        <v>6751</v>
      </c>
      <c r="F762" s="146" t="s">
        <v>111</v>
      </c>
      <c r="G762" s="15" t="s">
        <v>6752</v>
      </c>
      <c r="H762" s="15" t="s">
        <v>6753</v>
      </c>
      <c r="I762" s="15" t="s">
        <v>80</v>
      </c>
      <c r="J762" s="15" t="s">
        <v>6752</v>
      </c>
      <c r="K762" s="15" t="s">
        <v>6753</v>
      </c>
      <c r="L762" s="15" t="s">
        <v>80</v>
      </c>
      <c r="M762" s="46" t="s">
        <v>6754</v>
      </c>
      <c r="N762" s="13" t="s">
        <v>6755</v>
      </c>
      <c r="O762" s="13"/>
      <c r="P762" s="15" t="s">
        <v>44</v>
      </c>
      <c r="Q762" s="17" t="s">
        <v>6756</v>
      </c>
      <c r="R762" s="18">
        <v>25</v>
      </c>
      <c r="S762" s="19">
        <f t="shared" si="5"/>
        <v>4050</v>
      </c>
      <c r="T762" s="12" t="s">
        <v>46</v>
      </c>
      <c r="U762" s="15"/>
      <c r="V762" s="19">
        <v>44610</v>
      </c>
      <c r="W762" s="15" t="s">
        <v>71</v>
      </c>
      <c r="X762" s="13">
        <v>1038246</v>
      </c>
      <c r="Y762" s="20">
        <v>3091021</v>
      </c>
      <c r="Z762" s="13">
        <v>3856489</v>
      </c>
      <c r="AA762" s="13">
        <v>4709433</v>
      </c>
      <c r="AB762" s="13"/>
      <c r="AC762" s="15">
        <v>5571153</v>
      </c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</row>
    <row r="763" spans="1:46" ht="45" customHeight="1">
      <c r="A763" s="50" t="s">
        <v>6757</v>
      </c>
      <c r="B763" s="51" t="s">
        <v>6758</v>
      </c>
      <c r="C763" s="52" t="s">
        <v>6759</v>
      </c>
      <c r="D763" s="53" t="s">
        <v>6760</v>
      </c>
      <c r="E763" s="53" t="s">
        <v>6761</v>
      </c>
      <c r="F763" s="141" t="s">
        <v>77</v>
      </c>
      <c r="G763" s="53" t="s">
        <v>6762</v>
      </c>
      <c r="H763" s="53" t="s">
        <v>3902</v>
      </c>
      <c r="I763" s="53" t="s">
        <v>80</v>
      </c>
      <c r="J763" s="53" t="s">
        <v>6762</v>
      </c>
      <c r="K763" s="53" t="s">
        <v>3902</v>
      </c>
      <c r="L763" s="53" t="s">
        <v>80</v>
      </c>
      <c r="M763" s="54" t="s">
        <v>6763</v>
      </c>
      <c r="N763" s="51" t="s">
        <v>6764</v>
      </c>
      <c r="O763" s="51"/>
      <c r="P763" s="53" t="s">
        <v>408</v>
      </c>
      <c r="Q763" s="55" t="s">
        <v>6765</v>
      </c>
      <c r="R763" s="56">
        <v>3479</v>
      </c>
      <c r="S763" s="57">
        <f t="shared" si="5"/>
        <v>563598</v>
      </c>
      <c r="T763" s="50" t="s">
        <v>129</v>
      </c>
      <c r="U763" s="53"/>
      <c r="V763" s="57">
        <v>545160</v>
      </c>
      <c r="W763" s="53" t="s">
        <v>71</v>
      </c>
      <c r="X763" s="51">
        <v>1040570</v>
      </c>
      <c r="Y763" s="58"/>
      <c r="Z763" s="51">
        <v>3869051</v>
      </c>
      <c r="AA763" s="51"/>
      <c r="AB763" s="51">
        <v>4837732</v>
      </c>
      <c r="AC763" s="53">
        <v>5511604</v>
      </c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</row>
    <row r="764" spans="1:46" ht="45" customHeight="1">
      <c r="A764" s="21" t="s">
        <v>6766</v>
      </c>
      <c r="B764" s="22" t="s">
        <v>6767</v>
      </c>
      <c r="C764" s="23" t="s">
        <v>6768</v>
      </c>
      <c r="D764" s="24" t="s">
        <v>6769</v>
      </c>
      <c r="E764" s="24" t="s">
        <v>6770</v>
      </c>
      <c r="F764" s="161" t="s">
        <v>776</v>
      </c>
      <c r="G764" s="24" t="s">
        <v>6771</v>
      </c>
      <c r="H764" s="24" t="s">
        <v>3887</v>
      </c>
      <c r="I764" s="24" t="s">
        <v>38</v>
      </c>
      <c r="J764" s="24" t="s">
        <v>6772</v>
      </c>
      <c r="K764" s="24" t="s">
        <v>544</v>
      </c>
      <c r="L764" s="24" t="s">
        <v>38</v>
      </c>
      <c r="M764" s="25" t="s">
        <v>6773</v>
      </c>
      <c r="N764" s="22" t="s">
        <v>6774</v>
      </c>
      <c r="O764" s="22"/>
      <c r="P764" s="24" t="s">
        <v>6775</v>
      </c>
      <c r="Q764" s="28" t="s">
        <v>6776</v>
      </c>
      <c r="R764" s="29">
        <v>3210</v>
      </c>
      <c r="S764" s="30">
        <f t="shared" si="5"/>
        <v>520020</v>
      </c>
      <c r="T764" s="21" t="s">
        <v>129</v>
      </c>
      <c r="U764" s="24"/>
      <c r="V764" s="30">
        <v>545160</v>
      </c>
      <c r="W764" s="24"/>
      <c r="X764" s="22"/>
      <c r="Y764" s="31">
        <v>3076799</v>
      </c>
      <c r="Z764" s="22">
        <v>3833345</v>
      </c>
      <c r="AA764" s="22">
        <v>4686211</v>
      </c>
      <c r="AB764" s="22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</row>
    <row r="765" spans="1:46" ht="45" customHeight="1">
      <c r="A765" s="40" t="s">
        <v>6777</v>
      </c>
      <c r="B765" s="33" t="s">
        <v>6778</v>
      </c>
      <c r="C765" s="34" t="s">
        <v>6779</v>
      </c>
      <c r="D765" s="35" t="s">
        <v>6780</v>
      </c>
      <c r="E765" s="35" t="s">
        <v>6781</v>
      </c>
      <c r="F765" s="162" t="s">
        <v>147</v>
      </c>
      <c r="G765" s="35" t="s">
        <v>6782</v>
      </c>
      <c r="H765" s="35" t="s">
        <v>52</v>
      </c>
      <c r="I765" s="35" t="s">
        <v>53</v>
      </c>
      <c r="J765" s="35" t="s">
        <v>6783</v>
      </c>
      <c r="K765" s="35"/>
      <c r="L765" s="35" t="s">
        <v>206</v>
      </c>
      <c r="M765" s="36" t="s">
        <v>2568</v>
      </c>
      <c r="N765" s="33" t="s">
        <v>6784</v>
      </c>
      <c r="O765" s="33"/>
      <c r="P765" s="35" t="s">
        <v>151</v>
      </c>
      <c r="Q765" s="37" t="s">
        <v>6785</v>
      </c>
      <c r="R765" s="38">
        <v>23</v>
      </c>
      <c r="S765" s="39">
        <f t="shared" si="5"/>
        <v>3726</v>
      </c>
      <c r="T765" s="40" t="s">
        <v>46</v>
      </c>
      <c r="U765" s="35" t="s">
        <v>6786</v>
      </c>
      <c r="V765" s="39">
        <v>44610</v>
      </c>
      <c r="W765" s="35"/>
      <c r="X765" s="33"/>
      <c r="Y765" s="41"/>
      <c r="Z765" s="33"/>
      <c r="AA765" s="33"/>
      <c r="AB765" s="33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</row>
    <row r="766" spans="1:46" ht="45" customHeight="1">
      <c r="A766" s="40" t="s">
        <v>6787</v>
      </c>
      <c r="B766" s="33" t="s">
        <v>6788</v>
      </c>
      <c r="C766" s="34" t="s">
        <v>6789</v>
      </c>
      <c r="D766" s="35" t="s">
        <v>6790</v>
      </c>
      <c r="E766" s="35" t="s">
        <v>6791</v>
      </c>
      <c r="F766" s="162" t="s">
        <v>111</v>
      </c>
      <c r="G766" s="35" t="s">
        <v>6792</v>
      </c>
      <c r="H766" s="35"/>
      <c r="I766" s="35" t="s">
        <v>149</v>
      </c>
      <c r="J766" s="35" t="s">
        <v>6792</v>
      </c>
      <c r="K766" s="35"/>
      <c r="L766" s="35" t="s">
        <v>149</v>
      </c>
      <c r="M766" s="36" t="s">
        <v>6793</v>
      </c>
      <c r="N766" s="33">
        <v>155003233</v>
      </c>
      <c r="O766" s="33"/>
      <c r="P766" s="35" t="s">
        <v>44</v>
      </c>
      <c r="Q766" s="37" t="s">
        <v>6794</v>
      </c>
      <c r="R766" s="38">
        <v>281</v>
      </c>
      <c r="S766" s="39">
        <f t="shared" si="5"/>
        <v>45522</v>
      </c>
      <c r="T766" s="40" t="s">
        <v>46</v>
      </c>
      <c r="U766" s="35" t="s">
        <v>6795</v>
      </c>
      <c r="V766" s="39">
        <v>44610</v>
      </c>
      <c r="W766" s="35"/>
      <c r="X766" s="33"/>
      <c r="Y766" s="41"/>
      <c r="Z766" s="33"/>
      <c r="AA766" s="33"/>
      <c r="AB766" s="33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</row>
    <row r="767" spans="1:46" ht="45" customHeight="1">
      <c r="A767" s="12" t="s">
        <v>6796</v>
      </c>
      <c r="B767" s="13" t="s">
        <v>6797</v>
      </c>
      <c r="C767" s="14" t="s">
        <v>6798</v>
      </c>
      <c r="D767" s="15" t="s">
        <v>6799</v>
      </c>
      <c r="E767" s="15" t="s">
        <v>6800</v>
      </c>
      <c r="F767" s="146" t="s">
        <v>204</v>
      </c>
      <c r="G767" s="15" t="s">
        <v>6801</v>
      </c>
      <c r="H767" s="15" t="s">
        <v>4034</v>
      </c>
      <c r="I767" s="15" t="s">
        <v>149</v>
      </c>
      <c r="J767" s="15" t="s">
        <v>6801</v>
      </c>
      <c r="K767" s="15" t="s">
        <v>4034</v>
      </c>
      <c r="L767" s="15" t="s">
        <v>149</v>
      </c>
      <c r="M767" s="46" t="s">
        <v>6802</v>
      </c>
      <c r="N767" s="13">
        <v>2613050927</v>
      </c>
      <c r="O767" s="13"/>
      <c r="P767" s="15" t="s">
        <v>6803</v>
      </c>
      <c r="Q767" s="17" t="s">
        <v>6804</v>
      </c>
      <c r="R767" s="18">
        <v>26</v>
      </c>
      <c r="S767" s="19">
        <f t="shared" si="5"/>
        <v>4212</v>
      </c>
      <c r="T767" s="12" t="s">
        <v>46</v>
      </c>
      <c r="U767" s="15" t="s">
        <v>6805</v>
      </c>
      <c r="V767" s="19">
        <v>44610</v>
      </c>
      <c r="W767" s="15" t="s">
        <v>71</v>
      </c>
      <c r="X767" s="13">
        <v>1036489</v>
      </c>
      <c r="Y767" s="20">
        <v>3101728</v>
      </c>
      <c r="Z767" s="13">
        <v>3887706</v>
      </c>
      <c r="AA767" s="13">
        <v>4693460</v>
      </c>
      <c r="AB767" s="13"/>
      <c r="AC767" s="15">
        <v>5578647</v>
      </c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</row>
    <row r="768" spans="1:46" ht="45" customHeight="1">
      <c r="A768" s="12" t="s">
        <v>6806</v>
      </c>
      <c r="B768" s="13" t="s">
        <v>6807</v>
      </c>
      <c r="C768" s="66" t="s">
        <v>6808</v>
      </c>
      <c r="D768" s="15" t="s">
        <v>6809</v>
      </c>
      <c r="E768" s="15" t="s">
        <v>6810</v>
      </c>
      <c r="F768" s="146" t="s">
        <v>402</v>
      </c>
      <c r="G768" s="15" t="s">
        <v>6811</v>
      </c>
      <c r="H768" s="15" t="s">
        <v>291</v>
      </c>
      <c r="I768" s="15" t="s">
        <v>115</v>
      </c>
      <c r="J768" s="15" t="s">
        <v>6812</v>
      </c>
      <c r="K768" s="15"/>
      <c r="L768" s="15" t="s">
        <v>332</v>
      </c>
      <c r="M768" s="16" t="s">
        <v>6813</v>
      </c>
      <c r="N768" s="13">
        <v>2614319470</v>
      </c>
      <c r="O768" s="13"/>
      <c r="P768" s="15" t="s">
        <v>94</v>
      </c>
      <c r="Q768" s="17" t="s">
        <v>6814</v>
      </c>
      <c r="R768" s="18">
        <v>615</v>
      </c>
      <c r="S768" s="19">
        <f t="shared" si="5"/>
        <v>99630</v>
      </c>
      <c r="T768" s="12" t="s">
        <v>252</v>
      </c>
      <c r="U768" s="15" t="s">
        <v>6815</v>
      </c>
      <c r="V768" s="19">
        <v>123900</v>
      </c>
      <c r="W768" s="15"/>
      <c r="X768" s="13"/>
      <c r="Y768" s="20"/>
      <c r="Z768" s="13"/>
      <c r="AA768" s="13"/>
      <c r="AB768" s="13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</row>
    <row r="769" spans="1:46" ht="45" customHeight="1">
      <c r="A769" s="12" t="s">
        <v>6816</v>
      </c>
      <c r="B769" s="13" t="s">
        <v>6817</v>
      </c>
      <c r="C769" s="14" t="s">
        <v>6818</v>
      </c>
      <c r="D769" s="15" t="s">
        <v>6819</v>
      </c>
      <c r="E769" s="15" t="s">
        <v>5907</v>
      </c>
      <c r="F769" s="146" t="s">
        <v>181</v>
      </c>
      <c r="G769" s="15" t="s">
        <v>6820</v>
      </c>
      <c r="H769" s="15" t="s">
        <v>6821</v>
      </c>
      <c r="I769" s="15" t="s">
        <v>115</v>
      </c>
      <c r="J769" s="15" t="s">
        <v>6820</v>
      </c>
      <c r="K769" s="15" t="s">
        <v>6821</v>
      </c>
      <c r="L769" s="15" t="s">
        <v>115</v>
      </c>
      <c r="M769" s="46" t="s">
        <v>2326</v>
      </c>
      <c r="N769" s="13" t="s">
        <v>6822</v>
      </c>
      <c r="O769" s="13"/>
      <c r="P769" s="15" t="s">
        <v>6823</v>
      </c>
      <c r="Q769" s="17" t="s">
        <v>6824</v>
      </c>
      <c r="R769" s="18">
        <v>221</v>
      </c>
      <c r="S769" s="19">
        <f t="shared" si="5"/>
        <v>35802</v>
      </c>
      <c r="T769" s="12" t="s">
        <v>46</v>
      </c>
      <c r="U769" s="15" t="s">
        <v>6825</v>
      </c>
      <c r="V769" s="19">
        <v>44610</v>
      </c>
      <c r="W769" s="15" t="s">
        <v>71</v>
      </c>
      <c r="X769" s="13">
        <v>1022900</v>
      </c>
      <c r="Y769" s="20">
        <v>3063849</v>
      </c>
      <c r="Z769" s="13">
        <v>3806984</v>
      </c>
      <c r="AA769" s="13">
        <v>4652003</v>
      </c>
      <c r="AB769" s="13"/>
      <c r="AC769" s="15">
        <v>5485762</v>
      </c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</row>
    <row r="770" spans="1:46" ht="45" customHeight="1">
      <c r="A770" s="12" t="s">
        <v>6826</v>
      </c>
      <c r="B770" s="13" t="s">
        <v>6827</v>
      </c>
      <c r="C770" s="66" t="s">
        <v>6828</v>
      </c>
      <c r="D770" s="15" t="s">
        <v>6829</v>
      </c>
      <c r="E770" s="15" t="s">
        <v>6830</v>
      </c>
      <c r="F770" s="146" t="s">
        <v>204</v>
      </c>
      <c r="G770" s="15" t="s">
        <v>6831</v>
      </c>
      <c r="H770" s="15" t="s">
        <v>630</v>
      </c>
      <c r="I770" s="15" t="s">
        <v>80</v>
      </c>
      <c r="J770" s="15" t="s">
        <v>6831</v>
      </c>
      <c r="K770" s="15" t="s">
        <v>630</v>
      </c>
      <c r="L770" s="15" t="s">
        <v>80</v>
      </c>
      <c r="M770" s="46" t="s">
        <v>6832</v>
      </c>
      <c r="N770" s="13" t="s">
        <v>6833</v>
      </c>
      <c r="O770" s="13"/>
      <c r="P770" s="15" t="s">
        <v>44</v>
      </c>
      <c r="Q770" s="17" t="s">
        <v>6834</v>
      </c>
      <c r="R770" s="18">
        <v>343</v>
      </c>
      <c r="S770" s="19">
        <f t="shared" si="5"/>
        <v>55566</v>
      </c>
      <c r="T770" s="12" t="s">
        <v>46</v>
      </c>
      <c r="U770" s="15" t="s">
        <v>6835</v>
      </c>
      <c r="V770" s="19">
        <v>44610</v>
      </c>
      <c r="W770" s="15"/>
      <c r="X770" s="13"/>
      <c r="Y770" s="20"/>
      <c r="Z770" s="13"/>
      <c r="AA770" s="13"/>
      <c r="AB770" s="13"/>
      <c r="AC770" s="49" t="s">
        <v>130</v>
      </c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</row>
    <row r="771" spans="1:46" ht="45" customHeight="1">
      <c r="A771" s="12" t="s">
        <v>6836</v>
      </c>
      <c r="B771" s="13" t="s">
        <v>6837</v>
      </c>
      <c r="C771" s="14" t="s">
        <v>6838</v>
      </c>
      <c r="D771" s="15" t="s">
        <v>5485</v>
      </c>
      <c r="E771" s="15" t="s">
        <v>6839</v>
      </c>
      <c r="F771" s="15" t="s">
        <v>181</v>
      </c>
      <c r="G771" s="15" t="s">
        <v>6840</v>
      </c>
      <c r="H771" s="15" t="s">
        <v>114</v>
      </c>
      <c r="I771" s="15" t="s">
        <v>115</v>
      </c>
      <c r="J771" s="15" t="s">
        <v>6840</v>
      </c>
      <c r="K771" s="15" t="s">
        <v>114</v>
      </c>
      <c r="L771" s="15" t="s">
        <v>115</v>
      </c>
      <c r="M771" s="46" t="s">
        <v>5488</v>
      </c>
      <c r="N771" s="13" t="s">
        <v>6841</v>
      </c>
      <c r="O771" s="13"/>
      <c r="P771" s="15" t="s">
        <v>94</v>
      </c>
      <c r="Q771" s="17" t="s">
        <v>6842</v>
      </c>
      <c r="R771" s="18">
        <v>422</v>
      </c>
      <c r="S771" s="19">
        <f t="shared" si="5"/>
        <v>68364</v>
      </c>
      <c r="T771" s="12" t="s">
        <v>46</v>
      </c>
      <c r="U771" s="15" t="s">
        <v>6843</v>
      </c>
      <c r="V771" s="19">
        <v>44610</v>
      </c>
      <c r="W771" s="15" t="s">
        <v>71</v>
      </c>
      <c r="X771" s="13">
        <v>1010337</v>
      </c>
      <c r="Y771" s="20">
        <v>3088237</v>
      </c>
      <c r="Z771" s="13">
        <v>3879032</v>
      </c>
      <c r="AA771" s="13">
        <v>4744106</v>
      </c>
      <c r="AB771" s="13"/>
      <c r="AC771" s="15">
        <v>5601637</v>
      </c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</row>
    <row r="772" spans="1:46" ht="45" customHeight="1">
      <c r="A772" s="12" t="s">
        <v>6844</v>
      </c>
      <c r="B772" s="13" t="s">
        <v>6845</v>
      </c>
      <c r="C772" s="14" t="s">
        <v>6846</v>
      </c>
      <c r="D772" s="15" t="s">
        <v>6847</v>
      </c>
      <c r="E772" s="15" t="s">
        <v>6848</v>
      </c>
      <c r="F772" s="146" t="s">
        <v>111</v>
      </c>
      <c r="G772" s="15" t="s">
        <v>6849</v>
      </c>
      <c r="H772" s="15" t="s">
        <v>630</v>
      </c>
      <c r="I772" s="15" t="s">
        <v>80</v>
      </c>
      <c r="J772" s="15" t="s">
        <v>6849</v>
      </c>
      <c r="K772" s="15" t="s">
        <v>630</v>
      </c>
      <c r="L772" s="15" t="s">
        <v>80</v>
      </c>
      <c r="M772" s="67" t="s">
        <v>6850</v>
      </c>
      <c r="N772" s="13" t="s">
        <v>6851</v>
      </c>
      <c r="O772" s="13"/>
      <c r="P772" s="15" t="s">
        <v>94</v>
      </c>
      <c r="Q772" s="17" t="s">
        <v>6852</v>
      </c>
      <c r="R772" s="18">
        <v>58</v>
      </c>
      <c r="S772" s="19">
        <f t="shared" si="5"/>
        <v>9396</v>
      </c>
      <c r="T772" s="12" t="s">
        <v>46</v>
      </c>
      <c r="U772" s="15" t="s">
        <v>6853</v>
      </c>
      <c r="V772" s="19">
        <v>44610</v>
      </c>
      <c r="W772" s="13" t="s">
        <v>6854</v>
      </c>
      <c r="X772" s="13"/>
      <c r="Y772" s="20"/>
      <c r="Z772" s="13"/>
      <c r="AA772" s="13"/>
      <c r="AB772" s="13">
        <v>4857590</v>
      </c>
      <c r="AC772" s="15" t="s">
        <v>6855</v>
      </c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</row>
    <row r="773" spans="1:46" ht="45" customHeight="1">
      <c r="A773" s="12" t="s">
        <v>6856</v>
      </c>
      <c r="B773" s="13" t="s">
        <v>6857</v>
      </c>
      <c r="C773" s="66" t="s">
        <v>6858</v>
      </c>
      <c r="D773" s="15" t="s">
        <v>6859</v>
      </c>
      <c r="E773" s="15" t="s">
        <v>3864</v>
      </c>
      <c r="F773" s="146" t="s">
        <v>966</v>
      </c>
      <c r="G773" s="15" t="s">
        <v>6860</v>
      </c>
      <c r="H773" s="15" t="s">
        <v>6861</v>
      </c>
      <c r="I773" s="15" t="s">
        <v>115</v>
      </c>
      <c r="J773" s="15" t="s">
        <v>6862</v>
      </c>
      <c r="K773" s="15"/>
      <c r="L773" s="15" t="s">
        <v>41</v>
      </c>
      <c r="M773" s="46" t="s">
        <v>6863</v>
      </c>
      <c r="N773" s="13" t="s">
        <v>6864</v>
      </c>
      <c r="O773" s="13"/>
      <c r="P773" s="15" t="s">
        <v>44</v>
      </c>
      <c r="Q773" s="17" t="s">
        <v>6865</v>
      </c>
      <c r="R773" s="18">
        <v>33</v>
      </c>
      <c r="S773" s="19">
        <f t="shared" si="5"/>
        <v>5346</v>
      </c>
      <c r="T773" s="12" t="s">
        <v>46</v>
      </c>
      <c r="U773" s="15" t="s">
        <v>6866</v>
      </c>
      <c r="V773" s="19">
        <v>44610</v>
      </c>
      <c r="W773" s="15"/>
      <c r="X773" s="13"/>
      <c r="Y773" s="20"/>
      <c r="Z773" s="13"/>
      <c r="AA773" s="13"/>
      <c r="AB773" s="13"/>
      <c r="AC773" s="49" t="s">
        <v>130</v>
      </c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</row>
    <row r="774" spans="1:46" ht="45" customHeight="1">
      <c r="A774" s="12" t="s">
        <v>6867</v>
      </c>
      <c r="B774" s="13" t="s">
        <v>6868</v>
      </c>
      <c r="C774" s="14" t="s">
        <v>6869</v>
      </c>
      <c r="D774" s="15" t="s">
        <v>6870</v>
      </c>
      <c r="E774" s="15" t="s">
        <v>1363</v>
      </c>
      <c r="F774" s="146" t="s">
        <v>111</v>
      </c>
      <c r="G774" s="15" t="s">
        <v>6871</v>
      </c>
      <c r="H774" s="15"/>
      <c r="I774" s="15" t="s">
        <v>149</v>
      </c>
      <c r="J774" s="15" t="s">
        <v>6871</v>
      </c>
      <c r="K774" s="15"/>
      <c r="L774" s="15" t="s">
        <v>149</v>
      </c>
      <c r="M774" s="46" t="s">
        <v>6872</v>
      </c>
      <c r="N774" s="13">
        <v>155330962</v>
      </c>
      <c r="O774" s="13"/>
      <c r="P774" s="15" t="s">
        <v>44</v>
      </c>
      <c r="Q774" s="17" t="s">
        <v>6873</v>
      </c>
      <c r="R774" s="18">
        <v>31</v>
      </c>
      <c r="S774" s="19">
        <f t="shared" si="5"/>
        <v>5022</v>
      </c>
      <c r="T774" s="12" t="s">
        <v>46</v>
      </c>
      <c r="U774" s="15" t="s">
        <v>6874</v>
      </c>
      <c r="V774" s="19">
        <v>44610</v>
      </c>
      <c r="W774" s="49" t="s">
        <v>71</v>
      </c>
      <c r="X774" s="13">
        <v>1043842</v>
      </c>
      <c r="Y774" s="20">
        <v>3109050</v>
      </c>
      <c r="Z774" s="13">
        <v>3883588</v>
      </c>
      <c r="AA774" s="13">
        <v>4721323</v>
      </c>
      <c r="AB774" s="13"/>
      <c r="AC774" s="15"/>
      <c r="AD774" s="49">
        <v>6479454</v>
      </c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</row>
    <row r="775" spans="1:46" ht="45" customHeight="1">
      <c r="A775" s="12" t="s">
        <v>6875</v>
      </c>
      <c r="B775" s="13" t="s">
        <v>6876</v>
      </c>
      <c r="C775" s="14" t="s">
        <v>6877</v>
      </c>
      <c r="D775" s="15" t="s">
        <v>6878</v>
      </c>
      <c r="E775" s="15" t="s">
        <v>6879</v>
      </c>
      <c r="F775" s="146" t="s">
        <v>204</v>
      </c>
      <c r="G775" s="15" t="s">
        <v>6880</v>
      </c>
      <c r="H775" s="15" t="s">
        <v>3226</v>
      </c>
      <c r="I775" s="15" t="s">
        <v>38</v>
      </c>
      <c r="J775" s="15" t="s">
        <v>6880</v>
      </c>
      <c r="K775" s="15" t="s">
        <v>3226</v>
      </c>
      <c r="L775" s="15" t="s">
        <v>38</v>
      </c>
      <c r="M775" s="46" t="s">
        <v>6881</v>
      </c>
      <c r="N775" s="13">
        <v>2615730945</v>
      </c>
      <c r="O775" s="13"/>
      <c r="P775" s="15" t="s">
        <v>1381</v>
      </c>
      <c r="Q775" s="17" t="s">
        <v>6882</v>
      </c>
      <c r="R775" s="18">
        <v>130</v>
      </c>
      <c r="S775" s="19">
        <f t="shared" si="5"/>
        <v>21060</v>
      </c>
      <c r="T775" s="12" t="s">
        <v>46</v>
      </c>
      <c r="U775" s="15" t="s">
        <v>6883</v>
      </c>
      <c r="V775" s="19">
        <v>44610</v>
      </c>
      <c r="W775" s="15" t="s">
        <v>47</v>
      </c>
      <c r="X775" s="13">
        <v>1128232</v>
      </c>
      <c r="Y775" s="20"/>
      <c r="Z775" s="13"/>
      <c r="AA775" s="13"/>
      <c r="AB775" s="13">
        <v>4895226</v>
      </c>
      <c r="AC775" s="15">
        <v>5524422</v>
      </c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</row>
    <row r="776" spans="1:46" ht="45" customHeight="1">
      <c r="A776" s="21" t="s">
        <v>6884</v>
      </c>
      <c r="B776" s="22" t="s">
        <v>6885</v>
      </c>
      <c r="C776" s="23" t="s">
        <v>6886</v>
      </c>
      <c r="D776" s="24" t="s">
        <v>6887</v>
      </c>
      <c r="E776" s="24" t="s">
        <v>1188</v>
      </c>
      <c r="F776" s="161" t="s">
        <v>77</v>
      </c>
      <c r="G776" s="24" t="s">
        <v>6888</v>
      </c>
      <c r="H776" s="24" t="s">
        <v>52</v>
      </c>
      <c r="I776" s="24" t="s">
        <v>53</v>
      </c>
      <c r="J776" s="24" t="s">
        <v>6889</v>
      </c>
      <c r="K776" s="24" t="s">
        <v>6890</v>
      </c>
      <c r="L776" s="24" t="s">
        <v>1058</v>
      </c>
      <c r="M776" s="25" t="s">
        <v>6891</v>
      </c>
      <c r="N776" s="22" t="s">
        <v>6892</v>
      </c>
      <c r="O776" s="22"/>
      <c r="P776" s="24" t="s">
        <v>94</v>
      </c>
      <c r="Q776" s="28" t="s">
        <v>6893</v>
      </c>
      <c r="R776" s="29">
        <v>4726</v>
      </c>
      <c r="S776" s="30">
        <f t="shared" si="5"/>
        <v>765612</v>
      </c>
      <c r="T776" s="21" t="s">
        <v>105</v>
      </c>
      <c r="U776" s="24" t="s">
        <v>6894</v>
      </c>
      <c r="V776" s="30">
        <v>736320</v>
      </c>
      <c r="W776" s="24"/>
      <c r="X776" s="22"/>
      <c r="Y776" s="31">
        <v>3077979</v>
      </c>
      <c r="Z776" s="22"/>
      <c r="AA776" s="22"/>
      <c r="AB776" s="22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</row>
    <row r="777" spans="1:46" ht="45" customHeight="1">
      <c r="A777" s="12" t="s">
        <v>6895</v>
      </c>
      <c r="B777" s="13" t="s">
        <v>6896</v>
      </c>
      <c r="C777" s="14" t="s">
        <v>6897</v>
      </c>
      <c r="D777" s="15" t="s">
        <v>6898</v>
      </c>
      <c r="E777" s="15" t="s">
        <v>6899</v>
      </c>
      <c r="F777" s="146" t="s">
        <v>111</v>
      </c>
      <c r="G777" s="15" t="s">
        <v>6900</v>
      </c>
      <c r="H777" s="15" t="s">
        <v>544</v>
      </c>
      <c r="I777" s="15" t="s">
        <v>6901</v>
      </c>
      <c r="J777" s="15" t="s">
        <v>6900</v>
      </c>
      <c r="K777" s="15" t="s">
        <v>544</v>
      </c>
      <c r="L777" s="15" t="s">
        <v>6901</v>
      </c>
      <c r="M777" s="114" t="s">
        <v>6902</v>
      </c>
      <c r="N777" s="13" t="s">
        <v>6903</v>
      </c>
      <c r="O777" s="13"/>
      <c r="P777" s="15" t="s">
        <v>1381</v>
      </c>
      <c r="Q777" s="17" t="s">
        <v>6904</v>
      </c>
      <c r="R777" s="18">
        <v>86</v>
      </c>
      <c r="S777" s="19">
        <f t="shared" si="5"/>
        <v>13932</v>
      </c>
      <c r="T777" s="12" t="s">
        <v>46</v>
      </c>
      <c r="U777" s="15" t="s">
        <v>6905</v>
      </c>
      <c r="V777" s="19">
        <v>44610</v>
      </c>
      <c r="W777" s="49" t="s">
        <v>71</v>
      </c>
      <c r="X777" s="13"/>
      <c r="Y777" s="20"/>
      <c r="Z777" s="13">
        <v>3868299</v>
      </c>
      <c r="AA777" s="13"/>
      <c r="AB777" s="13"/>
      <c r="AC777" s="49">
        <v>5627444</v>
      </c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</row>
    <row r="778" spans="1:46" ht="45" customHeight="1">
      <c r="A778" s="12" t="s">
        <v>6906</v>
      </c>
      <c r="B778" s="13" t="s">
        <v>6907</v>
      </c>
      <c r="C778" s="66" t="s">
        <v>6908</v>
      </c>
      <c r="D778" s="15" t="s">
        <v>6909</v>
      </c>
      <c r="E778" s="15" t="s">
        <v>6910</v>
      </c>
      <c r="F778" s="15" t="s">
        <v>181</v>
      </c>
      <c r="G778" s="15" t="s">
        <v>6911</v>
      </c>
      <c r="H778" s="15" t="s">
        <v>1482</v>
      </c>
      <c r="I778" s="15" t="s">
        <v>149</v>
      </c>
      <c r="J778" s="15" t="s">
        <v>6911</v>
      </c>
      <c r="K778" s="15" t="s">
        <v>1482</v>
      </c>
      <c r="L778" s="15" t="s">
        <v>149</v>
      </c>
      <c r="M778" s="74" t="s">
        <v>6912</v>
      </c>
      <c r="N778" s="13" t="s">
        <v>6913</v>
      </c>
      <c r="O778" s="13"/>
      <c r="P778" s="15" t="s">
        <v>44</v>
      </c>
      <c r="Q778" s="17" t="s">
        <v>6914</v>
      </c>
      <c r="R778" s="18">
        <v>52</v>
      </c>
      <c r="S778" s="19">
        <f t="shared" si="5"/>
        <v>8424</v>
      </c>
      <c r="T778" s="12" t="s">
        <v>46</v>
      </c>
      <c r="U778" s="15" t="s">
        <v>6915</v>
      </c>
      <c r="V778" s="19">
        <v>44610</v>
      </c>
      <c r="W778" s="15"/>
      <c r="X778" s="13"/>
      <c r="Y778" s="20"/>
      <c r="Z778" s="13"/>
      <c r="AA778" s="13"/>
      <c r="AB778" s="13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</row>
    <row r="779" spans="1:46" ht="45" customHeight="1">
      <c r="A779" s="40" t="s">
        <v>6916</v>
      </c>
      <c r="B779" s="33" t="s">
        <v>6917</v>
      </c>
      <c r="C779" s="34" t="s">
        <v>6918</v>
      </c>
      <c r="D779" s="35" t="s">
        <v>6919</v>
      </c>
      <c r="E779" s="35" t="s">
        <v>1363</v>
      </c>
      <c r="F779" s="162" t="s">
        <v>111</v>
      </c>
      <c r="G779" s="35" t="s">
        <v>6920</v>
      </c>
      <c r="H779" s="35"/>
      <c r="I779" s="35" t="s">
        <v>149</v>
      </c>
      <c r="J779" s="35" t="s">
        <v>6920</v>
      </c>
      <c r="K779" s="35"/>
      <c r="L779" s="35" t="s">
        <v>149</v>
      </c>
      <c r="M779" s="36" t="s">
        <v>6921</v>
      </c>
      <c r="N779" s="33" t="s">
        <v>6922</v>
      </c>
      <c r="O779" s="33"/>
      <c r="P779" s="35" t="s">
        <v>44</v>
      </c>
      <c r="Q779" s="37" t="s">
        <v>6923</v>
      </c>
      <c r="R779" s="38">
        <v>26</v>
      </c>
      <c r="S779" s="39">
        <f t="shared" si="5"/>
        <v>4212</v>
      </c>
      <c r="T779" s="40" t="s">
        <v>46</v>
      </c>
      <c r="U779" s="35" t="s">
        <v>6924</v>
      </c>
      <c r="V779" s="39">
        <v>44610</v>
      </c>
      <c r="W779" s="35"/>
      <c r="X779" s="33"/>
      <c r="Y779" s="41"/>
      <c r="Z779" s="33"/>
      <c r="AA779" s="33"/>
      <c r="AB779" s="33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</row>
    <row r="780" spans="1:46" ht="45" customHeight="1">
      <c r="A780" s="12" t="s">
        <v>6925</v>
      </c>
      <c r="B780" s="13" t="s">
        <v>6926</v>
      </c>
      <c r="C780" s="66" t="s">
        <v>6927</v>
      </c>
      <c r="D780" s="15" t="s">
        <v>6928</v>
      </c>
      <c r="E780" s="15" t="s">
        <v>6929</v>
      </c>
      <c r="F780" s="146" t="s">
        <v>111</v>
      </c>
      <c r="G780" s="15" t="s">
        <v>6930</v>
      </c>
      <c r="H780" s="15"/>
      <c r="I780" s="15" t="s">
        <v>149</v>
      </c>
      <c r="J780" s="15" t="s">
        <v>6930</v>
      </c>
      <c r="K780" s="15"/>
      <c r="L780" s="15" t="s">
        <v>149</v>
      </c>
      <c r="M780" s="16" t="s">
        <v>6931</v>
      </c>
      <c r="N780" s="13" t="s">
        <v>6932</v>
      </c>
      <c r="O780" s="13"/>
      <c r="P780" s="15" t="s">
        <v>6933</v>
      </c>
      <c r="Q780" s="17" t="s">
        <v>6934</v>
      </c>
      <c r="R780" s="18">
        <v>410</v>
      </c>
      <c r="S780" s="19">
        <f t="shared" si="5"/>
        <v>66420</v>
      </c>
      <c r="T780" s="12" t="s">
        <v>46</v>
      </c>
      <c r="U780" s="15" t="s">
        <v>6935</v>
      </c>
      <c r="V780" s="19">
        <v>44610</v>
      </c>
      <c r="W780" s="15" t="s">
        <v>71</v>
      </c>
      <c r="X780" s="13"/>
      <c r="Y780" s="20"/>
      <c r="Z780" s="13"/>
      <c r="AA780" s="13">
        <v>4757780</v>
      </c>
      <c r="AB780" s="13"/>
      <c r="AC780" s="15">
        <v>5574081</v>
      </c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</row>
    <row r="781" spans="1:46" ht="45" customHeight="1">
      <c r="A781" s="50" t="s">
        <v>6936</v>
      </c>
      <c r="B781" s="51" t="s">
        <v>6937</v>
      </c>
      <c r="C781" s="52" t="s">
        <v>6938</v>
      </c>
      <c r="D781" s="53" t="s">
        <v>6939</v>
      </c>
      <c r="E781" s="53" t="s">
        <v>1809</v>
      </c>
      <c r="F781" s="141" t="s">
        <v>181</v>
      </c>
      <c r="G781" s="53" t="s">
        <v>6940</v>
      </c>
      <c r="H781" s="53"/>
      <c r="I781" s="53" t="s">
        <v>149</v>
      </c>
      <c r="J781" s="53" t="s">
        <v>6940</v>
      </c>
      <c r="K781" s="53"/>
      <c r="L781" s="53" t="s">
        <v>149</v>
      </c>
      <c r="M781" s="54" t="s">
        <v>6941</v>
      </c>
      <c r="N781" s="51">
        <v>4221122</v>
      </c>
      <c r="O781" s="51"/>
      <c r="P781" s="53" t="s">
        <v>44</v>
      </c>
      <c r="Q781" s="55" t="s">
        <v>6942</v>
      </c>
      <c r="R781" s="56">
        <v>52</v>
      </c>
      <c r="S781" s="57">
        <f t="shared" si="5"/>
        <v>8424</v>
      </c>
      <c r="T781" s="50" t="s">
        <v>46</v>
      </c>
      <c r="U781" s="53" t="s">
        <v>6943</v>
      </c>
      <c r="V781" s="57">
        <v>44610</v>
      </c>
      <c r="W781" s="53"/>
      <c r="X781" s="51"/>
      <c r="Y781" s="58"/>
      <c r="Z781" s="51"/>
      <c r="AA781" s="51"/>
      <c r="AB781" s="51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</row>
    <row r="782" spans="1:46" ht="45" customHeight="1">
      <c r="A782" s="12" t="s">
        <v>6944</v>
      </c>
      <c r="B782" s="13" t="s">
        <v>6945</v>
      </c>
      <c r="C782" s="14" t="s">
        <v>6946</v>
      </c>
      <c r="D782" s="15" t="s">
        <v>6947</v>
      </c>
      <c r="E782" s="15" t="s">
        <v>6948</v>
      </c>
      <c r="F782" s="146" t="s">
        <v>287</v>
      </c>
      <c r="G782" s="15" t="s">
        <v>6949</v>
      </c>
      <c r="H782" s="15"/>
      <c r="I782" s="15" t="s">
        <v>149</v>
      </c>
      <c r="J782" s="15" t="s">
        <v>6950</v>
      </c>
      <c r="K782" s="15" t="s">
        <v>6951</v>
      </c>
      <c r="L782" s="15" t="s">
        <v>149</v>
      </c>
      <c r="M782" s="67" t="s">
        <v>6952</v>
      </c>
      <c r="N782" s="47" t="s">
        <v>6953</v>
      </c>
      <c r="O782" s="13"/>
      <c r="P782" s="15" t="s">
        <v>6954</v>
      </c>
      <c r="Q782" s="17" t="s">
        <v>6955</v>
      </c>
      <c r="R782" s="18">
        <v>41</v>
      </c>
      <c r="S782" s="19">
        <f t="shared" si="5"/>
        <v>6642</v>
      </c>
      <c r="T782" s="12" t="s">
        <v>46</v>
      </c>
      <c r="U782" s="15" t="s">
        <v>6956</v>
      </c>
      <c r="V782" s="19">
        <v>44610</v>
      </c>
      <c r="W782" s="15"/>
      <c r="X782" s="13"/>
      <c r="Y782" s="20"/>
      <c r="Z782" s="13"/>
      <c r="AA782" s="13"/>
      <c r="AB782" s="13">
        <v>4849680</v>
      </c>
      <c r="AC782" s="15"/>
      <c r="AD782" s="49">
        <v>6457625</v>
      </c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</row>
    <row r="783" spans="1:46" ht="45" customHeight="1">
      <c r="A783" s="12" t="s">
        <v>6957</v>
      </c>
      <c r="B783" s="13" t="s">
        <v>6958</v>
      </c>
      <c r="C783" s="14" t="s">
        <v>6959</v>
      </c>
      <c r="D783" s="15" t="s">
        <v>6960</v>
      </c>
      <c r="E783" s="15" t="s">
        <v>6961</v>
      </c>
      <c r="F783" s="146" t="s">
        <v>111</v>
      </c>
      <c r="G783" s="15" t="s">
        <v>6962</v>
      </c>
      <c r="H783" s="15"/>
      <c r="I783" s="15" t="s">
        <v>149</v>
      </c>
      <c r="J783" s="15" t="s">
        <v>6962</v>
      </c>
      <c r="K783" s="15"/>
      <c r="L783" s="15" t="s">
        <v>149</v>
      </c>
      <c r="M783" s="16" t="s">
        <v>6963</v>
      </c>
      <c r="N783" s="13" t="s">
        <v>6964</v>
      </c>
      <c r="O783" s="13"/>
      <c r="P783" s="15" t="s">
        <v>117</v>
      </c>
      <c r="Q783" s="17" t="s">
        <v>6965</v>
      </c>
      <c r="R783" s="18">
        <v>111</v>
      </c>
      <c r="S783" s="19">
        <f t="shared" si="5"/>
        <v>17982</v>
      </c>
      <c r="T783" s="12" t="s">
        <v>46</v>
      </c>
      <c r="U783" s="15" t="s">
        <v>6966</v>
      </c>
      <c r="V783" s="19">
        <v>44610</v>
      </c>
      <c r="W783" s="15" t="s">
        <v>71</v>
      </c>
      <c r="X783" s="13">
        <v>1083364</v>
      </c>
      <c r="Y783" s="20">
        <v>3121855</v>
      </c>
      <c r="Z783" s="13">
        <v>3887478</v>
      </c>
      <c r="AA783" s="13">
        <v>4712679</v>
      </c>
      <c r="AB783" s="13"/>
      <c r="AC783" s="15">
        <v>5583383</v>
      </c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</row>
    <row r="784" spans="1:46" ht="45" customHeight="1">
      <c r="A784" s="21" t="s">
        <v>6967</v>
      </c>
      <c r="B784" s="22" t="s">
        <v>6968</v>
      </c>
      <c r="C784" s="23" t="s">
        <v>6969</v>
      </c>
      <c r="D784" s="24" t="s">
        <v>6970</v>
      </c>
      <c r="E784" s="24" t="s">
        <v>6971</v>
      </c>
      <c r="F784" s="161" t="s">
        <v>542</v>
      </c>
      <c r="G784" s="24" t="s">
        <v>6483</v>
      </c>
      <c r="H784" s="24" t="s">
        <v>630</v>
      </c>
      <c r="I784" s="24" t="s">
        <v>80</v>
      </c>
      <c r="J784" s="24" t="s">
        <v>6972</v>
      </c>
      <c r="K784" s="24" t="s">
        <v>544</v>
      </c>
      <c r="L784" s="24" t="s">
        <v>38</v>
      </c>
      <c r="M784" s="43" t="s">
        <v>6973</v>
      </c>
      <c r="N784" s="22" t="s">
        <v>6974</v>
      </c>
      <c r="O784" s="22"/>
      <c r="P784" s="24" t="s">
        <v>5101</v>
      </c>
      <c r="Q784" s="28" t="s">
        <v>6975</v>
      </c>
      <c r="R784" s="29">
        <v>2555</v>
      </c>
      <c r="S784" s="30">
        <f t="shared" si="5"/>
        <v>413910</v>
      </c>
      <c r="T784" s="21" t="s">
        <v>96</v>
      </c>
      <c r="U784" s="24" t="s">
        <v>6976</v>
      </c>
      <c r="V784" s="30">
        <v>368160</v>
      </c>
      <c r="W784" s="45" t="s">
        <v>71</v>
      </c>
      <c r="X784" s="22"/>
      <c r="Y784" s="31">
        <v>3110802</v>
      </c>
      <c r="Z784" s="22">
        <v>3898180</v>
      </c>
      <c r="AA784" s="22">
        <v>4735004</v>
      </c>
      <c r="AB784" s="22"/>
      <c r="AC784" s="45">
        <v>5637166</v>
      </c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</row>
    <row r="785" spans="1:46" ht="45" customHeight="1">
      <c r="A785" s="12" t="s">
        <v>6977</v>
      </c>
      <c r="B785" s="13" t="s">
        <v>6978</v>
      </c>
      <c r="C785" s="14" t="s">
        <v>6979</v>
      </c>
      <c r="D785" s="15" t="s">
        <v>6980</v>
      </c>
      <c r="E785" s="15" t="s">
        <v>6981</v>
      </c>
      <c r="F785" s="146" t="s">
        <v>111</v>
      </c>
      <c r="G785" s="15" t="s">
        <v>6982</v>
      </c>
      <c r="H785" s="15"/>
      <c r="I785" s="15" t="s">
        <v>149</v>
      </c>
      <c r="J785" s="15" t="s">
        <v>6982</v>
      </c>
      <c r="K785" s="15"/>
      <c r="L785" s="15" t="s">
        <v>149</v>
      </c>
      <c r="M785" s="67" t="s">
        <v>6983</v>
      </c>
      <c r="N785" s="13" t="s">
        <v>6984</v>
      </c>
      <c r="O785" s="13"/>
      <c r="P785" s="15" t="s">
        <v>44</v>
      </c>
      <c r="Q785" s="17" t="s">
        <v>6985</v>
      </c>
      <c r="R785" s="18">
        <v>147</v>
      </c>
      <c r="S785" s="19">
        <f t="shared" si="5"/>
        <v>23814</v>
      </c>
      <c r="T785" s="12" t="s">
        <v>46</v>
      </c>
      <c r="U785" s="15" t="s">
        <v>6986</v>
      </c>
      <c r="V785" s="19">
        <v>44610</v>
      </c>
      <c r="W785" s="15"/>
      <c r="X785" s="13">
        <v>1078694</v>
      </c>
      <c r="Y785" s="20"/>
      <c r="Z785" s="13"/>
      <c r="AA785" s="13">
        <v>4756924</v>
      </c>
      <c r="AB785" s="13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</row>
    <row r="786" spans="1:46" ht="45" customHeight="1">
      <c r="A786" s="12" t="s">
        <v>6987</v>
      </c>
      <c r="B786" s="13" t="s">
        <v>6988</v>
      </c>
      <c r="C786" s="66" t="s">
        <v>6989</v>
      </c>
      <c r="D786" s="15" t="s">
        <v>6990</v>
      </c>
      <c r="E786" s="15" t="s">
        <v>6991</v>
      </c>
      <c r="F786" s="146" t="s">
        <v>111</v>
      </c>
      <c r="G786" s="15" t="s">
        <v>6992</v>
      </c>
      <c r="H786" s="15" t="s">
        <v>630</v>
      </c>
      <c r="I786" s="15" t="s">
        <v>80</v>
      </c>
      <c r="J786" s="15" t="s">
        <v>6992</v>
      </c>
      <c r="K786" s="15" t="s">
        <v>630</v>
      </c>
      <c r="L786" s="15" t="s">
        <v>80</v>
      </c>
      <c r="M786" s="16" t="s">
        <v>6993</v>
      </c>
      <c r="N786" s="13" t="s">
        <v>6994</v>
      </c>
      <c r="O786" s="13"/>
      <c r="P786" s="15" t="s">
        <v>151</v>
      </c>
      <c r="Q786" s="17" t="s">
        <v>6995</v>
      </c>
      <c r="R786" s="18">
        <v>170</v>
      </c>
      <c r="S786" s="19">
        <f t="shared" si="5"/>
        <v>27540</v>
      </c>
      <c r="T786" s="12" t="s">
        <v>46</v>
      </c>
      <c r="U786" s="15" t="s">
        <v>6996</v>
      </c>
      <c r="V786" s="19">
        <v>44610</v>
      </c>
      <c r="W786" s="15"/>
      <c r="X786" s="13"/>
      <c r="Y786" s="20"/>
      <c r="Z786" s="13"/>
      <c r="AA786" s="13"/>
      <c r="AB786" s="164">
        <v>4888786</v>
      </c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</row>
    <row r="787" spans="1:46" ht="45" customHeight="1">
      <c r="A787" s="21" t="s">
        <v>6997</v>
      </c>
      <c r="B787" s="22" t="s">
        <v>6998</v>
      </c>
      <c r="C787" s="23" t="s">
        <v>6999</v>
      </c>
      <c r="D787" s="24" t="s">
        <v>7000</v>
      </c>
      <c r="E787" s="24" t="s">
        <v>5819</v>
      </c>
      <c r="F787" s="24"/>
      <c r="G787" s="24" t="s">
        <v>7001</v>
      </c>
      <c r="H787" s="24" t="s">
        <v>617</v>
      </c>
      <c r="I787" s="24" t="s">
        <v>38</v>
      </c>
      <c r="J787" s="24" t="s">
        <v>7001</v>
      </c>
      <c r="K787" s="24" t="s">
        <v>617</v>
      </c>
      <c r="L787" s="24" t="s">
        <v>38</v>
      </c>
      <c r="M787" s="59" t="s">
        <v>7002</v>
      </c>
      <c r="N787" s="22" t="s">
        <v>7003</v>
      </c>
      <c r="O787" s="62">
        <v>45590</v>
      </c>
      <c r="P787" s="24" t="s">
        <v>7004</v>
      </c>
      <c r="Q787" s="28" t="s">
        <v>7005</v>
      </c>
      <c r="R787" s="29">
        <v>1800</v>
      </c>
      <c r="S787" s="30">
        <f t="shared" si="5"/>
        <v>291600</v>
      </c>
      <c r="T787" s="21" t="s">
        <v>198</v>
      </c>
      <c r="U787" s="24" t="s">
        <v>7006</v>
      </c>
      <c r="V787" s="30">
        <v>215940</v>
      </c>
      <c r="W787" s="24"/>
      <c r="X787" s="22">
        <v>1137107</v>
      </c>
      <c r="Y787" s="31">
        <v>3120283</v>
      </c>
      <c r="Z787" s="22">
        <v>3887153</v>
      </c>
      <c r="AA787" s="22"/>
      <c r="AB787" s="165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</row>
    <row r="788" spans="1:46" ht="45" customHeight="1">
      <c r="A788" s="12" t="s">
        <v>7007</v>
      </c>
      <c r="B788" s="13" t="s">
        <v>7008</v>
      </c>
      <c r="C788" s="14" t="s">
        <v>7009</v>
      </c>
      <c r="D788" s="15" t="s">
        <v>1187</v>
      </c>
      <c r="E788" s="15" t="s">
        <v>7010</v>
      </c>
      <c r="F788" s="15"/>
      <c r="G788" s="15" t="s">
        <v>1189</v>
      </c>
      <c r="H788" s="15" t="s">
        <v>1190</v>
      </c>
      <c r="I788" s="15" t="s">
        <v>38</v>
      </c>
      <c r="J788" s="15" t="s">
        <v>7011</v>
      </c>
      <c r="K788" s="15" t="s">
        <v>7012</v>
      </c>
      <c r="L788" s="15" t="s">
        <v>1058</v>
      </c>
      <c r="M788" s="67" t="s">
        <v>6451</v>
      </c>
      <c r="N788" s="47" t="s">
        <v>7013</v>
      </c>
      <c r="O788" s="13"/>
      <c r="P788" s="15" t="s">
        <v>94</v>
      </c>
      <c r="Q788" s="17" t="s">
        <v>7014</v>
      </c>
      <c r="R788" s="18">
        <v>124</v>
      </c>
      <c r="S788" s="19">
        <f t="shared" si="5"/>
        <v>20088</v>
      </c>
      <c r="T788" s="12" t="s">
        <v>46</v>
      </c>
      <c r="U788" s="15" t="s">
        <v>7015</v>
      </c>
      <c r="V788" s="19">
        <v>44610</v>
      </c>
      <c r="W788" s="49" t="s">
        <v>71</v>
      </c>
      <c r="X788" s="13">
        <v>1133510</v>
      </c>
      <c r="Y788" s="20">
        <v>3120512</v>
      </c>
      <c r="Z788" s="13"/>
      <c r="AA788" s="13"/>
      <c r="AB788" s="13">
        <v>4849698</v>
      </c>
      <c r="AC788" s="49">
        <v>5637372</v>
      </c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</row>
    <row r="789" spans="1:46" ht="45" customHeight="1">
      <c r="A789" s="12" t="s">
        <v>7016</v>
      </c>
      <c r="B789" s="13" t="s">
        <v>7017</v>
      </c>
      <c r="C789" s="14" t="s">
        <v>7018</v>
      </c>
      <c r="D789" s="15" t="s">
        <v>7019</v>
      </c>
      <c r="E789" s="15" t="s">
        <v>7020</v>
      </c>
      <c r="F789" s="15"/>
      <c r="G789" s="15" t="s">
        <v>7021</v>
      </c>
      <c r="H789" s="15" t="s">
        <v>1736</v>
      </c>
      <c r="I789" s="15" t="s">
        <v>149</v>
      </c>
      <c r="J789" s="15" t="s">
        <v>7021</v>
      </c>
      <c r="K789" s="15" t="s">
        <v>1736</v>
      </c>
      <c r="L789" s="15" t="s">
        <v>149</v>
      </c>
      <c r="M789" s="46" t="s">
        <v>7022</v>
      </c>
      <c r="N789" s="13" t="s">
        <v>7023</v>
      </c>
      <c r="O789" s="13"/>
      <c r="P789" s="15" t="s">
        <v>44</v>
      </c>
      <c r="Q789" s="17" t="s">
        <v>7024</v>
      </c>
      <c r="R789" s="18">
        <v>311.83999999999997</v>
      </c>
      <c r="S789" s="19">
        <f t="shared" si="5"/>
        <v>50518.079999999994</v>
      </c>
      <c r="T789" s="12" t="s">
        <v>46</v>
      </c>
      <c r="U789" s="15" t="s">
        <v>7025</v>
      </c>
      <c r="V789" s="19">
        <v>44610</v>
      </c>
      <c r="W789" s="15" t="s">
        <v>71</v>
      </c>
      <c r="X789" s="13">
        <v>1029808</v>
      </c>
      <c r="Y789" s="20"/>
      <c r="Z789" s="13"/>
      <c r="AA789" s="13">
        <v>4652489</v>
      </c>
      <c r="AB789" s="13"/>
      <c r="AC789" s="15">
        <v>5578929</v>
      </c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</row>
    <row r="790" spans="1:46" ht="45" customHeight="1">
      <c r="A790" s="50" t="s">
        <v>7026</v>
      </c>
      <c r="B790" s="51" t="s">
        <v>7027</v>
      </c>
      <c r="C790" s="52" t="s">
        <v>7028</v>
      </c>
      <c r="D790" s="53" t="s">
        <v>4379</v>
      </c>
      <c r="E790" s="53" t="s">
        <v>7010</v>
      </c>
      <c r="F790" s="53"/>
      <c r="G790" s="53" t="s">
        <v>7029</v>
      </c>
      <c r="H790" s="53" t="s">
        <v>331</v>
      </c>
      <c r="I790" s="53" t="s">
        <v>53</v>
      </c>
      <c r="J790" s="53" t="s">
        <v>7030</v>
      </c>
      <c r="K790" s="53" t="s">
        <v>3041</v>
      </c>
      <c r="L790" s="53" t="s">
        <v>41</v>
      </c>
      <c r="M790" s="54" t="s">
        <v>7031</v>
      </c>
      <c r="N790" s="51" t="s">
        <v>1289</v>
      </c>
      <c r="O790" s="51"/>
      <c r="P790" s="53" t="s">
        <v>94</v>
      </c>
      <c r="Q790" s="55" t="s">
        <v>7032</v>
      </c>
      <c r="R790" s="56">
        <v>124.3</v>
      </c>
      <c r="S790" s="57">
        <f t="shared" si="5"/>
        <v>20136.599999999999</v>
      </c>
      <c r="T790" s="50" t="s">
        <v>46</v>
      </c>
      <c r="U790" s="53" t="s">
        <v>7033</v>
      </c>
      <c r="V790" s="57">
        <v>44610</v>
      </c>
      <c r="W790" s="53"/>
      <c r="X790" s="51">
        <v>1132642</v>
      </c>
      <c r="Y790" s="58">
        <v>3118404</v>
      </c>
      <c r="Z790" s="51"/>
      <c r="AA790" s="51"/>
      <c r="AB790" s="51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</row>
    <row r="791" spans="1:46" ht="45" customHeight="1">
      <c r="A791" s="50" t="s">
        <v>7034</v>
      </c>
      <c r="B791" s="51" t="s">
        <v>7035</v>
      </c>
      <c r="C791" s="52" t="s">
        <v>7036</v>
      </c>
      <c r="D791" s="53" t="s">
        <v>7037</v>
      </c>
      <c r="E791" s="53" t="s">
        <v>7038</v>
      </c>
      <c r="F791" s="53"/>
      <c r="G791" s="53" t="s">
        <v>7039</v>
      </c>
      <c r="H791" s="53" t="s">
        <v>7040</v>
      </c>
      <c r="I791" s="53" t="s">
        <v>38</v>
      </c>
      <c r="J791" s="53" t="s">
        <v>7039</v>
      </c>
      <c r="K791" s="53" t="s">
        <v>7040</v>
      </c>
      <c r="L791" s="53" t="s">
        <v>38</v>
      </c>
      <c r="M791" s="54" t="s">
        <v>7041</v>
      </c>
      <c r="N791" s="51" t="s">
        <v>7042</v>
      </c>
      <c r="O791" s="51"/>
      <c r="P791" s="53" t="s">
        <v>7043</v>
      </c>
      <c r="Q791" s="55" t="s">
        <v>7044</v>
      </c>
      <c r="R791" s="56">
        <v>83.64</v>
      </c>
      <c r="S791" s="57">
        <f t="shared" si="5"/>
        <v>13549.68</v>
      </c>
      <c r="T791" s="50" t="s">
        <v>46</v>
      </c>
      <c r="U791" s="53" t="s">
        <v>7045</v>
      </c>
      <c r="V791" s="57">
        <v>44610</v>
      </c>
      <c r="W791" s="53"/>
      <c r="X791" s="51"/>
      <c r="Y791" s="58"/>
      <c r="Z791" s="51"/>
      <c r="AA791" s="51"/>
      <c r="AB791" s="51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</row>
    <row r="792" spans="1:46" ht="45" customHeight="1">
      <c r="A792" s="40" t="s">
        <v>7046</v>
      </c>
      <c r="B792" s="33" t="s">
        <v>7047</v>
      </c>
      <c r="C792" s="34" t="s">
        <v>7048</v>
      </c>
      <c r="D792" s="35" t="s">
        <v>7049</v>
      </c>
      <c r="E792" s="35" t="s">
        <v>2101</v>
      </c>
      <c r="F792" s="35"/>
      <c r="G792" s="35" t="s">
        <v>7050</v>
      </c>
      <c r="H792" s="35" t="s">
        <v>1736</v>
      </c>
      <c r="I792" s="35" t="s">
        <v>149</v>
      </c>
      <c r="J792" s="35" t="s">
        <v>7050</v>
      </c>
      <c r="K792" s="35" t="s">
        <v>1736</v>
      </c>
      <c r="L792" s="35" t="s">
        <v>149</v>
      </c>
      <c r="M792" s="36" t="s">
        <v>7051</v>
      </c>
      <c r="N792" s="33" t="s">
        <v>7052</v>
      </c>
      <c r="O792" s="33"/>
      <c r="P792" s="35" t="s">
        <v>151</v>
      </c>
      <c r="Q792" s="37" t="s">
        <v>7053</v>
      </c>
      <c r="R792" s="38">
        <v>43.97</v>
      </c>
      <c r="S792" s="39">
        <f t="shared" si="5"/>
        <v>7123.1399999999994</v>
      </c>
      <c r="T792" s="40" t="s">
        <v>46</v>
      </c>
      <c r="U792" s="35" t="s">
        <v>7054</v>
      </c>
      <c r="V792" s="39">
        <v>44610</v>
      </c>
      <c r="W792" s="35"/>
      <c r="X792" s="33"/>
      <c r="Y792" s="41"/>
      <c r="Z792" s="33"/>
      <c r="AA792" s="33"/>
      <c r="AB792" s="33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</row>
    <row r="793" spans="1:46" ht="45" customHeight="1">
      <c r="A793" s="21" t="s">
        <v>7055</v>
      </c>
      <c r="B793" s="22" t="s">
        <v>7056</v>
      </c>
      <c r="C793" s="23" t="s">
        <v>7057</v>
      </c>
      <c r="D793" s="24" t="s">
        <v>7058</v>
      </c>
      <c r="E793" s="24" t="s">
        <v>7010</v>
      </c>
      <c r="F793" s="24"/>
      <c r="G793" s="24" t="s">
        <v>7059</v>
      </c>
      <c r="H793" s="24" t="s">
        <v>331</v>
      </c>
      <c r="I793" s="24" t="s">
        <v>53</v>
      </c>
      <c r="J793" s="24" t="s">
        <v>7060</v>
      </c>
      <c r="K793" s="24" t="s">
        <v>7061</v>
      </c>
      <c r="L793" s="24" t="s">
        <v>1279</v>
      </c>
      <c r="M793" s="76" t="s">
        <v>7062</v>
      </c>
      <c r="N793" s="22" t="s">
        <v>7063</v>
      </c>
      <c r="O793" s="22"/>
      <c r="P793" s="24" t="s">
        <v>94</v>
      </c>
      <c r="Q793" s="28" t="s">
        <v>7064</v>
      </c>
      <c r="R793" s="29">
        <v>2521</v>
      </c>
      <c r="S793" s="30">
        <f t="shared" si="5"/>
        <v>408402</v>
      </c>
      <c r="T793" s="21" t="s">
        <v>96</v>
      </c>
      <c r="U793" s="24" t="s">
        <v>7065</v>
      </c>
      <c r="V793" s="30">
        <v>368160</v>
      </c>
      <c r="W793" s="24" t="s">
        <v>7066</v>
      </c>
      <c r="X793" s="22" t="s">
        <v>7067</v>
      </c>
      <c r="Y793" s="31">
        <v>3079916</v>
      </c>
      <c r="Z793" s="22">
        <v>3902860</v>
      </c>
      <c r="AA793" s="22">
        <v>4720085</v>
      </c>
      <c r="AB793" s="22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</row>
    <row r="794" spans="1:46" ht="45" customHeight="1">
      <c r="A794" s="12" t="s">
        <v>7068</v>
      </c>
      <c r="B794" s="13" t="s">
        <v>7069</v>
      </c>
      <c r="C794" s="14" t="s">
        <v>7070</v>
      </c>
      <c r="D794" s="15" t="s">
        <v>7058</v>
      </c>
      <c r="E794" s="15" t="s">
        <v>7010</v>
      </c>
      <c r="F794" s="15"/>
      <c r="G794" s="15" t="s">
        <v>7059</v>
      </c>
      <c r="H794" s="15" t="s">
        <v>331</v>
      </c>
      <c r="I794" s="15" t="s">
        <v>53</v>
      </c>
      <c r="J794" s="15" t="s">
        <v>7071</v>
      </c>
      <c r="K794" s="15" t="s">
        <v>4086</v>
      </c>
      <c r="L794" s="15" t="s">
        <v>41</v>
      </c>
      <c r="M794" s="67" t="s">
        <v>7062</v>
      </c>
      <c r="N794" s="13" t="s">
        <v>7072</v>
      </c>
      <c r="O794" s="13"/>
      <c r="P794" s="15" t="s">
        <v>94</v>
      </c>
      <c r="Q794" s="17" t="s">
        <v>7073</v>
      </c>
      <c r="R794" s="18">
        <v>128.30000000000001</v>
      </c>
      <c r="S794" s="19">
        <f t="shared" si="5"/>
        <v>20784.600000000002</v>
      </c>
      <c r="T794" s="12" t="s">
        <v>46</v>
      </c>
      <c r="U794" s="15" t="s">
        <v>7074</v>
      </c>
      <c r="V794" s="19">
        <v>44610</v>
      </c>
      <c r="W794" s="15"/>
      <c r="X794" s="13" t="s">
        <v>7075</v>
      </c>
      <c r="Y794" s="20">
        <v>3079906</v>
      </c>
      <c r="Z794" s="13">
        <v>3902981</v>
      </c>
      <c r="AA794" s="13">
        <v>4719783</v>
      </c>
      <c r="AB794" s="13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</row>
    <row r="795" spans="1:46" ht="45" customHeight="1">
      <c r="A795" s="12" t="s">
        <v>7076</v>
      </c>
      <c r="B795" s="13" t="s">
        <v>7077</v>
      </c>
      <c r="C795" s="14" t="s">
        <v>7078</v>
      </c>
      <c r="D795" s="15" t="s">
        <v>7079</v>
      </c>
      <c r="E795" s="15" t="s">
        <v>7080</v>
      </c>
      <c r="F795" s="15"/>
      <c r="G795" s="15" t="s">
        <v>7081</v>
      </c>
      <c r="H795" s="15" t="s">
        <v>1736</v>
      </c>
      <c r="I795" s="15" t="s">
        <v>149</v>
      </c>
      <c r="J795" s="15" t="s">
        <v>7081</v>
      </c>
      <c r="K795" s="15" t="s">
        <v>1736</v>
      </c>
      <c r="L795" s="15" t="s">
        <v>149</v>
      </c>
      <c r="M795" s="46" t="s">
        <v>7082</v>
      </c>
      <c r="N795" s="13" t="s">
        <v>7083</v>
      </c>
      <c r="O795" s="13"/>
      <c r="P795" s="15" t="s">
        <v>44</v>
      </c>
      <c r="Q795" s="17" t="s">
        <v>7084</v>
      </c>
      <c r="R795" s="18">
        <v>84.07</v>
      </c>
      <c r="S795" s="19">
        <f t="shared" si="5"/>
        <v>13619.339999999998</v>
      </c>
      <c r="T795" s="12" t="s">
        <v>46</v>
      </c>
      <c r="U795" s="15" t="s">
        <v>7085</v>
      </c>
      <c r="V795" s="19">
        <v>44610</v>
      </c>
      <c r="W795" s="15" t="s">
        <v>71</v>
      </c>
      <c r="X795" s="13">
        <v>1004728</v>
      </c>
      <c r="Y795" s="20">
        <v>3067022</v>
      </c>
      <c r="Z795" s="13">
        <v>3869673</v>
      </c>
      <c r="AA795" s="13">
        <v>4669015</v>
      </c>
      <c r="AB795" s="13"/>
      <c r="AC795" s="15">
        <v>5571151</v>
      </c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</row>
    <row r="796" spans="1:46" ht="45" customHeight="1">
      <c r="A796" s="12" t="s">
        <v>7086</v>
      </c>
      <c r="B796" s="13" t="s">
        <v>7087</v>
      </c>
      <c r="C796" s="14" t="s">
        <v>7088</v>
      </c>
      <c r="D796" s="15" t="s">
        <v>7089</v>
      </c>
      <c r="E796" s="15" t="s">
        <v>2101</v>
      </c>
      <c r="F796" s="15"/>
      <c r="G796" s="15" t="s">
        <v>7090</v>
      </c>
      <c r="H796" s="15" t="s">
        <v>6744</v>
      </c>
      <c r="I796" s="15" t="s">
        <v>149</v>
      </c>
      <c r="J796" s="15" t="s">
        <v>7090</v>
      </c>
      <c r="K796" s="15" t="s">
        <v>6744</v>
      </c>
      <c r="L796" s="15" t="s">
        <v>149</v>
      </c>
      <c r="M796" s="46" t="s">
        <v>7091</v>
      </c>
      <c r="N796" s="13">
        <v>2615162656</v>
      </c>
      <c r="O796" s="13"/>
      <c r="P796" s="15" t="s">
        <v>6933</v>
      </c>
      <c r="Q796" s="17" t="s">
        <v>7092</v>
      </c>
      <c r="R796" s="18">
        <v>35.44</v>
      </c>
      <c r="S796" s="19">
        <f t="shared" si="5"/>
        <v>5741.28</v>
      </c>
      <c r="T796" s="12" t="s">
        <v>46</v>
      </c>
      <c r="U796" s="15" t="s">
        <v>7093</v>
      </c>
      <c r="V796" s="19">
        <v>44610</v>
      </c>
      <c r="W796" s="15"/>
      <c r="X796" s="13"/>
      <c r="Y796" s="20"/>
      <c r="Z796" s="13"/>
      <c r="AA796" s="13"/>
      <c r="AB796" s="13">
        <v>4892793</v>
      </c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</row>
    <row r="797" spans="1:46" ht="45" customHeight="1">
      <c r="A797" s="12" t="s">
        <v>7094</v>
      </c>
      <c r="B797" s="13" t="s">
        <v>7095</v>
      </c>
      <c r="C797" s="14" t="s">
        <v>7096</v>
      </c>
      <c r="D797" s="15" t="s">
        <v>7097</v>
      </c>
      <c r="E797" s="15" t="s">
        <v>7098</v>
      </c>
      <c r="F797" s="15"/>
      <c r="G797" s="15" t="s">
        <v>7099</v>
      </c>
      <c r="H797" s="15" t="s">
        <v>1212</v>
      </c>
      <c r="I797" s="15" t="s">
        <v>80</v>
      </c>
      <c r="J797" s="15" t="s">
        <v>7099</v>
      </c>
      <c r="K797" s="15" t="s">
        <v>1212</v>
      </c>
      <c r="L797" s="15" t="s">
        <v>80</v>
      </c>
      <c r="M797" s="46" t="s">
        <v>7100</v>
      </c>
      <c r="N797" s="13" t="s">
        <v>7101</v>
      </c>
      <c r="O797" s="13"/>
      <c r="P797" s="15" t="s">
        <v>1381</v>
      </c>
      <c r="Q797" s="17" t="s">
        <v>7102</v>
      </c>
      <c r="R797" s="18">
        <v>56.21</v>
      </c>
      <c r="S797" s="19">
        <f t="shared" si="5"/>
        <v>9106.02</v>
      </c>
      <c r="T797" s="12" t="s">
        <v>46</v>
      </c>
      <c r="U797" s="15" t="s">
        <v>7103</v>
      </c>
      <c r="V797" s="19">
        <v>44610</v>
      </c>
      <c r="W797" s="15"/>
      <c r="X797" s="13">
        <v>1130233</v>
      </c>
      <c r="Y797" s="20">
        <v>3121073</v>
      </c>
      <c r="Z797" s="13"/>
      <c r="AA797" s="13">
        <v>4731284</v>
      </c>
      <c r="AB797" s="13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</row>
    <row r="798" spans="1:46" ht="45" customHeight="1">
      <c r="A798" s="50" t="s">
        <v>7104</v>
      </c>
      <c r="B798" s="51" t="s">
        <v>7105</v>
      </c>
      <c r="C798" s="52" t="s">
        <v>7106</v>
      </c>
      <c r="D798" s="53" t="s">
        <v>4379</v>
      </c>
      <c r="E798" s="53" t="s">
        <v>2051</v>
      </c>
      <c r="F798" s="53"/>
      <c r="G798" s="53" t="s">
        <v>7029</v>
      </c>
      <c r="H798" s="53" t="s">
        <v>331</v>
      </c>
      <c r="I798" s="53" t="s">
        <v>53</v>
      </c>
      <c r="J798" s="53" t="s">
        <v>7107</v>
      </c>
      <c r="K798" s="53" t="s">
        <v>3041</v>
      </c>
      <c r="L798" s="53" t="s">
        <v>41</v>
      </c>
      <c r="M798" s="54" t="s">
        <v>4382</v>
      </c>
      <c r="N798" s="51" t="s">
        <v>7108</v>
      </c>
      <c r="O798" s="51"/>
      <c r="P798" s="53" t="s">
        <v>94</v>
      </c>
      <c r="Q798" s="55" t="s">
        <v>7109</v>
      </c>
      <c r="R798" s="56">
        <v>91.88</v>
      </c>
      <c r="S798" s="57">
        <f t="shared" si="5"/>
        <v>14884.56</v>
      </c>
      <c r="T798" s="50" t="s">
        <v>46</v>
      </c>
      <c r="U798" s="53" t="s">
        <v>7110</v>
      </c>
      <c r="V798" s="57">
        <v>44610</v>
      </c>
      <c r="W798" s="53"/>
      <c r="X798" s="51">
        <v>1132611</v>
      </c>
      <c r="Y798" s="58">
        <v>3118402</v>
      </c>
      <c r="Z798" s="51"/>
      <c r="AA798" s="51"/>
      <c r="AB798" s="51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</row>
    <row r="799" spans="1:46" ht="45" customHeight="1">
      <c r="A799" s="79" t="s">
        <v>7111</v>
      </c>
      <c r="B799" s="80" t="s">
        <v>7112</v>
      </c>
      <c r="C799" s="81" t="s">
        <v>7113</v>
      </c>
      <c r="D799" s="82" t="s">
        <v>3057</v>
      </c>
      <c r="E799" s="82" t="s">
        <v>7114</v>
      </c>
      <c r="F799" s="82"/>
      <c r="G799" s="82" t="s">
        <v>7115</v>
      </c>
      <c r="H799" s="82" t="s">
        <v>4791</v>
      </c>
      <c r="I799" s="82" t="s">
        <v>80</v>
      </c>
      <c r="J799" s="82" t="s">
        <v>7116</v>
      </c>
      <c r="K799" s="82" t="s">
        <v>4791</v>
      </c>
      <c r="L799" s="82" t="s">
        <v>80</v>
      </c>
      <c r="M799" s="166" t="s">
        <v>7117</v>
      </c>
      <c r="N799" s="80" t="s">
        <v>7118</v>
      </c>
      <c r="O799" s="80"/>
      <c r="P799" s="82" t="s">
        <v>7119</v>
      </c>
      <c r="Q799" s="84" t="s">
        <v>7120</v>
      </c>
      <c r="R799" s="85" t="s">
        <v>770</v>
      </c>
      <c r="S799" s="86" t="e">
        <f t="shared" si="5"/>
        <v>#VALUE!</v>
      </c>
      <c r="T799" s="87" t="s">
        <v>770</v>
      </c>
      <c r="U799" s="82" t="s">
        <v>7121</v>
      </c>
      <c r="V799" s="86">
        <v>0</v>
      </c>
      <c r="W799" s="167" t="s">
        <v>71</v>
      </c>
      <c r="X799" s="80">
        <v>1133956</v>
      </c>
      <c r="Y799" s="88">
        <v>3119641</v>
      </c>
      <c r="Z799" s="80">
        <v>3906463</v>
      </c>
      <c r="AA799" s="80">
        <v>4740202</v>
      </c>
      <c r="AB799" s="80"/>
      <c r="AC799" s="167">
        <v>5625714</v>
      </c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</row>
    <row r="800" spans="1:46" ht="45" customHeight="1">
      <c r="A800" s="12" t="s">
        <v>7122</v>
      </c>
      <c r="B800" s="13" t="s">
        <v>7123</v>
      </c>
      <c r="C800" s="14" t="s">
        <v>7124</v>
      </c>
      <c r="D800" s="15" t="s">
        <v>7125</v>
      </c>
      <c r="E800" s="15" t="s">
        <v>7126</v>
      </c>
      <c r="F800" s="15"/>
      <c r="G800" s="15" t="s">
        <v>4979</v>
      </c>
      <c r="H800" s="15" t="s">
        <v>1736</v>
      </c>
      <c r="I800" s="15" t="s">
        <v>149</v>
      </c>
      <c r="J800" s="15" t="s">
        <v>4979</v>
      </c>
      <c r="K800" s="15" t="s">
        <v>1736</v>
      </c>
      <c r="L800" s="15" t="s">
        <v>149</v>
      </c>
      <c r="M800" s="16" t="s">
        <v>7127</v>
      </c>
      <c r="N800" s="13" t="s">
        <v>7128</v>
      </c>
      <c r="O800" s="13"/>
      <c r="P800" s="15" t="s">
        <v>1310</v>
      </c>
      <c r="Q800" s="17" t="s">
        <v>7129</v>
      </c>
      <c r="R800" s="18">
        <v>68.12</v>
      </c>
      <c r="S800" s="19">
        <f t="shared" si="5"/>
        <v>11035.44</v>
      </c>
      <c r="T800" s="12" t="s">
        <v>46</v>
      </c>
      <c r="U800" s="15" t="s">
        <v>7130</v>
      </c>
      <c r="V800" s="19">
        <v>44610</v>
      </c>
      <c r="W800" s="15"/>
      <c r="X800" s="13"/>
      <c r="Y800" s="20"/>
      <c r="Z800" s="13"/>
      <c r="AA800" s="13"/>
      <c r="AB800" s="13">
        <v>4848023</v>
      </c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</row>
    <row r="801" spans="1:46" ht="45" customHeight="1">
      <c r="A801" s="40" t="s">
        <v>7131</v>
      </c>
      <c r="B801" s="33" t="s">
        <v>7132</v>
      </c>
      <c r="C801" s="34" t="s">
        <v>7133</v>
      </c>
      <c r="D801" s="35" t="s">
        <v>7134</v>
      </c>
      <c r="E801" s="35" t="s">
        <v>7135</v>
      </c>
      <c r="F801" s="35"/>
      <c r="G801" s="35" t="s">
        <v>7136</v>
      </c>
      <c r="H801" s="35" t="s">
        <v>1736</v>
      </c>
      <c r="I801" s="35" t="s">
        <v>149</v>
      </c>
      <c r="J801" s="35" t="s">
        <v>7136</v>
      </c>
      <c r="K801" s="35" t="s">
        <v>1736</v>
      </c>
      <c r="L801" s="35" t="s">
        <v>149</v>
      </c>
      <c r="M801" s="36" t="s">
        <v>7137</v>
      </c>
      <c r="N801" s="33" t="s">
        <v>7138</v>
      </c>
      <c r="O801" s="33"/>
      <c r="P801" s="35" t="s">
        <v>44</v>
      </c>
      <c r="Q801" s="37" t="s">
        <v>7139</v>
      </c>
      <c r="R801" s="38">
        <v>46.19</v>
      </c>
      <c r="S801" s="39">
        <f t="shared" si="5"/>
        <v>7482.78</v>
      </c>
      <c r="T801" s="40" t="s">
        <v>46</v>
      </c>
      <c r="U801" s="35" t="s">
        <v>7140</v>
      </c>
      <c r="V801" s="39">
        <v>44610</v>
      </c>
      <c r="W801" s="35"/>
      <c r="X801" s="33"/>
      <c r="Y801" s="41"/>
      <c r="Z801" s="33"/>
      <c r="AA801" s="33"/>
      <c r="AB801" s="33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</row>
    <row r="802" spans="1:46" ht="45" customHeight="1">
      <c r="A802" s="12" t="s">
        <v>7141</v>
      </c>
      <c r="B802" s="13" t="s">
        <v>7142</v>
      </c>
      <c r="C802" s="66" t="s">
        <v>7143</v>
      </c>
      <c r="D802" s="15" t="s">
        <v>7144</v>
      </c>
      <c r="E802" s="15" t="s">
        <v>7145</v>
      </c>
      <c r="F802" s="15"/>
      <c r="G802" s="15" t="s">
        <v>7146</v>
      </c>
      <c r="H802" s="15" t="s">
        <v>1736</v>
      </c>
      <c r="I802" s="15" t="s">
        <v>149</v>
      </c>
      <c r="J802" s="15" t="s">
        <v>7146</v>
      </c>
      <c r="K802" s="15" t="s">
        <v>1736</v>
      </c>
      <c r="L802" s="15" t="s">
        <v>149</v>
      </c>
      <c r="M802" s="46" t="s">
        <v>7147</v>
      </c>
      <c r="N802" s="13" t="s">
        <v>7148</v>
      </c>
      <c r="O802" s="13"/>
      <c r="P802" s="15" t="s">
        <v>94</v>
      </c>
      <c r="Q802" s="17" t="s">
        <v>7149</v>
      </c>
      <c r="R802" s="18">
        <v>48.91</v>
      </c>
      <c r="S802" s="19">
        <f t="shared" si="5"/>
        <v>7923.4199999999992</v>
      </c>
      <c r="T802" s="12" t="s">
        <v>46</v>
      </c>
      <c r="U802" s="15" t="s">
        <v>7150</v>
      </c>
      <c r="V802" s="19">
        <v>44610</v>
      </c>
      <c r="W802" s="15"/>
      <c r="X802" s="13"/>
      <c r="Y802" s="20"/>
      <c r="Z802" s="13"/>
      <c r="AA802" s="13"/>
      <c r="AB802" s="13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</row>
    <row r="803" spans="1:46" ht="45" customHeight="1">
      <c r="A803" s="12" t="s">
        <v>7151</v>
      </c>
      <c r="B803" s="13" t="s">
        <v>7152</v>
      </c>
      <c r="C803" s="14" t="s">
        <v>7153</v>
      </c>
      <c r="D803" s="15" t="s">
        <v>7154</v>
      </c>
      <c r="E803" s="15" t="s">
        <v>7155</v>
      </c>
      <c r="F803" s="15"/>
      <c r="G803" s="15" t="s">
        <v>7156</v>
      </c>
      <c r="H803" s="15" t="s">
        <v>6744</v>
      </c>
      <c r="I803" s="15" t="s">
        <v>149</v>
      </c>
      <c r="J803" s="15" t="s">
        <v>7156</v>
      </c>
      <c r="K803" s="15" t="s">
        <v>6744</v>
      </c>
      <c r="L803" s="15" t="s">
        <v>149</v>
      </c>
      <c r="M803" s="46" t="s">
        <v>7157</v>
      </c>
      <c r="N803" s="13" t="s">
        <v>7158</v>
      </c>
      <c r="O803" s="13"/>
      <c r="P803" s="15" t="s">
        <v>44</v>
      </c>
      <c r="Q803" s="17" t="s">
        <v>7159</v>
      </c>
      <c r="R803" s="18">
        <v>157.33000000000001</v>
      </c>
      <c r="S803" s="19">
        <f t="shared" si="5"/>
        <v>25487.460000000003</v>
      </c>
      <c r="T803" s="12" t="s">
        <v>46</v>
      </c>
      <c r="U803" s="15" t="s">
        <v>7160</v>
      </c>
      <c r="V803" s="19">
        <v>44610</v>
      </c>
      <c r="W803" s="15" t="s">
        <v>47</v>
      </c>
      <c r="X803" s="13"/>
      <c r="Y803" s="20"/>
      <c r="Z803" s="13"/>
      <c r="AA803" s="13"/>
      <c r="AB803" s="13">
        <v>4867499</v>
      </c>
      <c r="AC803" s="15">
        <v>5511826</v>
      </c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</row>
    <row r="804" spans="1:46" ht="45" customHeight="1">
      <c r="A804" s="40" t="s">
        <v>7161</v>
      </c>
      <c r="B804" s="33" t="s">
        <v>7162</v>
      </c>
      <c r="C804" s="34" t="s">
        <v>7163</v>
      </c>
      <c r="D804" s="35" t="s">
        <v>7164</v>
      </c>
      <c r="E804" s="35" t="s">
        <v>7165</v>
      </c>
      <c r="F804" s="35"/>
      <c r="G804" s="35" t="s">
        <v>7166</v>
      </c>
      <c r="H804" s="35" t="s">
        <v>4791</v>
      </c>
      <c r="I804" s="35" t="s">
        <v>80</v>
      </c>
      <c r="J804" s="35" t="s">
        <v>7166</v>
      </c>
      <c r="K804" s="35" t="s">
        <v>4791</v>
      </c>
      <c r="L804" s="35" t="s">
        <v>80</v>
      </c>
      <c r="M804" s="36" t="s">
        <v>7167</v>
      </c>
      <c r="N804" s="33" t="s">
        <v>7168</v>
      </c>
      <c r="O804" s="33"/>
      <c r="P804" s="35" t="s">
        <v>44</v>
      </c>
      <c r="Q804" s="37" t="s">
        <v>7169</v>
      </c>
      <c r="R804" s="38">
        <v>68.430000000000007</v>
      </c>
      <c r="S804" s="39">
        <f t="shared" si="5"/>
        <v>11085.660000000002</v>
      </c>
      <c r="T804" s="40" t="s">
        <v>46</v>
      </c>
      <c r="U804" s="35" t="s">
        <v>7170</v>
      </c>
      <c r="V804" s="39">
        <v>44610</v>
      </c>
      <c r="W804" s="35"/>
      <c r="X804" s="33"/>
      <c r="Y804" s="41"/>
      <c r="Z804" s="33"/>
      <c r="AA804" s="33"/>
      <c r="AB804" s="33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</row>
    <row r="805" spans="1:46" ht="45" customHeight="1">
      <c r="A805" s="12" t="s">
        <v>7171</v>
      </c>
      <c r="B805" s="13" t="s">
        <v>7172</v>
      </c>
      <c r="C805" s="14" t="s">
        <v>7173</v>
      </c>
      <c r="D805" s="15" t="s">
        <v>7174</v>
      </c>
      <c r="E805" s="15" t="s">
        <v>3500</v>
      </c>
      <c r="F805" s="15"/>
      <c r="G805" s="15" t="s">
        <v>7175</v>
      </c>
      <c r="H805" s="15" t="s">
        <v>7012</v>
      </c>
      <c r="I805" s="15" t="s">
        <v>1058</v>
      </c>
      <c r="J805" s="15" t="s">
        <v>7176</v>
      </c>
      <c r="K805" s="15" t="s">
        <v>7012</v>
      </c>
      <c r="L805" s="15" t="s">
        <v>1058</v>
      </c>
      <c r="M805" s="46" t="s">
        <v>7177</v>
      </c>
      <c r="N805" s="13" t="s">
        <v>7178</v>
      </c>
      <c r="O805" s="13"/>
      <c r="P805" s="15" t="s">
        <v>94</v>
      </c>
      <c r="Q805" s="17" t="s">
        <v>7179</v>
      </c>
      <c r="R805" s="18">
        <v>372.78</v>
      </c>
      <c r="S805" s="19">
        <f t="shared" si="5"/>
        <v>60390.359999999993</v>
      </c>
      <c r="T805" s="12" t="s">
        <v>46</v>
      </c>
      <c r="U805" s="15" t="s">
        <v>7180</v>
      </c>
      <c r="V805" s="19">
        <v>44610</v>
      </c>
      <c r="W805" s="15"/>
      <c r="X805" s="13"/>
      <c r="Y805" s="20"/>
      <c r="Z805" s="13"/>
      <c r="AA805" s="13"/>
      <c r="AC805" s="13" t="s">
        <v>2779</v>
      </c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</row>
    <row r="806" spans="1:46" ht="45" customHeight="1">
      <c r="A806" s="12" t="s">
        <v>7181</v>
      </c>
      <c r="B806" s="13" t="s">
        <v>7182</v>
      </c>
      <c r="C806" s="14" t="s">
        <v>7183</v>
      </c>
      <c r="D806" s="15" t="s">
        <v>7184</v>
      </c>
      <c r="E806" s="15" t="s">
        <v>7185</v>
      </c>
      <c r="F806" s="15"/>
      <c r="G806" s="15" t="s">
        <v>7186</v>
      </c>
      <c r="H806" s="15" t="s">
        <v>682</v>
      </c>
      <c r="I806" s="15" t="s">
        <v>149</v>
      </c>
      <c r="J806" s="15" t="s">
        <v>7186</v>
      </c>
      <c r="K806" s="15" t="s">
        <v>216</v>
      </c>
      <c r="L806" s="15" t="s">
        <v>149</v>
      </c>
      <c r="M806" s="16" t="s">
        <v>7187</v>
      </c>
      <c r="N806" s="13" t="s">
        <v>7188</v>
      </c>
      <c r="O806" s="13"/>
      <c r="P806" s="15" t="s">
        <v>94</v>
      </c>
      <c r="Q806" s="17" t="s">
        <v>7189</v>
      </c>
      <c r="R806" s="18">
        <v>166.93</v>
      </c>
      <c r="S806" s="19">
        <f t="shared" si="5"/>
        <v>27042.66</v>
      </c>
      <c r="T806" s="12" t="s">
        <v>46</v>
      </c>
      <c r="U806" s="15" t="s">
        <v>7190</v>
      </c>
      <c r="V806" s="19">
        <v>44610</v>
      </c>
      <c r="W806" s="15"/>
      <c r="X806" s="13"/>
      <c r="Y806" s="20"/>
      <c r="Z806" s="13"/>
      <c r="AA806" s="13">
        <v>4753588</v>
      </c>
      <c r="AB806" s="13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</row>
    <row r="807" spans="1:46" ht="45" customHeight="1">
      <c r="A807" s="12" t="s">
        <v>7191</v>
      </c>
      <c r="B807" s="13" t="s">
        <v>7192</v>
      </c>
      <c r="C807" s="14" t="s">
        <v>7193</v>
      </c>
      <c r="D807" s="15" t="s">
        <v>7194</v>
      </c>
      <c r="E807" s="15" t="s">
        <v>7195</v>
      </c>
      <c r="F807" s="15"/>
      <c r="G807" s="15" t="s">
        <v>7196</v>
      </c>
      <c r="H807" s="15" t="s">
        <v>1736</v>
      </c>
      <c r="I807" s="15" t="s">
        <v>149</v>
      </c>
      <c r="J807" s="15" t="s">
        <v>7196</v>
      </c>
      <c r="K807" s="15" t="s">
        <v>1736</v>
      </c>
      <c r="L807" s="15" t="s">
        <v>149</v>
      </c>
      <c r="M807" s="46" t="s">
        <v>7197</v>
      </c>
      <c r="N807" s="13" t="s">
        <v>7198</v>
      </c>
      <c r="O807" s="13"/>
      <c r="P807" s="15" t="s">
        <v>4663</v>
      </c>
      <c r="Q807" s="17" t="s">
        <v>7199</v>
      </c>
      <c r="R807" s="18">
        <v>171</v>
      </c>
      <c r="S807" s="19">
        <f t="shared" si="5"/>
        <v>27702</v>
      </c>
      <c r="T807" s="12" t="s">
        <v>46</v>
      </c>
      <c r="U807" s="15" t="s">
        <v>7200</v>
      </c>
      <c r="V807" s="19">
        <v>44610</v>
      </c>
      <c r="W807" s="15"/>
      <c r="X807" s="13"/>
      <c r="Y807" s="20"/>
      <c r="Z807" s="13"/>
      <c r="AA807" s="13">
        <v>4691035</v>
      </c>
      <c r="AB807" s="13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</row>
    <row r="808" spans="1:46" ht="45" customHeight="1">
      <c r="A808" s="40" t="s">
        <v>7201</v>
      </c>
      <c r="B808" s="33" t="s">
        <v>7202</v>
      </c>
      <c r="C808" s="34" t="s">
        <v>7203</v>
      </c>
      <c r="D808" s="35" t="s">
        <v>7204</v>
      </c>
      <c r="E808" s="35" t="s">
        <v>7205</v>
      </c>
      <c r="F808" s="35"/>
      <c r="G808" s="35" t="s">
        <v>7206</v>
      </c>
      <c r="H808" s="35" t="s">
        <v>331</v>
      </c>
      <c r="I808" s="35" t="s">
        <v>53</v>
      </c>
      <c r="J808" s="35" t="s">
        <v>7207</v>
      </c>
      <c r="K808" s="35" t="s">
        <v>1446</v>
      </c>
      <c r="L808" s="35" t="s">
        <v>80</v>
      </c>
      <c r="M808" s="36" t="s">
        <v>7208</v>
      </c>
      <c r="N808" s="33"/>
      <c r="O808" s="33"/>
      <c r="P808" s="35" t="s">
        <v>7209</v>
      </c>
      <c r="Q808" s="37" t="s">
        <v>7210</v>
      </c>
      <c r="R808" s="38">
        <v>38.82</v>
      </c>
      <c r="S808" s="39">
        <f t="shared" si="5"/>
        <v>6288.84</v>
      </c>
      <c r="T808" s="40" t="s">
        <v>46</v>
      </c>
      <c r="U808" s="35" t="s">
        <v>7211</v>
      </c>
      <c r="V808" s="39">
        <v>44610</v>
      </c>
      <c r="W808" s="35"/>
      <c r="X808" s="33"/>
      <c r="Y808" s="41"/>
      <c r="Z808" s="33"/>
      <c r="AA808" s="33"/>
      <c r="AB808" s="33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</row>
    <row r="809" spans="1:46" ht="45" customHeight="1">
      <c r="A809" s="12" t="s">
        <v>7212</v>
      </c>
      <c r="B809" s="13" t="s">
        <v>7213</v>
      </c>
      <c r="C809" s="14" t="s">
        <v>7214</v>
      </c>
      <c r="D809" s="15" t="s">
        <v>7215</v>
      </c>
      <c r="E809" s="15" t="s">
        <v>7216</v>
      </c>
      <c r="F809" s="15"/>
      <c r="G809" s="15" t="s">
        <v>7217</v>
      </c>
      <c r="H809" s="15" t="s">
        <v>1736</v>
      </c>
      <c r="I809" s="15" t="s">
        <v>149</v>
      </c>
      <c r="J809" s="15" t="s">
        <v>7217</v>
      </c>
      <c r="K809" s="15" t="s">
        <v>1736</v>
      </c>
      <c r="L809" s="15" t="s">
        <v>149</v>
      </c>
      <c r="M809" s="46" t="s">
        <v>7218</v>
      </c>
      <c r="N809" s="13" t="s">
        <v>7219</v>
      </c>
      <c r="O809" s="13"/>
      <c r="P809" s="15" t="s">
        <v>44</v>
      </c>
      <c r="Q809" s="17" t="s">
        <v>7220</v>
      </c>
      <c r="R809" s="18">
        <v>100.57</v>
      </c>
      <c r="S809" s="19">
        <f t="shared" si="5"/>
        <v>16292.339999999998</v>
      </c>
      <c r="T809" s="12" t="s">
        <v>46</v>
      </c>
      <c r="U809" s="15" t="s">
        <v>7221</v>
      </c>
      <c r="V809" s="19">
        <v>44610</v>
      </c>
      <c r="W809" s="49" t="s">
        <v>71</v>
      </c>
      <c r="X809" s="13"/>
      <c r="Y809" s="20"/>
      <c r="Z809" s="13"/>
      <c r="AA809" s="13"/>
      <c r="AB809" s="13">
        <v>4877511</v>
      </c>
      <c r="AC809" s="15"/>
      <c r="AD809" s="49">
        <v>6477224</v>
      </c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</row>
    <row r="810" spans="1:46" ht="45" customHeight="1">
      <c r="A810" s="40" t="s">
        <v>7222</v>
      </c>
      <c r="B810" s="33" t="s">
        <v>7223</v>
      </c>
      <c r="C810" s="34" t="s">
        <v>7224</v>
      </c>
      <c r="D810" s="35" t="s">
        <v>7225</v>
      </c>
      <c r="E810" s="35" t="s">
        <v>7226</v>
      </c>
      <c r="F810" s="35"/>
      <c r="G810" s="35" t="s">
        <v>7227</v>
      </c>
      <c r="H810" s="35" t="s">
        <v>1736</v>
      </c>
      <c r="I810" s="35" t="s">
        <v>149</v>
      </c>
      <c r="J810" s="35" t="s">
        <v>7228</v>
      </c>
      <c r="K810" s="35" t="s">
        <v>1736</v>
      </c>
      <c r="L810" s="35" t="s">
        <v>149</v>
      </c>
      <c r="M810" s="136" t="s">
        <v>7229</v>
      </c>
      <c r="N810" s="33" t="s">
        <v>7230</v>
      </c>
      <c r="O810" s="33"/>
      <c r="P810" s="35" t="s">
        <v>44</v>
      </c>
      <c r="Q810" s="37" t="s">
        <v>7231</v>
      </c>
      <c r="R810" s="38">
        <v>54.66</v>
      </c>
      <c r="S810" s="39">
        <f t="shared" si="5"/>
        <v>8854.92</v>
      </c>
      <c r="T810" s="40" t="s">
        <v>46</v>
      </c>
      <c r="U810" s="35" t="s">
        <v>7232</v>
      </c>
      <c r="V810" s="39">
        <v>44610</v>
      </c>
      <c r="W810" s="35"/>
      <c r="X810" s="33"/>
      <c r="Y810" s="41"/>
      <c r="Z810" s="33"/>
      <c r="AA810" s="33"/>
      <c r="AB810" s="33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</row>
    <row r="811" spans="1:46" ht="45" customHeight="1">
      <c r="A811" s="12" t="s">
        <v>7233</v>
      </c>
      <c r="B811" s="13" t="s">
        <v>7234</v>
      </c>
      <c r="C811" s="14" t="s">
        <v>7235</v>
      </c>
      <c r="D811" s="15" t="s">
        <v>7236</v>
      </c>
      <c r="E811" s="15" t="s">
        <v>7237</v>
      </c>
      <c r="F811" s="15"/>
      <c r="G811" s="15" t="s">
        <v>7238</v>
      </c>
      <c r="H811" s="15" t="s">
        <v>4557</v>
      </c>
      <c r="I811" s="15" t="s">
        <v>38</v>
      </c>
      <c r="J811" s="15" t="s">
        <v>7238</v>
      </c>
      <c r="K811" s="15" t="s">
        <v>4557</v>
      </c>
      <c r="L811" s="15" t="s">
        <v>38</v>
      </c>
      <c r="M811" s="46" t="s">
        <v>7239</v>
      </c>
      <c r="N811" s="13" t="s">
        <v>7240</v>
      </c>
      <c r="O811" s="73">
        <v>46300</v>
      </c>
      <c r="P811" s="15" t="s">
        <v>94</v>
      </c>
      <c r="Q811" s="17" t="s">
        <v>7241</v>
      </c>
      <c r="R811" s="18">
        <v>271.67</v>
      </c>
      <c r="S811" s="19">
        <f t="shared" si="5"/>
        <v>44010.54</v>
      </c>
      <c r="T811" s="12" t="s">
        <v>46</v>
      </c>
      <c r="U811" s="15" t="s">
        <v>7242</v>
      </c>
      <c r="V811" s="19">
        <f>44610/2</f>
        <v>22305</v>
      </c>
      <c r="W811" s="15" t="s">
        <v>71</v>
      </c>
      <c r="X811" s="13">
        <v>1136687</v>
      </c>
      <c r="Y811" s="20"/>
      <c r="Z811" s="13">
        <v>3899608</v>
      </c>
      <c r="AA811" s="13">
        <v>4728624</v>
      </c>
      <c r="AB811" s="13"/>
      <c r="AC811" s="15">
        <v>5488307</v>
      </c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</row>
    <row r="812" spans="1:46" ht="45" customHeight="1">
      <c r="A812" s="12" t="s">
        <v>7243</v>
      </c>
      <c r="B812" s="13" t="s">
        <v>7244</v>
      </c>
      <c r="C812" s="14" t="s">
        <v>7245</v>
      </c>
      <c r="D812" s="15" t="s">
        <v>7246</v>
      </c>
      <c r="E812" s="15" t="s">
        <v>7247</v>
      </c>
      <c r="F812" s="15"/>
      <c r="G812" s="15" t="s">
        <v>7248</v>
      </c>
      <c r="H812" s="15" t="s">
        <v>7249</v>
      </c>
      <c r="I812" s="15" t="s">
        <v>65</v>
      </c>
      <c r="J812" s="15" t="s">
        <v>7248</v>
      </c>
      <c r="K812" s="15" t="s">
        <v>7249</v>
      </c>
      <c r="L812" s="15" t="s">
        <v>65</v>
      </c>
      <c r="M812" s="145" t="s">
        <v>7250</v>
      </c>
      <c r="N812" s="13" t="s">
        <v>7251</v>
      </c>
      <c r="O812" s="13"/>
      <c r="P812" s="15" t="s">
        <v>44</v>
      </c>
      <c r="Q812" s="17" t="s">
        <v>7252</v>
      </c>
      <c r="R812" s="18">
        <v>37.880000000000003</v>
      </c>
      <c r="S812" s="19">
        <f t="shared" si="5"/>
        <v>6136.56</v>
      </c>
      <c r="T812" s="12" t="s">
        <v>46</v>
      </c>
      <c r="U812" s="15" t="s">
        <v>7253</v>
      </c>
      <c r="V812" s="19">
        <v>44610</v>
      </c>
      <c r="W812" s="15"/>
      <c r="X812" s="13"/>
      <c r="Y812" s="20"/>
      <c r="Z812" s="13">
        <v>3908351</v>
      </c>
      <c r="AA812" s="13"/>
      <c r="AB812" s="13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</row>
    <row r="813" spans="1:46" ht="45" customHeight="1">
      <c r="A813" s="12" t="s">
        <v>7254</v>
      </c>
      <c r="B813" s="13" t="s">
        <v>7255</v>
      </c>
      <c r="C813" s="14" t="s">
        <v>7256</v>
      </c>
      <c r="D813" s="15" t="s">
        <v>7257</v>
      </c>
      <c r="E813" s="15" t="s">
        <v>7258</v>
      </c>
      <c r="F813" s="15"/>
      <c r="G813" s="15" t="s">
        <v>7259</v>
      </c>
      <c r="H813" s="15" t="s">
        <v>2539</v>
      </c>
      <c r="I813" s="15" t="s">
        <v>38</v>
      </c>
      <c r="J813" s="15" t="s">
        <v>7260</v>
      </c>
      <c r="K813" s="15"/>
      <c r="L813" s="15" t="s">
        <v>80</v>
      </c>
      <c r="M813" s="46" t="s">
        <v>7261</v>
      </c>
      <c r="N813" s="13" t="s">
        <v>7262</v>
      </c>
      <c r="O813" s="13"/>
      <c r="P813" s="49" t="s">
        <v>7263</v>
      </c>
      <c r="Q813" s="17" t="s">
        <v>7264</v>
      </c>
      <c r="R813" s="18">
        <v>374</v>
      </c>
      <c r="S813" s="19">
        <f t="shared" si="5"/>
        <v>60588</v>
      </c>
      <c r="T813" s="12" t="s">
        <v>46</v>
      </c>
      <c r="U813" s="15" t="s">
        <v>7265</v>
      </c>
      <c r="V813" s="19">
        <v>44610</v>
      </c>
      <c r="W813" s="49" t="s">
        <v>71</v>
      </c>
      <c r="X813" s="13">
        <v>1138988</v>
      </c>
      <c r="Y813" s="20"/>
      <c r="Z813" s="13">
        <v>38441982</v>
      </c>
      <c r="AA813" s="13">
        <v>4753448</v>
      </c>
      <c r="AB813" s="13"/>
      <c r="AC813" s="49">
        <v>5636904</v>
      </c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</row>
    <row r="814" spans="1:46" ht="45" customHeight="1">
      <c r="A814" s="21" t="s">
        <v>7266</v>
      </c>
      <c r="B814" s="22" t="s">
        <v>7267</v>
      </c>
      <c r="C814" s="23" t="s">
        <v>7268</v>
      </c>
      <c r="D814" s="24" t="s">
        <v>7269</v>
      </c>
      <c r="E814" s="24" t="s">
        <v>7270</v>
      </c>
      <c r="F814" s="24"/>
      <c r="G814" s="24" t="s">
        <v>7271</v>
      </c>
      <c r="H814" s="24" t="s">
        <v>447</v>
      </c>
      <c r="I814" s="24" t="s">
        <v>38</v>
      </c>
      <c r="J814" s="24" t="s">
        <v>7272</v>
      </c>
      <c r="K814" s="24" t="s">
        <v>7273</v>
      </c>
      <c r="L814" s="24" t="s">
        <v>1058</v>
      </c>
      <c r="M814" s="70" t="s">
        <v>7274</v>
      </c>
      <c r="N814" s="22" t="s">
        <v>7275</v>
      </c>
      <c r="O814" s="62">
        <v>46714</v>
      </c>
      <c r="P814" s="24" t="s">
        <v>94</v>
      </c>
      <c r="Q814" s="28" t="s">
        <v>7130</v>
      </c>
      <c r="R814" s="29">
        <v>2070</v>
      </c>
      <c r="S814" s="30">
        <f t="shared" si="5"/>
        <v>335340</v>
      </c>
      <c r="T814" s="21" t="s">
        <v>96</v>
      </c>
      <c r="U814" s="24" t="s">
        <v>7276</v>
      </c>
      <c r="V814" s="44">
        <v>184080</v>
      </c>
      <c r="W814" s="24" t="s">
        <v>71</v>
      </c>
      <c r="X814" s="22"/>
      <c r="Y814" s="31">
        <v>3108082</v>
      </c>
      <c r="Z814" s="22">
        <v>3888261</v>
      </c>
      <c r="AA814" s="22">
        <v>4741146</v>
      </c>
      <c r="AB814" s="22"/>
      <c r="AC814" s="24">
        <v>5618046</v>
      </c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</row>
    <row r="815" spans="1:46" ht="45" customHeight="1">
      <c r="A815" s="12" t="s">
        <v>7277</v>
      </c>
      <c r="B815" s="13" t="s">
        <v>7278</v>
      </c>
      <c r="C815" s="14" t="s">
        <v>7279</v>
      </c>
      <c r="D815" s="15" t="s">
        <v>7280</v>
      </c>
      <c r="E815" s="15" t="s">
        <v>7281</v>
      </c>
      <c r="F815" s="15"/>
      <c r="G815" s="15" t="s">
        <v>7282</v>
      </c>
      <c r="H815" s="15" t="s">
        <v>1212</v>
      </c>
      <c r="I815" s="15" t="s">
        <v>80</v>
      </c>
      <c r="J815" s="15" t="s">
        <v>7283</v>
      </c>
      <c r="K815" s="15"/>
      <c r="L815" s="15" t="s">
        <v>149</v>
      </c>
      <c r="M815" s="114" t="s">
        <v>7284</v>
      </c>
      <c r="N815" s="13" t="s">
        <v>7285</v>
      </c>
      <c r="O815" s="13"/>
      <c r="P815" s="49" t="s">
        <v>94</v>
      </c>
      <c r="Q815" s="17" t="s">
        <v>7286</v>
      </c>
      <c r="R815" s="18">
        <v>397.64</v>
      </c>
      <c r="S815" s="19">
        <f t="shared" si="5"/>
        <v>64417.68</v>
      </c>
      <c r="T815" s="12" t="s">
        <v>46</v>
      </c>
      <c r="U815" s="15" t="s">
        <v>7287</v>
      </c>
      <c r="V815" s="19">
        <v>44610</v>
      </c>
      <c r="W815" s="49" t="s">
        <v>71</v>
      </c>
      <c r="X815" s="13">
        <v>1139021</v>
      </c>
      <c r="Y815" s="20">
        <v>3117808</v>
      </c>
      <c r="Z815" s="13"/>
      <c r="AA815" s="13">
        <v>4753324</v>
      </c>
      <c r="AB815" s="13"/>
      <c r="AC815" s="49">
        <v>5626998</v>
      </c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</row>
    <row r="816" spans="1:46" ht="45" customHeight="1">
      <c r="A816" s="12" t="s">
        <v>7288</v>
      </c>
      <c r="B816" s="13" t="s">
        <v>7289</v>
      </c>
      <c r="C816" s="14" t="s">
        <v>7290</v>
      </c>
      <c r="D816" s="15" t="s">
        <v>7291</v>
      </c>
      <c r="E816" s="15" t="s">
        <v>7292</v>
      </c>
      <c r="F816" s="15"/>
      <c r="G816" s="15" t="s">
        <v>7293</v>
      </c>
      <c r="H816" s="15" t="s">
        <v>1262</v>
      </c>
      <c r="I816" s="15" t="s">
        <v>115</v>
      </c>
      <c r="J816" s="15" t="s">
        <v>7293</v>
      </c>
      <c r="K816" s="15" t="s">
        <v>1262</v>
      </c>
      <c r="L816" s="15" t="s">
        <v>115</v>
      </c>
      <c r="M816" s="16" t="s">
        <v>7294</v>
      </c>
      <c r="N816" s="13">
        <v>2613360432</v>
      </c>
      <c r="O816" s="13"/>
      <c r="P816" s="15" t="s">
        <v>44</v>
      </c>
      <c r="Q816" s="17" t="s">
        <v>7295</v>
      </c>
      <c r="R816" s="18">
        <v>60.82</v>
      </c>
      <c r="S816" s="19">
        <f t="shared" si="5"/>
        <v>9852.84</v>
      </c>
      <c r="T816" s="12" t="s">
        <v>46</v>
      </c>
      <c r="U816" s="15" t="s">
        <v>7296</v>
      </c>
      <c r="V816" s="19">
        <v>44610</v>
      </c>
      <c r="W816" s="15"/>
      <c r="X816" s="13">
        <v>994543</v>
      </c>
      <c r="Y816" s="20"/>
      <c r="Z816" s="13"/>
      <c r="AA816" s="13"/>
      <c r="AB816" s="13">
        <v>4877466</v>
      </c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</row>
    <row r="817" spans="1:46" ht="45" customHeight="1">
      <c r="A817" s="21" t="s">
        <v>7297</v>
      </c>
      <c r="B817" s="22" t="s">
        <v>7298</v>
      </c>
      <c r="C817" s="23" t="s">
        <v>7299</v>
      </c>
      <c r="D817" s="24" t="s">
        <v>7300</v>
      </c>
      <c r="E817" s="24" t="s">
        <v>7301</v>
      </c>
      <c r="F817" s="24"/>
      <c r="G817" s="24" t="s">
        <v>7302</v>
      </c>
      <c r="H817" s="24" t="s">
        <v>1013</v>
      </c>
      <c r="I817" s="24" t="s">
        <v>149</v>
      </c>
      <c r="J817" s="24" t="s">
        <v>7302</v>
      </c>
      <c r="K817" s="24" t="s">
        <v>1013</v>
      </c>
      <c r="L817" s="24" t="s">
        <v>149</v>
      </c>
      <c r="M817" s="25" t="s">
        <v>7303</v>
      </c>
      <c r="N817" s="22" t="s">
        <v>7304</v>
      </c>
      <c r="O817" s="22"/>
      <c r="P817" s="24" t="s">
        <v>151</v>
      </c>
      <c r="Q817" s="28" t="s">
        <v>7305</v>
      </c>
      <c r="R817" s="29">
        <v>1577.95</v>
      </c>
      <c r="S817" s="30">
        <f t="shared" si="5"/>
        <v>255627.9</v>
      </c>
      <c r="T817" s="21" t="s">
        <v>198</v>
      </c>
      <c r="U817" s="24" t="s">
        <v>7306</v>
      </c>
      <c r="V817" s="30">
        <v>215940</v>
      </c>
      <c r="W817" s="24" t="s">
        <v>71</v>
      </c>
      <c r="X817" s="22">
        <v>1027464</v>
      </c>
      <c r="Y817" s="31"/>
      <c r="Z817" s="22">
        <v>3882214</v>
      </c>
      <c r="AA817" s="22">
        <v>4749656</v>
      </c>
      <c r="AB817" s="22"/>
      <c r="AC817" s="24">
        <v>5606343</v>
      </c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</row>
    <row r="818" spans="1:46" ht="45" customHeight="1">
      <c r="A818" s="21" t="s">
        <v>7307</v>
      </c>
      <c r="B818" s="22" t="s">
        <v>7308</v>
      </c>
      <c r="C818" s="23" t="s">
        <v>7309</v>
      </c>
      <c r="D818" s="24" t="s">
        <v>7310</v>
      </c>
      <c r="E818" s="24" t="s">
        <v>7311</v>
      </c>
      <c r="F818" s="24"/>
      <c r="G818" s="24" t="s">
        <v>7312</v>
      </c>
      <c r="H818" s="24" t="s">
        <v>4791</v>
      </c>
      <c r="I818" s="24" t="s">
        <v>80</v>
      </c>
      <c r="J818" s="24" t="s">
        <v>7313</v>
      </c>
      <c r="K818" s="24" t="s">
        <v>2334</v>
      </c>
      <c r="L818" s="24" t="s">
        <v>2325</v>
      </c>
      <c r="M818" s="59" t="s">
        <v>7314</v>
      </c>
      <c r="N818" s="22">
        <v>2614768990</v>
      </c>
      <c r="O818" s="22"/>
      <c r="P818" s="24" t="s">
        <v>7315</v>
      </c>
      <c r="Q818" s="28" t="s">
        <v>7316</v>
      </c>
      <c r="R818" s="29">
        <v>2751.98</v>
      </c>
      <c r="S818" s="30">
        <f t="shared" si="5"/>
        <v>445820.76</v>
      </c>
      <c r="T818" s="21" t="s">
        <v>96</v>
      </c>
      <c r="U818" s="24" t="s">
        <v>7317</v>
      </c>
      <c r="V818" s="30">
        <v>368160</v>
      </c>
      <c r="W818" s="24" t="s">
        <v>7318</v>
      </c>
      <c r="X818" s="22">
        <v>1026554</v>
      </c>
      <c r="Y818" s="31">
        <v>3065459</v>
      </c>
      <c r="Z818" s="22">
        <v>3899730</v>
      </c>
      <c r="AA818" s="22">
        <v>4744509</v>
      </c>
      <c r="AB818" s="22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</row>
    <row r="819" spans="1:46" ht="45" customHeight="1">
      <c r="A819" s="40" t="s">
        <v>7319</v>
      </c>
      <c r="B819" s="33" t="s">
        <v>7320</v>
      </c>
      <c r="C819" s="34" t="s">
        <v>7321</v>
      </c>
      <c r="D819" s="35" t="s">
        <v>7322</v>
      </c>
      <c r="E819" s="35" t="s">
        <v>7323</v>
      </c>
      <c r="F819" s="35"/>
      <c r="G819" s="35" t="s">
        <v>7324</v>
      </c>
      <c r="H819" s="35" t="s">
        <v>2043</v>
      </c>
      <c r="I819" s="35" t="s">
        <v>149</v>
      </c>
      <c r="J819" s="35" t="s">
        <v>7324</v>
      </c>
      <c r="K819" s="35" t="s">
        <v>2043</v>
      </c>
      <c r="L819" s="35" t="s">
        <v>149</v>
      </c>
      <c r="M819" s="36" t="s">
        <v>7325</v>
      </c>
      <c r="N819" s="33" t="s">
        <v>7326</v>
      </c>
      <c r="O819" s="33"/>
      <c r="P819" s="35" t="s">
        <v>44</v>
      </c>
      <c r="Q819" s="37" t="s">
        <v>7180</v>
      </c>
      <c r="R819" s="38">
        <v>512.04999999999995</v>
      </c>
      <c r="S819" s="39">
        <f t="shared" si="5"/>
        <v>82952.099999999991</v>
      </c>
      <c r="T819" s="40" t="s">
        <v>46</v>
      </c>
      <c r="U819" s="35" t="s">
        <v>7327</v>
      </c>
      <c r="V819" s="39">
        <v>44610</v>
      </c>
      <c r="W819" s="35"/>
      <c r="X819" s="33"/>
      <c r="Y819" s="41"/>
      <c r="Z819" s="33"/>
      <c r="AA819" s="33"/>
      <c r="AB819" s="33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</row>
    <row r="820" spans="1:46" ht="45" customHeight="1">
      <c r="A820" s="12" t="s">
        <v>7328</v>
      </c>
      <c r="B820" s="13" t="s">
        <v>7329</v>
      </c>
      <c r="C820" s="14" t="s">
        <v>7330</v>
      </c>
      <c r="D820" s="15" t="s">
        <v>3106</v>
      </c>
      <c r="E820" s="15" t="s">
        <v>7331</v>
      </c>
      <c r="F820" s="15"/>
      <c r="G820" s="15" t="s">
        <v>3107</v>
      </c>
      <c r="H820" s="15" t="s">
        <v>79</v>
      </c>
      <c r="I820" s="15" t="s">
        <v>80</v>
      </c>
      <c r="J820" s="15" t="s">
        <v>7332</v>
      </c>
      <c r="K820" s="15" t="s">
        <v>778</v>
      </c>
      <c r="L820" s="15" t="s">
        <v>6584</v>
      </c>
      <c r="M820" s="16" t="s">
        <v>3108</v>
      </c>
      <c r="N820" s="13" t="s">
        <v>7333</v>
      </c>
      <c r="O820" s="13"/>
      <c r="P820" s="15" t="s">
        <v>7334</v>
      </c>
      <c r="Q820" s="17" t="s">
        <v>7335</v>
      </c>
      <c r="R820" s="18">
        <v>60.75</v>
      </c>
      <c r="S820" s="19">
        <f t="shared" si="5"/>
        <v>9841.5</v>
      </c>
      <c r="T820" s="12" t="s">
        <v>46</v>
      </c>
      <c r="U820" s="15" t="s">
        <v>7336</v>
      </c>
      <c r="V820" s="19">
        <v>44610</v>
      </c>
      <c r="W820" s="15" t="s">
        <v>71</v>
      </c>
      <c r="X820" s="13">
        <v>1030051</v>
      </c>
      <c r="Y820" s="20">
        <v>3111418</v>
      </c>
      <c r="Z820" s="13">
        <v>3868477</v>
      </c>
      <c r="AA820" s="13">
        <v>4705078</v>
      </c>
      <c r="AB820" s="13"/>
      <c r="AC820" s="15">
        <v>5612658</v>
      </c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</row>
    <row r="821" spans="1:46" ht="45" customHeight="1">
      <c r="A821" s="12" t="s">
        <v>7337</v>
      </c>
      <c r="B821" s="13" t="s">
        <v>7338</v>
      </c>
      <c r="C821" s="14" t="s">
        <v>7339</v>
      </c>
      <c r="D821" s="15" t="s">
        <v>7340</v>
      </c>
      <c r="E821" s="15" t="s">
        <v>7341</v>
      </c>
      <c r="F821" s="15"/>
      <c r="G821" s="15" t="s">
        <v>7342</v>
      </c>
      <c r="H821" s="15" t="s">
        <v>7040</v>
      </c>
      <c r="I821" s="15" t="s">
        <v>38</v>
      </c>
      <c r="J821" s="15" t="s">
        <v>7343</v>
      </c>
      <c r="K821" s="15" t="s">
        <v>7040</v>
      </c>
      <c r="L821" s="15" t="s">
        <v>38</v>
      </c>
      <c r="M821" s="46" t="s">
        <v>7344</v>
      </c>
      <c r="N821" s="13" t="s">
        <v>7345</v>
      </c>
      <c r="O821" s="13"/>
      <c r="P821" s="15" t="s">
        <v>7346</v>
      </c>
      <c r="Q821" s="17" t="s">
        <v>7347</v>
      </c>
      <c r="R821" s="18">
        <v>106.21</v>
      </c>
      <c r="S821" s="19">
        <f t="shared" si="5"/>
        <v>17206.02</v>
      </c>
      <c r="T821" s="12" t="s">
        <v>46</v>
      </c>
      <c r="U821" s="15" t="s">
        <v>7348</v>
      </c>
      <c r="V821" s="19">
        <v>44610</v>
      </c>
      <c r="W821" s="15" t="s">
        <v>71</v>
      </c>
      <c r="X821" s="13">
        <v>1139003</v>
      </c>
      <c r="Y821" s="20"/>
      <c r="Z821" s="13">
        <v>3840552</v>
      </c>
      <c r="AA821" s="13">
        <v>4699171</v>
      </c>
      <c r="AB821" s="13"/>
      <c r="AC821" s="15">
        <v>5634583</v>
      </c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</row>
    <row r="822" spans="1:46" ht="45" customHeight="1">
      <c r="A822" s="12" t="s">
        <v>7349</v>
      </c>
      <c r="B822" s="13" t="s">
        <v>7350</v>
      </c>
      <c r="C822" s="14" t="s">
        <v>7351</v>
      </c>
      <c r="D822" s="15" t="s">
        <v>7352</v>
      </c>
      <c r="E822" s="15" t="s">
        <v>7353</v>
      </c>
      <c r="F822" s="15"/>
      <c r="G822" s="15" t="s">
        <v>7354</v>
      </c>
      <c r="H822" s="15" t="s">
        <v>1345</v>
      </c>
      <c r="I822" s="15" t="s">
        <v>65</v>
      </c>
      <c r="J822" s="15" t="s">
        <v>7354</v>
      </c>
      <c r="K822" s="15" t="s">
        <v>1345</v>
      </c>
      <c r="L822" s="15" t="s">
        <v>65</v>
      </c>
      <c r="M822" s="16" t="s">
        <v>7355</v>
      </c>
      <c r="N822" s="13" t="s">
        <v>7356</v>
      </c>
      <c r="O822" s="13"/>
      <c r="P822" s="15" t="s">
        <v>117</v>
      </c>
      <c r="Q822" s="17" t="s">
        <v>7357</v>
      </c>
      <c r="R822" s="18">
        <v>288.95999999999998</v>
      </c>
      <c r="S822" s="19">
        <f t="shared" si="5"/>
        <v>46811.519999999997</v>
      </c>
      <c r="T822" s="12" t="s">
        <v>46</v>
      </c>
      <c r="U822" s="15" t="s">
        <v>7358</v>
      </c>
      <c r="V822" s="19">
        <v>44610</v>
      </c>
      <c r="W822" s="15"/>
      <c r="X822" s="13"/>
      <c r="Y822" s="20">
        <v>3116419</v>
      </c>
      <c r="Z822" s="13">
        <v>3891631</v>
      </c>
      <c r="AA822" s="13">
        <v>4836743</v>
      </c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</row>
    <row r="823" spans="1:46" ht="45" customHeight="1">
      <c r="A823" s="12" t="s">
        <v>7359</v>
      </c>
      <c r="B823" s="13" t="s">
        <v>7360</v>
      </c>
      <c r="C823" s="14" t="s">
        <v>7361</v>
      </c>
      <c r="D823" s="15" t="s">
        <v>6980</v>
      </c>
      <c r="E823" s="15" t="s">
        <v>7362</v>
      </c>
      <c r="F823" s="15"/>
      <c r="G823" s="15" t="s">
        <v>7363</v>
      </c>
      <c r="H823" s="15"/>
      <c r="I823" s="15" t="s">
        <v>115</v>
      </c>
      <c r="J823" s="15" t="s">
        <v>7363</v>
      </c>
      <c r="K823" s="15"/>
      <c r="L823" s="15" t="s">
        <v>115</v>
      </c>
      <c r="M823" s="74" t="s">
        <v>6983</v>
      </c>
      <c r="N823" s="13" t="s">
        <v>7364</v>
      </c>
      <c r="O823" s="13"/>
      <c r="P823" s="15" t="s">
        <v>44</v>
      </c>
      <c r="Q823" s="17" t="s">
        <v>7365</v>
      </c>
      <c r="R823" s="18">
        <v>459.36</v>
      </c>
      <c r="S823" s="19">
        <f t="shared" si="5"/>
        <v>74416.320000000007</v>
      </c>
      <c r="T823" s="12" t="s">
        <v>46</v>
      </c>
      <c r="U823" s="15" t="s">
        <v>7366</v>
      </c>
      <c r="V823" s="19">
        <v>44610</v>
      </c>
      <c r="W823" s="15"/>
      <c r="X823" s="13">
        <v>1076870</v>
      </c>
      <c r="Y823" s="20"/>
      <c r="Z823" s="13"/>
      <c r="AA823" s="13">
        <v>4757030</v>
      </c>
      <c r="AB823" s="13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</row>
    <row r="824" spans="1:46" ht="45" customHeight="1">
      <c r="A824" s="12" t="s">
        <v>7367</v>
      </c>
      <c r="B824" s="13" t="s">
        <v>7368</v>
      </c>
      <c r="C824" s="14" t="s">
        <v>7369</v>
      </c>
      <c r="D824" s="15" t="s">
        <v>7370</v>
      </c>
      <c r="E824" s="15" t="s">
        <v>7155</v>
      </c>
      <c r="F824" s="15"/>
      <c r="G824" s="15" t="s">
        <v>7371</v>
      </c>
      <c r="H824" s="15" t="s">
        <v>7372</v>
      </c>
      <c r="I824" s="15" t="s">
        <v>149</v>
      </c>
      <c r="J824" s="15" t="s">
        <v>7371</v>
      </c>
      <c r="K824" s="15" t="s">
        <v>7372</v>
      </c>
      <c r="L824" s="15" t="s">
        <v>149</v>
      </c>
      <c r="M824" s="46" t="s">
        <v>3283</v>
      </c>
      <c r="N824" s="13" t="s">
        <v>3284</v>
      </c>
      <c r="O824" s="13"/>
      <c r="P824" s="15" t="s">
        <v>44</v>
      </c>
      <c r="Q824" s="17" t="s">
        <v>7373</v>
      </c>
      <c r="R824" s="18">
        <v>40.200000000000003</v>
      </c>
      <c r="S824" s="19">
        <f t="shared" si="5"/>
        <v>6512.4000000000005</v>
      </c>
      <c r="T824" s="12" t="s">
        <v>46</v>
      </c>
      <c r="U824" s="15" t="s">
        <v>7374</v>
      </c>
      <c r="V824" s="19">
        <v>44610</v>
      </c>
      <c r="W824" s="15" t="s">
        <v>71</v>
      </c>
      <c r="X824" s="13">
        <v>1006316</v>
      </c>
      <c r="Y824" s="20">
        <v>3067095</v>
      </c>
      <c r="Z824" s="13">
        <v>3827567</v>
      </c>
      <c r="AA824" s="13">
        <v>4749614</v>
      </c>
      <c r="AB824" s="13"/>
      <c r="AC824" s="15">
        <v>5571162</v>
      </c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</row>
    <row r="825" spans="1:46" ht="45" customHeight="1">
      <c r="A825" s="12" t="s">
        <v>7375</v>
      </c>
      <c r="B825" s="13" t="s">
        <v>7376</v>
      </c>
      <c r="C825" s="14" t="s">
        <v>7377</v>
      </c>
      <c r="D825" s="15" t="s">
        <v>7378</v>
      </c>
      <c r="E825" s="15" t="s">
        <v>1849</v>
      </c>
      <c r="F825" s="15"/>
      <c r="G825" s="15" t="s">
        <v>7379</v>
      </c>
      <c r="H825" s="15" t="s">
        <v>2591</v>
      </c>
      <c r="I825" s="15" t="s">
        <v>149</v>
      </c>
      <c r="J825" s="15" t="s">
        <v>7379</v>
      </c>
      <c r="K825" s="15" t="s">
        <v>2591</v>
      </c>
      <c r="L825" s="15" t="s">
        <v>149</v>
      </c>
      <c r="M825" s="46" t="s">
        <v>7380</v>
      </c>
      <c r="N825" s="13">
        <v>2615978903</v>
      </c>
      <c r="O825" s="13"/>
      <c r="P825" s="15" t="s">
        <v>44</v>
      </c>
      <c r="Q825" s="17" t="s">
        <v>7381</v>
      </c>
      <c r="R825" s="18">
        <v>20.38</v>
      </c>
      <c r="S825" s="19">
        <f t="shared" si="5"/>
        <v>3301.56</v>
      </c>
      <c r="T825" s="12" t="s">
        <v>46</v>
      </c>
      <c r="U825" s="15" t="s">
        <v>7382</v>
      </c>
      <c r="V825" s="19">
        <v>44610</v>
      </c>
      <c r="W825" s="15" t="s">
        <v>47</v>
      </c>
      <c r="X825" s="13"/>
      <c r="Y825" s="20"/>
      <c r="Z825" s="13"/>
      <c r="AA825" s="13"/>
      <c r="AB825" s="13">
        <v>4887842</v>
      </c>
      <c r="AC825" s="15">
        <v>5576320</v>
      </c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</row>
    <row r="826" spans="1:46" ht="45" customHeight="1">
      <c r="A826" s="12" t="s">
        <v>7383</v>
      </c>
      <c r="B826" s="13" t="s">
        <v>7384</v>
      </c>
      <c r="C826" s="14" t="s">
        <v>7385</v>
      </c>
      <c r="D826" s="15" t="s">
        <v>7386</v>
      </c>
      <c r="E826" s="15" t="s">
        <v>7387</v>
      </c>
      <c r="F826" s="15"/>
      <c r="G826" s="15" t="s">
        <v>7388</v>
      </c>
      <c r="H826" s="15" t="s">
        <v>2591</v>
      </c>
      <c r="I826" s="15" t="s">
        <v>149</v>
      </c>
      <c r="J826" s="15" t="s">
        <v>7388</v>
      </c>
      <c r="K826" s="15" t="s">
        <v>2591</v>
      </c>
      <c r="L826" s="15" t="s">
        <v>149</v>
      </c>
      <c r="M826" s="46" t="s">
        <v>3283</v>
      </c>
      <c r="N826" s="13">
        <v>2615719099</v>
      </c>
      <c r="O826" s="13"/>
      <c r="P826" s="15" t="s">
        <v>44</v>
      </c>
      <c r="Q826" s="17" t="s">
        <v>7389</v>
      </c>
      <c r="R826" s="18">
        <v>33.43</v>
      </c>
      <c r="S826" s="19">
        <f t="shared" si="5"/>
        <v>5415.66</v>
      </c>
      <c r="T826" s="12" t="s">
        <v>46</v>
      </c>
      <c r="U826" s="15" t="s">
        <v>7390</v>
      </c>
      <c r="V826" s="19">
        <v>44610</v>
      </c>
      <c r="W826" s="15" t="s">
        <v>71</v>
      </c>
      <c r="X826" s="13">
        <v>1006340</v>
      </c>
      <c r="Y826" s="20">
        <v>3067099</v>
      </c>
      <c r="Z826" s="13">
        <v>3908306</v>
      </c>
      <c r="AA826" s="13">
        <v>4860456</v>
      </c>
      <c r="AB826" s="13"/>
      <c r="AC826" s="15">
        <v>5591498</v>
      </c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</row>
    <row r="827" spans="1:46" ht="45" customHeight="1">
      <c r="A827" s="12" t="s">
        <v>7391</v>
      </c>
      <c r="B827" s="13" t="s">
        <v>7392</v>
      </c>
      <c r="C827" s="14" t="s">
        <v>7393</v>
      </c>
      <c r="D827" s="15" t="s">
        <v>7394</v>
      </c>
      <c r="E827" s="15" t="s">
        <v>4955</v>
      </c>
      <c r="F827" s="15"/>
      <c r="G827" s="15" t="s">
        <v>7395</v>
      </c>
      <c r="H827" s="15" t="s">
        <v>447</v>
      </c>
      <c r="I827" s="15" t="s">
        <v>38</v>
      </c>
      <c r="J827" s="15" t="s">
        <v>7395</v>
      </c>
      <c r="K827" s="15" t="s">
        <v>447</v>
      </c>
      <c r="L827" s="15" t="s">
        <v>38</v>
      </c>
      <c r="M827" s="46" t="s">
        <v>7396</v>
      </c>
      <c r="N827" s="13" t="s">
        <v>7397</v>
      </c>
      <c r="O827" s="13"/>
      <c r="P827" s="15" t="s">
        <v>44</v>
      </c>
      <c r="Q827" s="17" t="s">
        <v>7398</v>
      </c>
      <c r="R827" s="18">
        <v>197.09</v>
      </c>
      <c r="S827" s="19">
        <f t="shared" si="5"/>
        <v>31928.58</v>
      </c>
      <c r="T827" s="12" t="s">
        <v>46</v>
      </c>
      <c r="U827" s="15" t="s">
        <v>7399</v>
      </c>
      <c r="V827" s="19">
        <v>44610</v>
      </c>
      <c r="W827" s="15" t="s">
        <v>71</v>
      </c>
      <c r="X827" s="13">
        <v>1042671</v>
      </c>
      <c r="Y827" s="20">
        <v>3099791</v>
      </c>
      <c r="Z827" s="13">
        <v>3821924</v>
      </c>
      <c r="AA827" s="13">
        <v>4734828</v>
      </c>
      <c r="AB827" s="13"/>
      <c r="AC827" s="15">
        <v>5585139</v>
      </c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</row>
    <row r="828" spans="1:46" ht="45" customHeight="1">
      <c r="A828" s="50" t="s">
        <v>7400</v>
      </c>
      <c r="B828" s="51" t="s">
        <v>7401</v>
      </c>
      <c r="C828" s="52" t="s">
        <v>7402</v>
      </c>
      <c r="D828" s="53" t="s">
        <v>7403</v>
      </c>
      <c r="E828" s="53" t="s">
        <v>7404</v>
      </c>
      <c r="F828" s="53"/>
      <c r="G828" s="53" t="s">
        <v>7405</v>
      </c>
      <c r="H828" s="53" t="s">
        <v>2591</v>
      </c>
      <c r="I828" s="53" t="s">
        <v>149</v>
      </c>
      <c r="J828" s="53" t="s">
        <v>7405</v>
      </c>
      <c r="K828" s="53" t="s">
        <v>2591</v>
      </c>
      <c r="L828" s="53" t="s">
        <v>149</v>
      </c>
      <c r="M828" s="68" t="s">
        <v>7406</v>
      </c>
      <c r="N828" s="51">
        <v>2614729673</v>
      </c>
      <c r="O828" s="51"/>
      <c r="P828" s="53" t="s">
        <v>44</v>
      </c>
      <c r="Q828" s="55" t="s">
        <v>7407</v>
      </c>
      <c r="R828" s="56">
        <v>40.18</v>
      </c>
      <c r="S828" s="57">
        <f t="shared" si="5"/>
        <v>6509.16</v>
      </c>
      <c r="T828" s="50" t="s">
        <v>46</v>
      </c>
      <c r="U828" s="53" t="s">
        <v>7408</v>
      </c>
      <c r="V828" s="57">
        <v>44610</v>
      </c>
      <c r="W828" s="53"/>
      <c r="X828" s="51"/>
      <c r="Y828" s="58"/>
      <c r="Z828" s="51"/>
      <c r="AA828" s="51"/>
      <c r="AB828" s="51">
        <v>4844649</v>
      </c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</row>
    <row r="829" spans="1:46" ht="45" customHeight="1">
      <c r="A829" s="12" t="s">
        <v>7409</v>
      </c>
      <c r="B829" s="13" t="s">
        <v>7410</v>
      </c>
      <c r="C829" s="66" t="s">
        <v>7411</v>
      </c>
      <c r="D829" s="15" t="s">
        <v>7412</v>
      </c>
      <c r="E829" s="15" t="s">
        <v>7413</v>
      </c>
      <c r="F829" s="15"/>
      <c r="G829" s="15" t="s">
        <v>7414</v>
      </c>
      <c r="H829" s="15" t="s">
        <v>7415</v>
      </c>
      <c r="I829" s="15" t="s">
        <v>4791</v>
      </c>
      <c r="J829" s="15" t="s">
        <v>7414</v>
      </c>
      <c r="K829" s="15" t="s">
        <v>2379</v>
      </c>
      <c r="L829" s="15" t="s">
        <v>4791</v>
      </c>
      <c r="M829" s="74" t="s">
        <v>7416</v>
      </c>
      <c r="N829" s="13" t="s">
        <v>7417</v>
      </c>
      <c r="O829" s="13"/>
      <c r="P829" s="49" t="s">
        <v>1381</v>
      </c>
      <c r="Q829" s="17" t="s">
        <v>7418</v>
      </c>
      <c r="R829" s="18">
        <v>272.21690000000001</v>
      </c>
      <c r="S829" s="19">
        <f t="shared" si="5"/>
        <v>44099.137800000004</v>
      </c>
      <c r="T829" s="12" t="s">
        <v>46</v>
      </c>
      <c r="U829" s="15" t="s">
        <v>7419</v>
      </c>
      <c r="V829" s="19">
        <v>44610</v>
      </c>
      <c r="W829" s="15"/>
      <c r="X829" s="13"/>
      <c r="Y829" s="20"/>
      <c r="Z829" s="13"/>
      <c r="AA829" s="13"/>
      <c r="AB829" s="13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</row>
    <row r="830" spans="1:46" ht="45" customHeight="1">
      <c r="A830" s="21" t="s">
        <v>7420</v>
      </c>
      <c r="B830" s="22" t="s">
        <v>7421</v>
      </c>
      <c r="C830" s="23" t="s">
        <v>7422</v>
      </c>
      <c r="D830" s="24" t="s">
        <v>7423</v>
      </c>
      <c r="E830" s="24" t="s">
        <v>7424</v>
      </c>
      <c r="F830" s="24"/>
      <c r="G830" s="24" t="s">
        <v>7425</v>
      </c>
      <c r="H830" s="24" t="s">
        <v>7426</v>
      </c>
      <c r="I830" s="24" t="s">
        <v>881</v>
      </c>
      <c r="J830" s="24" t="s">
        <v>7425</v>
      </c>
      <c r="K830" s="24" t="s">
        <v>7426</v>
      </c>
      <c r="L830" s="24" t="s">
        <v>881</v>
      </c>
      <c r="M830" s="25" t="s">
        <v>7427</v>
      </c>
      <c r="N830" s="22" t="s">
        <v>7428</v>
      </c>
      <c r="O830" s="22"/>
      <c r="P830" s="24" t="s">
        <v>117</v>
      </c>
      <c r="Q830" s="28" t="s">
        <v>7429</v>
      </c>
      <c r="R830" s="29">
        <v>9885.43</v>
      </c>
      <c r="S830" s="30">
        <f t="shared" si="5"/>
        <v>1601439.6600000001</v>
      </c>
      <c r="T830" s="21" t="s">
        <v>70</v>
      </c>
      <c r="U830" s="24"/>
      <c r="V830" s="30">
        <f>S830</f>
        <v>1601439.6600000001</v>
      </c>
      <c r="W830" s="24" t="s">
        <v>71</v>
      </c>
      <c r="X830" s="22">
        <v>1107557</v>
      </c>
      <c r="Y830" s="31">
        <v>3121106</v>
      </c>
      <c r="Z830" s="22">
        <v>3868588</v>
      </c>
      <c r="AA830" s="22">
        <v>4731398</v>
      </c>
      <c r="AB830" s="22"/>
      <c r="AC830" s="24">
        <v>5612726</v>
      </c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</row>
    <row r="831" spans="1:46" ht="45" customHeight="1">
      <c r="A831" s="12" t="s">
        <v>7430</v>
      </c>
      <c r="B831" s="13" t="s">
        <v>7431</v>
      </c>
      <c r="C831" s="14" t="s">
        <v>7432</v>
      </c>
      <c r="D831" s="15" t="s">
        <v>7433</v>
      </c>
      <c r="E831" s="15" t="s">
        <v>7434</v>
      </c>
      <c r="F831" s="15"/>
      <c r="G831" s="15" t="s">
        <v>7435</v>
      </c>
      <c r="H831" s="15" t="s">
        <v>331</v>
      </c>
      <c r="I831" s="15" t="s">
        <v>5382</v>
      </c>
      <c r="J831" s="15" t="s">
        <v>7436</v>
      </c>
      <c r="K831" s="15" t="s">
        <v>4557</v>
      </c>
      <c r="L831" s="15" t="s">
        <v>38</v>
      </c>
      <c r="M831" s="67" t="s">
        <v>7437</v>
      </c>
      <c r="N831" s="13">
        <v>2613058504</v>
      </c>
      <c r="O831" s="73"/>
      <c r="P831" s="15" t="s">
        <v>117</v>
      </c>
      <c r="Q831" s="17" t="s">
        <v>7438</v>
      </c>
      <c r="R831" s="18">
        <v>120.96</v>
      </c>
      <c r="S831" s="19">
        <f t="shared" si="5"/>
        <v>19595.52</v>
      </c>
      <c r="T831" s="12" t="s">
        <v>46</v>
      </c>
      <c r="U831" s="15" t="s">
        <v>7439</v>
      </c>
      <c r="V831" s="19">
        <v>44610</v>
      </c>
      <c r="W831" s="15" t="s">
        <v>71</v>
      </c>
      <c r="X831" s="13">
        <v>1008465</v>
      </c>
      <c r="Y831" s="20">
        <v>3072460</v>
      </c>
      <c r="Z831" s="13">
        <v>3819770</v>
      </c>
      <c r="AA831" s="13">
        <v>4622784</v>
      </c>
      <c r="AB831" s="13"/>
      <c r="AC831" s="15">
        <v>5510842</v>
      </c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</row>
    <row r="832" spans="1:46" ht="45" customHeight="1">
      <c r="A832" s="12" t="s">
        <v>7440</v>
      </c>
      <c r="B832" s="13" t="s">
        <v>7441</v>
      </c>
      <c r="C832" s="14" t="s">
        <v>7442</v>
      </c>
      <c r="D832" s="15" t="s">
        <v>2994</v>
      </c>
      <c r="E832" s="15" t="s">
        <v>7443</v>
      </c>
      <c r="F832" s="15"/>
      <c r="G832" s="15" t="s">
        <v>7444</v>
      </c>
      <c r="H832" s="15" t="s">
        <v>7445</v>
      </c>
      <c r="I832" s="15" t="s">
        <v>80</v>
      </c>
      <c r="J832" s="15" t="s">
        <v>7446</v>
      </c>
      <c r="K832" s="15" t="s">
        <v>3345</v>
      </c>
      <c r="L832" s="15" t="s">
        <v>6584</v>
      </c>
      <c r="M832" s="74" t="s">
        <v>2997</v>
      </c>
      <c r="N832" s="13" t="s">
        <v>7447</v>
      </c>
      <c r="O832" s="13"/>
      <c r="P832" s="15" t="s">
        <v>408</v>
      </c>
      <c r="Q832" s="17" t="s">
        <v>7448</v>
      </c>
      <c r="R832" s="18">
        <v>61.62</v>
      </c>
      <c r="S832" s="19">
        <f t="shared" si="5"/>
        <v>9982.4399999999987</v>
      </c>
      <c r="T832" s="12" t="s">
        <v>46</v>
      </c>
      <c r="U832" s="15" t="s">
        <v>7449</v>
      </c>
      <c r="V832" s="19">
        <v>44610</v>
      </c>
      <c r="W832" s="15"/>
      <c r="X832" s="13">
        <v>1111189</v>
      </c>
      <c r="Y832" s="20">
        <v>3112769</v>
      </c>
      <c r="Z832" s="13"/>
      <c r="AA832" s="13">
        <v>4679317</v>
      </c>
      <c r="AB832" s="13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</row>
    <row r="833" spans="1:46" ht="45" customHeight="1">
      <c r="A833" s="21" t="s">
        <v>7450</v>
      </c>
      <c r="B833" s="22" t="s">
        <v>7451</v>
      </c>
      <c r="C833" s="23" t="s">
        <v>7452</v>
      </c>
      <c r="D833" s="24" t="s">
        <v>7453</v>
      </c>
      <c r="E833" s="24" t="s">
        <v>7454</v>
      </c>
      <c r="F833" s="24"/>
      <c r="G833" s="24" t="s">
        <v>7455</v>
      </c>
      <c r="H833" s="24" t="s">
        <v>6821</v>
      </c>
      <c r="I833" s="24" t="s">
        <v>1377</v>
      </c>
      <c r="J833" s="24" t="s">
        <v>7455</v>
      </c>
      <c r="K833" s="24" t="s">
        <v>6821</v>
      </c>
      <c r="L833" s="24" t="s">
        <v>1377</v>
      </c>
      <c r="M833" s="59" t="s">
        <v>7456</v>
      </c>
      <c r="N833" s="22" t="s">
        <v>7457</v>
      </c>
      <c r="O833" s="22"/>
      <c r="P833" s="24" t="s">
        <v>94</v>
      </c>
      <c r="Q833" s="28" t="s">
        <v>7458</v>
      </c>
      <c r="R833" s="29">
        <v>1978.12</v>
      </c>
      <c r="S833" s="30">
        <f t="shared" si="5"/>
        <v>320455.44</v>
      </c>
      <c r="T833" s="21" t="s">
        <v>198</v>
      </c>
      <c r="U833" s="24" t="s">
        <v>7459</v>
      </c>
      <c r="V833" s="30">
        <v>215940</v>
      </c>
      <c r="W833" s="45" t="s">
        <v>71</v>
      </c>
      <c r="X833" s="22"/>
      <c r="Y833" s="31"/>
      <c r="Z833" s="22"/>
      <c r="AA833" s="22"/>
      <c r="AB833" s="22">
        <v>4857288</v>
      </c>
      <c r="AC833" s="24"/>
      <c r="AD833" s="45">
        <v>6477230</v>
      </c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</row>
    <row r="834" spans="1:46" ht="45" customHeight="1">
      <c r="A834" s="21" t="s">
        <v>7460</v>
      </c>
      <c r="B834" s="22" t="s">
        <v>7461</v>
      </c>
      <c r="C834" s="23" t="s">
        <v>7462</v>
      </c>
      <c r="D834" s="24" t="s">
        <v>7463</v>
      </c>
      <c r="E834" s="24" t="s">
        <v>7464</v>
      </c>
      <c r="F834" s="24"/>
      <c r="G834" s="24" t="s">
        <v>7465</v>
      </c>
      <c r="H834" s="24" t="s">
        <v>2539</v>
      </c>
      <c r="I834" s="24" t="s">
        <v>7040</v>
      </c>
      <c r="J834" s="24" t="s">
        <v>7466</v>
      </c>
      <c r="K834" s="24" t="s">
        <v>7467</v>
      </c>
      <c r="L834" s="24" t="s">
        <v>7467</v>
      </c>
      <c r="M834" s="76" t="s">
        <v>7468</v>
      </c>
      <c r="N834" s="22" t="s">
        <v>7469</v>
      </c>
      <c r="O834" s="62">
        <v>45985</v>
      </c>
      <c r="P834" s="24" t="s">
        <v>685</v>
      </c>
      <c r="Q834" s="28" t="s">
        <v>7015</v>
      </c>
      <c r="R834" s="29">
        <v>5376.66</v>
      </c>
      <c r="S834" s="30">
        <f t="shared" si="5"/>
        <v>871018.91999999993</v>
      </c>
      <c r="T834" s="21" t="s">
        <v>105</v>
      </c>
      <c r="U834" s="24" t="s">
        <v>7470</v>
      </c>
      <c r="V834" s="30">
        <v>736320</v>
      </c>
      <c r="W834" s="45" t="s">
        <v>71</v>
      </c>
      <c r="X834" s="22">
        <v>1131884</v>
      </c>
      <c r="Y834" s="31">
        <v>3109508</v>
      </c>
      <c r="Z834" s="22">
        <v>3906355</v>
      </c>
      <c r="AA834" s="22">
        <v>4750298</v>
      </c>
      <c r="AB834" s="22"/>
      <c r="AC834" s="45">
        <v>5622106</v>
      </c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</row>
    <row r="835" spans="1:46" ht="45" customHeight="1">
      <c r="A835" s="40" t="s">
        <v>7471</v>
      </c>
      <c r="B835" s="33" t="s">
        <v>7472</v>
      </c>
      <c r="C835" s="34" t="s">
        <v>7473</v>
      </c>
      <c r="D835" s="35" t="s">
        <v>7474</v>
      </c>
      <c r="E835" s="35" t="s">
        <v>7475</v>
      </c>
      <c r="F835" s="35"/>
      <c r="G835" s="35" t="s">
        <v>7476</v>
      </c>
      <c r="H835" s="35" t="s">
        <v>630</v>
      </c>
      <c r="I835" s="35" t="s">
        <v>80</v>
      </c>
      <c r="J835" s="35" t="s">
        <v>7476</v>
      </c>
      <c r="K835" s="35" t="s">
        <v>630</v>
      </c>
      <c r="L835" s="35" t="s">
        <v>80</v>
      </c>
      <c r="M835" s="36" t="s">
        <v>7477</v>
      </c>
      <c r="N835" s="33" t="s">
        <v>7478</v>
      </c>
      <c r="O835" s="33"/>
      <c r="P835" s="35" t="s">
        <v>6588</v>
      </c>
      <c r="Q835" s="37" t="s">
        <v>7479</v>
      </c>
      <c r="R835" s="38">
        <v>972.3</v>
      </c>
      <c r="S835" s="39">
        <f t="shared" si="5"/>
        <v>157512.6</v>
      </c>
      <c r="T835" s="40" t="s">
        <v>252</v>
      </c>
      <c r="U835" s="35" t="s">
        <v>7480</v>
      </c>
      <c r="V835" s="39">
        <v>123900</v>
      </c>
      <c r="W835" s="35"/>
      <c r="X835" s="33"/>
      <c r="Y835" s="41"/>
      <c r="Z835" s="33"/>
      <c r="AA835" s="33"/>
      <c r="AB835" s="33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</row>
    <row r="836" spans="1:46" ht="45" customHeight="1">
      <c r="A836" s="12" t="s">
        <v>7481</v>
      </c>
      <c r="B836" s="13" t="s">
        <v>7482</v>
      </c>
      <c r="C836" s="14" t="s">
        <v>7483</v>
      </c>
      <c r="D836" s="15" t="s">
        <v>7484</v>
      </c>
      <c r="E836" s="15" t="s">
        <v>7485</v>
      </c>
      <c r="F836" s="15"/>
      <c r="G836" s="15" t="s">
        <v>7486</v>
      </c>
      <c r="H836" s="15" t="s">
        <v>2591</v>
      </c>
      <c r="I836" s="15" t="s">
        <v>149</v>
      </c>
      <c r="J836" s="15" t="s">
        <v>7486</v>
      </c>
      <c r="K836" s="15" t="s">
        <v>2591</v>
      </c>
      <c r="L836" s="15" t="s">
        <v>149</v>
      </c>
      <c r="M836" s="46" t="s">
        <v>3283</v>
      </c>
      <c r="N836" s="13" t="s">
        <v>7487</v>
      </c>
      <c r="O836" s="13"/>
      <c r="P836" s="15" t="s">
        <v>44</v>
      </c>
      <c r="Q836" s="17" t="s">
        <v>7488</v>
      </c>
      <c r="R836" s="18">
        <v>29.37</v>
      </c>
      <c r="S836" s="19">
        <f t="shared" si="5"/>
        <v>4757.9400000000005</v>
      </c>
      <c r="T836" s="12" t="s">
        <v>46</v>
      </c>
      <c r="U836" s="15" t="s">
        <v>7489</v>
      </c>
      <c r="V836" s="19">
        <v>44610</v>
      </c>
      <c r="W836" s="15" t="s">
        <v>71</v>
      </c>
      <c r="X836" s="13">
        <v>1006332</v>
      </c>
      <c r="Y836" s="20">
        <v>3071724</v>
      </c>
      <c r="Z836" s="13">
        <v>3835363</v>
      </c>
      <c r="AA836" s="13">
        <v>4709430</v>
      </c>
      <c r="AB836" s="13"/>
      <c r="AC836" s="15">
        <v>5531613</v>
      </c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</row>
    <row r="837" spans="1:46" ht="45" customHeight="1">
      <c r="A837" s="12" t="s">
        <v>7490</v>
      </c>
      <c r="B837" s="13" t="s">
        <v>7491</v>
      </c>
      <c r="C837" s="66" t="s">
        <v>7492</v>
      </c>
      <c r="D837" s="15" t="s">
        <v>7493</v>
      </c>
      <c r="E837" s="15" t="s">
        <v>7494</v>
      </c>
      <c r="F837" s="15"/>
      <c r="G837" s="15" t="s">
        <v>7495</v>
      </c>
      <c r="H837" s="15"/>
      <c r="I837" s="15" t="s">
        <v>149</v>
      </c>
      <c r="J837" s="15" t="s">
        <v>7496</v>
      </c>
      <c r="K837" s="15"/>
      <c r="L837" s="15" t="s">
        <v>149</v>
      </c>
      <c r="M837" s="46" t="s">
        <v>7497</v>
      </c>
      <c r="N837" s="13" t="s">
        <v>7498</v>
      </c>
      <c r="O837" s="13"/>
      <c r="P837" s="15" t="s">
        <v>7499</v>
      </c>
      <c r="Q837" s="17" t="s">
        <v>7500</v>
      </c>
      <c r="R837" s="18">
        <v>35.86</v>
      </c>
      <c r="S837" s="19">
        <f t="shared" si="5"/>
        <v>5809.32</v>
      </c>
      <c r="T837" s="12" t="s">
        <v>46</v>
      </c>
      <c r="U837" s="15" t="s">
        <v>7501</v>
      </c>
      <c r="V837" s="19">
        <v>44610</v>
      </c>
      <c r="W837" s="15"/>
      <c r="X837" s="13">
        <v>1102526</v>
      </c>
      <c r="Y837" s="20"/>
      <c r="Z837" s="13"/>
      <c r="AA837" s="13"/>
      <c r="AB837" s="13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</row>
    <row r="838" spans="1:46" ht="45" customHeight="1">
      <c r="A838" s="50" t="s">
        <v>7502</v>
      </c>
      <c r="B838" s="51" t="s">
        <v>7503</v>
      </c>
      <c r="C838" s="95" t="s">
        <v>7504</v>
      </c>
      <c r="D838" s="53" t="s">
        <v>7505</v>
      </c>
      <c r="E838" s="53" t="s">
        <v>7506</v>
      </c>
      <c r="F838" s="53"/>
      <c r="G838" s="53" t="s">
        <v>7507</v>
      </c>
      <c r="H838" s="53" t="s">
        <v>1262</v>
      </c>
      <c r="I838" s="53" t="s">
        <v>115</v>
      </c>
      <c r="J838" s="53" t="s">
        <v>7507</v>
      </c>
      <c r="K838" s="53" t="s">
        <v>3879</v>
      </c>
      <c r="L838" s="53" t="s">
        <v>115</v>
      </c>
      <c r="M838" s="54" t="s">
        <v>7508</v>
      </c>
      <c r="N838" s="51" t="s">
        <v>7509</v>
      </c>
      <c r="O838" s="51"/>
      <c r="P838" s="53" t="s">
        <v>151</v>
      </c>
      <c r="Q838" s="55" t="s">
        <v>7510</v>
      </c>
      <c r="R838" s="56">
        <v>42.47</v>
      </c>
      <c r="S838" s="57">
        <f t="shared" si="5"/>
        <v>6880.1399999999994</v>
      </c>
      <c r="T838" s="50" t="s">
        <v>46</v>
      </c>
      <c r="U838" s="53" t="s">
        <v>7511</v>
      </c>
      <c r="V838" s="57">
        <v>44610</v>
      </c>
      <c r="W838" s="53"/>
      <c r="X838" s="51"/>
      <c r="Y838" s="58"/>
      <c r="Z838" s="51"/>
      <c r="AA838" s="51"/>
      <c r="AB838" s="51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</row>
    <row r="839" spans="1:46" ht="45" customHeight="1">
      <c r="A839" s="12" t="s">
        <v>7512</v>
      </c>
      <c r="B839" s="13" t="s">
        <v>7513</v>
      </c>
      <c r="C839" s="66" t="s">
        <v>7514</v>
      </c>
      <c r="D839" s="15" t="s">
        <v>7515</v>
      </c>
      <c r="E839" s="15" t="s">
        <v>4955</v>
      </c>
      <c r="F839" s="15"/>
      <c r="G839" s="15" t="s">
        <v>7516</v>
      </c>
      <c r="H839" s="15" t="s">
        <v>331</v>
      </c>
      <c r="I839" s="15" t="s">
        <v>6584</v>
      </c>
      <c r="J839" s="15" t="s">
        <v>7516</v>
      </c>
      <c r="K839" s="15" t="s">
        <v>331</v>
      </c>
      <c r="L839" s="15" t="s">
        <v>6584</v>
      </c>
      <c r="M839" s="16" t="s">
        <v>7517</v>
      </c>
      <c r="N839" s="13" t="s">
        <v>4958</v>
      </c>
      <c r="O839" s="13"/>
      <c r="P839" s="15" t="s">
        <v>44</v>
      </c>
      <c r="Q839" s="17" t="s">
        <v>7518</v>
      </c>
      <c r="R839" s="18">
        <v>106.96</v>
      </c>
      <c r="S839" s="19">
        <f t="shared" si="5"/>
        <v>17327.52</v>
      </c>
      <c r="T839" s="12" t="s">
        <v>46</v>
      </c>
      <c r="U839" s="15" t="s">
        <v>7519</v>
      </c>
      <c r="V839" s="19">
        <v>44610</v>
      </c>
      <c r="W839" s="15" t="s">
        <v>71</v>
      </c>
      <c r="X839" s="13"/>
      <c r="Y839" s="20"/>
      <c r="Z839" s="13"/>
      <c r="AA839" s="13"/>
      <c r="AB839" s="13"/>
      <c r="AC839" s="15">
        <v>5617942</v>
      </c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</row>
    <row r="840" spans="1:46" ht="45" customHeight="1">
      <c r="A840" s="40" t="s">
        <v>7520</v>
      </c>
      <c r="B840" s="33" t="s">
        <v>7521</v>
      </c>
      <c r="C840" s="34" t="s">
        <v>7522</v>
      </c>
      <c r="D840" s="35" t="s">
        <v>7523</v>
      </c>
      <c r="E840" s="35" t="s">
        <v>7485</v>
      </c>
      <c r="F840" s="35"/>
      <c r="G840" s="35" t="s">
        <v>7524</v>
      </c>
      <c r="H840" s="35"/>
      <c r="I840" s="35" t="s">
        <v>149</v>
      </c>
      <c r="J840" s="35" t="s">
        <v>7524</v>
      </c>
      <c r="K840" s="35"/>
      <c r="L840" s="35" t="s">
        <v>149</v>
      </c>
      <c r="M840" s="36" t="s">
        <v>3283</v>
      </c>
      <c r="N840" s="33" t="s">
        <v>7487</v>
      </c>
      <c r="O840" s="33"/>
      <c r="P840" s="35" t="s">
        <v>44</v>
      </c>
      <c r="Q840" s="37" t="s">
        <v>7525</v>
      </c>
      <c r="R840" s="38">
        <v>35.06</v>
      </c>
      <c r="S840" s="39">
        <f t="shared" si="5"/>
        <v>5679.72</v>
      </c>
      <c r="T840" s="40" t="s">
        <v>46</v>
      </c>
      <c r="U840" s="35" t="s">
        <v>7526</v>
      </c>
      <c r="V840" s="39">
        <v>44610</v>
      </c>
      <c r="W840" s="35"/>
      <c r="X840" s="33"/>
      <c r="Y840" s="41"/>
      <c r="Z840" s="33"/>
      <c r="AA840" s="33"/>
      <c r="AB840" s="33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</row>
    <row r="841" spans="1:46" ht="45" customHeight="1">
      <c r="A841" s="40" t="s">
        <v>7527</v>
      </c>
      <c r="B841" s="33" t="s">
        <v>7528</v>
      </c>
      <c r="C841" s="34" t="s">
        <v>7529</v>
      </c>
      <c r="D841" s="35" t="s">
        <v>7530</v>
      </c>
      <c r="E841" s="35" t="s">
        <v>7531</v>
      </c>
      <c r="F841" s="35"/>
      <c r="G841" s="35" t="s">
        <v>7532</v>
      </c>
      <c r="H841" s="35" t="s">
        <v>216</v>
      </c>
      <c r="I841" s="35" t="s">
        <v>149</v>
      </c>
      <c r="J841" s="35" t="s">
        <v>7532</v>
      </c>
      <c r="K841" s="35" t="s">
        <v>216</v>
      </c>
      <c r="L841" s="35" t="s">
        <v>149</v>
      </c>
      <c r="M841" s="36" t="s">
        <v>7533</v>
      </c>
      <c r="N841" s="33" t="s">
        <v>7534</v>
      </c>
      <c r="O841" s="33"/>
      <c r="P841" s="35" t="s">
        <v>7535</v>
      </c>
      <c r="Q841" s="37" t="s">
        <v>7536</v>
      </c>
      <c r="R841" s="38">
        <v>218.59</v>
      </c>
      <c r="S841" s="39">
        <f t="shared" si="5"/>
        <v>35411.58</v>
      </c>
      <c r="T841" s="40" t="s">
        <v>46</v>
      </c>
      <c r="U841" s="35" t="s">
        <v>7537</v>
      </c>
      <c r="V841" s="39">
        <v>44610</v>
      </c>
      <c r="W841" s="35"/>
      <c r="X841" s="33"/>
      <c r="Y841" s="41"/>
      <c r="Z841" s="33"/>
      <c r="AA841" s="33"/>
      <c r="AB841" s="33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</row>
    <row r="842" spans="1:46" ht="45" customHeight="1">
      <c r="A842" s="21" t="s">
        <v>7538</v>
      </c>
      <c r="B842" s="22" t="s">
        <v>7539</v>
      </c>
      <c r="C842" s="147" t="s">
        <v>7540</v>
      </c>
      <c r="D842" s="24" t="s">
        <v>7541</v>
      </c>
      <c r="E842" s="24" t="s">
        <v>7542</v>
      </c>
      <c r="F842" s="24"/>
      <c r="G842" s="24" t="s">
        <v>7543</v>
      </c>
      <c r="H842" s="24" t="s">
        <v>216</v>
      </c>
      <c r="I842" s="24" t="s">
        <v>149</v>
      </c>
      <c r="J842" s="24" t="s">
        <v>7543</v>
      </c>
      <c r="K842" s="24" t="s">
        <v>216</v>
      </c>
      <c r="L842" s="24" t="s">
        <v>149</v>
      </c>
      <c r="M842" s="59" t="s">
        <v>7544</v>
      </c>
      <c r="N842" s="22" t="s">
        <v>7545</v>
      </c>
      <c r="O842" s="22"/>
      <c r="P842" s="24" t="s">
        <v>622</v>
      </c>
      <c r="Q842" s="28" t="s">
        <v>7546</v>
      </c>
      <c r="R842" s="29">
        <v>2647.84</v>
      </c>
      <c r="S842" s="30">
        <f t="shared" si="5"/>
        <v>428950.08</v>
      </c>
      <c r="T842" s="21" t="s">
        <v>96</v>
      </c>
      <c r="U842" s="24" t="s">
        <v>7547</v>
      </c>
      <c r="V842" s="30">
        <v>368160</v>
      </c>
      <c r="W842" s="24" t="s">
        <v>71</v>
      </c>
      <c r="X842" s="22"/>
      <c r="Y842" s="31"/>
      <c r="Z842" s="22"/>
      <c r="AA842" s="22"/>
      <c r="AB842" s="22"/>
      <c r="AC842" s="24">
        <v>5552387</v>
      </c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</row>
    <row r="843" spans="1:46" ht="45" customHeight="1">
      <c r="A843" s="12" t="s">
        <v>7548</v>
      </c>
      <c r="B843" s="13" t="s">
        <v>7549</v>
      </c>
      <c r="C843" s="14" t="s">
        <v>7550</v>
      </c>
      <c r="D843" s="15" t="s">
        <v>2358</v>
      </c>
      <c r="E843" s="15" t="s">
        <v>7551</v>
      </c>
      <c r="F843" s="15"/>
      <c r="G843" s="15" t="s">
        <v>2360</v>
      </c>
      <c r="H843" s="15" t="s">
        <v>7552</v>
      </c>
      <c r="I843" s="15" t="s">
        <v>38</v>
      </c>
      <c r="J843" s="15" t="s">
        <v>7553</v>
      </c>
      <c r="K843" s="15" t="s">
        <v>7554</v>
      </c>
      <c r="L843" s="15" t="s">
        <v>65</v>
      </c>
      <c r="M843" s="74" t="s">
        <v>7555</v>
      </c>
      <c r="N843" s="13" t="s">
        <v>7556</v>
      </c>
      <c r="O843" s="168">
        <v>46236</v>
      </c>
      <c r="P843" s="15" t="s">
        <v>44</v>
      </c>
      <c r="Q843" s="17" t="s">
        <v>7557</v>
      </c>
      <c r="R843" s="18">
        <v>31.44</v>
      </c>
      <c r="S843" s="19">
        <f t="shared" si="5"/>
        <v>5093.2800000000007</v>
      </c>
      <c r="T843" s="12" t="s">
        <v>46</v>
      </c>
      <c r="U843" s="15" t="s">
        <v>7558</v>
      </c>
      <c r="V843" s="19">
        <v>44610</v>
      </c>
      <c r="W843" s="49" t="s">
        <v>71</v>
      </c>
      <c r="X843" s="13">
        <v>1035469</v>
      </c>
      <c r="Y843" s="20">
        <v>3121941</v>
      </c>
      <c r="Z843" s="13">
        <v>3903832</v>
      </c>
      <c r="AA843" s="13">
        <v>4750401</v>
      </c>
      <c r="AB843" s="13"/>
      <c r="AC843" s="49">
        <v>5637347</v>
      </c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</row>
    <row r="844" spans="1:46" ht="45" customHeight="1">
      <c r="A844" s="12" t="s">
        <v>7559</v>
      </c>
      <c r="B844" s="13" t="s">
        <v>7560</v>
      </c>
      <c r="C844" s="14" t="s">
        <v>7561</v>
      </c>
      <c r="D844" s="15" t="s">
        <v>7562</v>
      </c>
      <c r="E844" s="15" t="s">
        <v>1849</v>
      </c>
      <c r="F844" s="15"/>
      <c r="G844" s="15" t="s">
        <v>7563</v>
      </c>
      <c r="H844" s="15" t="s">
        <v>4557</v>
      </c>
      <c r="I844" s="15" t="s">
        <v>38</v>
      </c>
      <c r="J844" s="15" t="s">
        <v>7563</v>
      </c>
      <c r="K844" s="15" t="s">
        <v>4557</v>
      </c>
      <c r="L844" s="15" t="s">
        <v>38</v>
      </c>
      <c r="M844" s="46" t="s">
        <v>7564</v>
      </c>
      <c r="N844" s="13" t="s">
        <v>7565</v>
      </c>
      <c r="O844" s="13"/>
      <c r="P844" s="15" t="s">
        <v>44</v>
      </c>
      <c r="Q844" s="17" t="s">
        <v>7566</v>
      </c>
      <c r="R844" s="18">
        <v>32.9</v>
      </c>
      <c r="S844" s="19">
        <f t="shared" si="5"/>
        <v>5329.8</v>
      </c>
      <c r="T844" s="12" t="s">
        <v>46</v>
      </c>
      <c r="U844" s="15" t="s">
        <v>7567</v>
      </c>
      <c r="V844" s="19">
        <v>44610</v>
      </c>
      <c r="W844" s="15"/>
      <c r="X844" s="13">
        <v>1123491</v>
      </c>
      <c r="Y844" s="20">
        <v>3115713</v>
      </c>
      <c r="Z844" s="13">
        <v>3866880</v>
      </c>
      <c r="AA844" s="13"/>
      <c r="AB844" s="13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</row>
    <row r="845" spans="1:46" ht="45" customHeight="1">
      <c r="A845" s="12" t="s">
        <v>7568</v>
      </c>
      <c r="B845" s="13" t="s">
        <v>7569</v>
      </c>
      <c r="C845" s="14" t="s">
        <v>7570</v>
      </c>
      <c r="D845" s="15" t="s">
        <v>7571</v>
      </c>
      <c r="E845" s="15" t="s">
        <v>7485</v>
      </c>
      <c r="F845" s="15"/>
      <c r="G845" s="15" t="s">
        <v>7572</v>
      </c>
      <c r="H845" s="15" t="s">
        <v>331</v>
      </c>
      <c r="I845" s="15" t="s">
        <v>149</v>
      </c>
      <c r="J845" s="15" t="s">
        <v>7572</v>
      </c>
      <c r="K845" s="15" t="s">
        <v>331</v>
      </c>
      <c r="L845" s="15" t="s">
        <v>149</v>
      </c>
      <c r="M845" s="46" t="s">
        <v>3487</v>
      </c>
      <c r="N845" s="13" t="s">
        <v>7573</v>
      </c>
      <c r="O845" s="13"/>
      <c r="P845" s="15" t="s">
        <v>44</v>
      </c>
      <c r="Q845" s="17" t="s">
        <v>7574</v>
      </c>
      <c r="R845" s="18">
        <v>73.319999999999993</v>
      </c>
      <c r="S845" s="19">
        <f t="shared" si="5"/>
        <v>11877.839999999998</v>
      </c>
      <c r="T845" s="12" t="s">
        <v>46</v>
      </c>
      <c r="U845" s="15" t="s">
        <v>7575</v>
      </c>
      <c r="V845" s="19">
        <v>44610</v>
      </c>
      <c r="W845" s="15"/>
      <c r="X845" s="13">
        <v>1136260</v>
      </c>
      <c r="Y845" s="20"/>
      <c r="Z845" s="13">
        <v>3887712</v>
      </c>
      <c r="AA845" s="13">
        <v>4726508</v>
      </c>
      <c r="AB845" s="13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</row>
    <row r="846" spans="1:46" ht="45" customHeight="1">
      <c r="A846" s="12" t="s">
        <v>7576</v>
      </c>
      <c r="B846" s="13" t="s">
        <v>7577</v>
      </c>
      <c r="C846" s="14" t="s">
        <v>7578</v>
      </c>
      <c r="D846" s="15" t="s">
        <v>7579</v>
      </c>
      <c r="E846" s="15" t="s">
        <v>7580</v>
      </c>
      <c r="F846" s="15"/>
      <c r="G846" s="15" t="s">
        <v>7581</v>
      </c>
      <c r="H846" s="15"/>
      <c r="I846" s="15" t="s">
        <v>149</v>
      </c>
      <c r="J846" s="15" t="s">
        <v>7581</v>
      </c>
      <c r="K846" s="15"/>
      <c r="L846" s="15" t="s">
        <v>149</v>
      </c>
      <c r="M846" s="46" t="s">
        <v>7582</v>
      </c>
      <c r="N846" s="13" t="s">
        <v>7583</v>
      </c>
      <c r="O846" s="13"/>
      <c r="P846" s="15" t="s">
        <v>117</v>
      </c>
      <c r="Q846" s="17" t="s">
        <v>7584</v>
      </c>
      <c r="R846" s="18">
        <v>77.239999999999995</v>
      </c>
      <c r="S846" s="19">
        <f t="shared" si="5"/>
        <v>12512.88</v>
      </c>
      <c r="T846" s="12" t="s">
        <v>46</v>
      </c>
      <c r="U846" s="15" t="s">
        <v>7585</v>
      </c>
      <c r="V846" s="19">
        <v>44610</v>
      </c>
      <c r="W846" s="49" t="s">
        <v>71</v>
      </c>
      <c r="X846" s="13">
        <v>1136450</v>
      </c>
      <c r="Y846" s="20">
        <v>3115705</v>
      </c>
      <c r="Z846" s="13">
        <v>3903862</v>
      </c>
      <c r="AA846" s="13">
        <v>4745440</v>
      </c>
      <c r="AB846" s="13"/>
      <c r="AC846" s="49">
        <v>5633517</v>
      </c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</row>
    <row r="847" spans="1:46" ht="45" customHeight="1">
      <c r="A847" s="12" t="s">
        <v>7586</v>
      </c>
      <c r="B847" s="13" t="s">
        <v>7587</v>
      </c>
      <c r="C847" s="14" t="s">
        <v>7588</v>
      </c>
      <c r="D847" s="15" t="s">
        <v>7589</v>
      </c>
      <c r="E847" s="15" t="s">
        <v>7590</v>
      </c>
      <c r="F847" s="15"/>
      <c r="G847" s="15" t="s">
        <v>7591</v>
      </c>
      <c r="H847" s="15"/>
      <c r="I847" s="15" t="s">
        <v>149</v>
      </c>
      <c r="J847" s="15" t="s">
        <v>7592</v>
      </c>
      <c r="K847" s="15"/>
      <c r="L847" s="15" t="s">
        <v>149</v>
      </c>
      <c r="M847" s="16" t="s">
        <v>7593</v>
      </c>
      <c r="N847" s="13" t="s">
        <v>7594</v>
      </c>
      <c r="O847" s="13"/>
      <c r="P847" s="15" t="s">
        <v>94</v>
      </c>
      <c r="Q847" s="17" t="s">
        <v>7595</v>
      </c>
      <c r="R847" s="18">
        <v>33.24</v>
      </c>
      <c r="S847" s="19">
        <f t="shared" si="5"/>
        <v>5384.88</v>
      </c>
      <c r="T847" s="12" t="s">
        <v>46</v>
      </c>
      <c r="U847" s="15" t="s">
        <v>7585</v>
      </c>
      <c r="V847" s="19">
        <v>44610</v>
      </c>
      <c r="W847" s="15"/>
      <c r="X847" s="13">
        <v>984336</v>
      </c>
      <c r="Y847" s="20"/>
      <c r="Z847" s="13"/>
      <c r="AA847" s="13"/>
      <c r="AB847" s="13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</row>
    <row r="848" spans="1:46" ht="45" customHeight="1">
      <c r="A848" s="79" t="s">
        <v>7596</v>
      </c>
      <c r="B848" s="80" t="s">
        <v>7597</v>
      </c>
      <c r="C848" s="81" t="s">
        <v>7598</v>
      </c>
      <c r="D848" s="82" t="s">
        <v>7599</v>
      </c>
      <c r="E848" s="82" t="s">
        <v>7600</v>
      </c>
      <c r="F848" s="82"/>
      <c r="G848" s="82" t="s">
        <v>7601</v>
      </c>
      <c r="H848" s="82" t="s">
        <v>331</v>
      </c>
      <c r="I848" s="82" t="s">
        <v>53</v>
      </c>
      <c r="J848" s="82" t="s">
        <v>7601</v>
      </c>
      <c r="K848" s="82" t="s">
        <v>331</v>
      </c>
      <c r="L848" s="82" t="s">
        <v>53</v>
      </c>
      <c r="M848" s="83" t="s">
        <v>7602</v>
      </c>
      <c r="N848" s="80" t="s">
        <v>7603</v>
      </c>
      <c r="O848" s="80"/>
      <c r="P848" s="82" t="s">
        <v>7604</v>
      </c>
      <c r="Q848" s="84" t="s">
        <v>7605</v>
      </c>
      <c r="R848" s="85" t="s">
        <v>770</v>
      </c>
      <c r="S848" s="86" t="e">
        <f t="shared" si="5"/>
        <v>#VALUE!</v>
      </c>
      <c r="T848" s="87" t="s">
        <v>770</v>
      </c>
      <c r="U848" s="82" t="s">
        <v>7606</v>
      </c>
      <c r="V848" s="86">
        <v>0</v>
      </c>
      <c r="W848" s="82"/>
      <c r="X848" s="80"/>
      <c r="Y848" s="88"/>
      <c r="Z848" s="80">
        <v>3906937</v>
      </c>
      <c r="AA848" s="80"/>
      <c r="AB848" s="80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</row>
    <row r="849" spans="1:46" ht="45" customHeight="1">
      <c r="A849" s="12" t="s">
        <v>7607</v>
      </c>
      <c r="B849" s="13" t="s">
        <v>7608</v>
      </c>
      <c r="C849" s="14" t="s">
        <v>7609</v>
      </c>
      <c r="D849" s="15" t="s">
        <v>7610</v>
      </c>
      <c r="E849" s="15" t="s">
        <v>7611</v>
      </c>
      <c r="F849" s="15"/>
      <c r="G849" s="15" t="s">
        <v>7612</v>
      </c>
      <c r="H849" s="15"/>
      <c r="I849" s="15" t="s">
        <v>149</v>
      </c>
      <c r="J849" s="15" t="s">
        <v>7612</v>
      </c>
      <c r="K849" s="15"/>
      <c r="L849" s="15" t="s">
        <v>149</v>
      </c>
      <c r="M849" s="46" t="s">
        <v>7613</v>
      </c>
      <c r="N849" s="13" t="s">
        <v>7614</v>
      </c>
      <c r="O849" s="13"/>
      <c r="P849" s="15" t="s">
        <v>94</v>
      </c>
      <c r="Q849" s="17" t="s">
        <v>7615</v>
      </c>
      <c r="R849" s="18">
        <v>20.47</v>
      </c>
      <c r="S849" s="19">
        <f t="shared" si="5"/>
        <v>3316.14</v>
      </c>
      <c r="T849" s="12" t="s">
        <v>46</v>
      </c>
      <c r="U849" s="15" t="s">
        <v>7616</v>
      </c>
      <c r="V849" s="19">
        <v>44610</v>
      </c>
      <c r="W849" s="15"/>
      <c r="X849" s="13">
        <v>1040519</v>
      </c>
      <c r="Y849" s="20">
        <v>3120876</v>
      </c>
      <c r="Z849" s="13"/>
      <c r="AA849" s="13"/>
      <c r="AB849" s="13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</row>
    <row r="850" spans="1:46" ht="45" customHeight="1">
      <c r="A850" s="40" t="s">
        <v>7617</v>
      </c>
      <c r="B850" s="33" t="s">
        <v>7618</v>
      </c>
      <c r="C850" s="34" t="s">
        <v>7619</v>
      </c>
      <c r="D850" s="35" t="s">
        <v>7620</v>
      </c>
      <c r="E850" s="35" t="s">
        <v>7621</v>
      </c>
      <c r="F850" s="35"/>
      <c r="G850" s="35" t="s">
        <v>7622</v>
      </c>
      <c r="H850" s="35"/>
      <c r="I850" s="35" t="s">
        <v>149</v>
      </c>
      <c r="J850" s="35" t="s">
        <v>7622</v>
      </c>
      <c r="K850" s="35"/>
      <c r="L850" s="35" t="s">
        <v>149</v>
      </c>
      <c r="M850" s="36" t="s">
        <v>3283</v>
      </c>
      <c r="N850" s="33" t="s">
        <v>7487</v>
      </c>
      <c r="O850" s="33"/>
      <c r="P850" s="35" t="s">
        <v>44</v>
      </c>
      <c r="Q850" s="37" t="s">
        <v>7623</v>
      </c>
      <c r="R850" s="38">
        <v>50.72</v>
      </c>
      <c r="S850" s="39">
        <f t="shared" si="5"/>
        <v>8216.64</v>
      </c>
      <c r="T850" s="40" t="s">
        <v>46</v>
      </c>
      <c r="U850" s="35" t="s">
        <v>7624</v>
      </c>
      <c r="V850" s="39">
        <v>44610</v>
      </c>
      <c r="W850" s="35"/>
      <c r="X850" s="33"/>
      <c r="Y850" s="41"/>
      <c r="Z850" s="33"/>
      <c r="AA850" s="33"/>
      <c r="AB850" s="33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</row>
    <row r="851" spans="1:46" ht="45" customHeight="1">
      <c r="A851" s="12" t="s">
        <v>7625</v>
      </c>
      <c r="B851" s="13" t="s">
        <v>7626</v>
      </c>
      <c r="C851" s="14" t="s">
        <v>7627</v>
      </c>
      <c r="D851" s="15" t="s">
        <v>7628</v>
      </c>
      <c r="E851" s="15" t="s">
        <v>7629</v>
      </c>
      <c r="F851" s="15"/>
      <c r="G851" s="15" t="s">
        <v>7630</v>
      </c>
      <c r="H851" s="15" t="s">
        <v>405</v>
      </c>
      <c r="I851" s="15" t="s">
        <v>115</v>
      </c>
      <c r="J851" s="15" t="s">
        <v>2638</v>
      </c>
      <c r="K851" s="15" t="s">
        <v>405</v>
      </c>
      <c r="L851" s="15" t="s">
        <v>115</v>
      </c>
      <c r="M851" s="46" t="s">
        <v>7631</v>
      </c>
      <c r="N851" s="13">
        <v>2612731361</v>
      </c>
      <c r="O851" s="13"/>
      <c r="P851" s="15" t="s">
        <v>44</v>
      </c>
      <c r="Q851" s="17" t="s">
        <v>7632</v>
      </c>
      <c r="R851" s="18">
        <v>79.52</v>
      </c>
      <c r="S851" s="19">
        <f t="shared" si="5"/>
        <v>12882.24</v>
      </c>
      <c r="T851" s="12" t="s">
        <v>46</v>
      </c>
      <c r="U851" s="15" t="s">
        <v>7633</v>
      </c>
      <c r="V851" s="19">
        <v>44610</v>
      </c>
      <c r="W851" s="49" t="s">
        <v>71</v>
      </c>
      <c r="X851" s="13"/>
      <c r="Y851" s="20"/>
      <c r="Z851" s="13"/>
      <c r="AA851" s="13">
        <v>4753631</v>
      </c>
      <c r="AB851" s="13"/>
      <c r="AC851" s="49">
        <v>5622879</v>
      </c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</row>
    <row r="852" spans="1:46" ht="45" customHeight="1">
      <c r="A852" s="12" t="s">
        <v>7634</v>
      </c>
      <c r="B852" s="13" t="s">
        <v>7635</v>
      </c>
      <c r="C852" s="14" t="s">
        <v>7636</v>
      </c>
      <c r="D852" s="15" t="s">
        <v>7637</v>
      </c>
      <c r="E852" s="15" t="s">
        <v>7638</v>
      </c>
      <c r="F852" s="15"/>
      <c r="G852" s="15" t="s">
        <v>7639</v>
      </c>
      <c r="H852" s="15" t="s">
        <v>331</v>
      </c>
      <c r="I852" s="15" t="s">
        <v>149</v>
      </c>
      <c r="J852" s="15" t="s">
        <v>7639</v>
      </c>
      <c r="K852" s="15" t="s">
        <v>331</v>
      </c>
      <c r="L852" s="15" t="s">
        <v>149</v>
      </c>
      <c r="M852" s="16" t="s">
        <v>7640</v>
      </c>
      <c r="N852" s="13" t="s">
        <v>7641</v>
      </c>
      <c r="O852" s="13"/>
      <c r="P852" s="15" t="s">
        <v>94</v>
      </c>
      <c r="Q852" s="17" t="s">
        <v>7642</v>
      </c>
      <c r="R852" s="18">
        <v>49.14</v>
      </c>
      <c r="S852" s="19">
        <f t="shared" si="5"/>
        <v>7960.68</v>
      </c>
      <c r="T852" s="12" t="s">
        <v>46</v>
      </c>
      <c r="U852" s="15" t="s">
        <v>7643</v>
      </c>
      <c r="V852" s="19">
        <v>44610</v>
      </c>
      <c r="W852" s="15"/>
      <c r="X852" s="13"/>
      <c r="Y852" s="20"/>
      <c r="Z852" s="13">
        <v>3895739</v>
      </c>
      <c r="AA852" s="13">
        <v>4753675</v>
      </c>
      <c r="AB852" s="13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</row>
    <row r="853" spans="1:46" ht="45" customHeight="1">
      <c r="A853" s="12" t="s">
        <v>7644</v>
      </c>
      <c r="B853" s="13" t="s">
        <v>7645</v>
      </c>
      <c r="C853" s="14" t="s">
        <v>7646</v>
      </c>
      <c r="D853" s="15" t="s">
        <v>7647</v>
      </c>
      <c r="E853" s="15" t="s">
        <v>7648</v>
      </c>
      <c r="F853" s="15"/>
      <c r="G853" s="15" t="s">
        <v>7649</v>
      </c>
      <c r="H853" s="15" t="s">
        <v>331</v>
      </c>
      <c r="I853" s="15" t="s">
        <v>53</v>
      </c>
      <c r="J853" s="15" t="s">
        <v>7650</v>
      </c>
      <c r="K853" s="15" t="s">
        <v>3738</v>
      </c>
      <c r="L853" s="15" t="s">
        <v>65</v>
      </c>
      <c r="M853" s="46" t="s">
        <v>7651</v>
      </c>
      <c r="N853" s="13" t="s">
        <v>7652</v>
      </c>
      <c r="O853" s="13"/>
      <c r="P853" s="15" t="s">
        <v>7653</v>
      </c>
      <c r="Q853" s="17" t="s">
        <v>7654</v>
      </c>
      <c r="R853" s="18">
        <v>540.59</v>
      </c>
      <c r="S853" s="19">
        <f t="shared" si="5"/>
        <v>87575.58</v>
      </c>
      <c r="T853" s="12" t="s">
        <v>46</v>
      </c>
      <c r="U853" s="15" t="s">
        <v>7655</v>
      </c>
      <c r="V853" s="19">
        <v>44610</v>
      </c>
      <c r="W853" s="15" t="s">
        <v>71</v>
      </c>
      <c r="X853" s="13">
        <v>1012328</v>
      </c>
      <c r="Y853" s="20">
        <v>3121512</v>
      </c>
      <c r="Z853" s="13">
        <v>3870220</v>
      </c>
      <c r="AA853" s="13">
        <v>4735274</v>
      </c>
      <c r="AB853" s="13"/>
      <c r="AC853" s="15">
        <v>5536376</v>
      </c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</row>
    <row r="854" spans="1:46" ht="45" customHeight="1">
      <c r="A854" s="12" t="s">
        <v>7656</v>
      </c>
      <c r="B854" s="13" t="s">
        <v>7657</v>
      </c>
      <c r="C854" s="66" t="s">
        <v>7658</v>
      </c>
      <c r="D854" s="15" t="s">
        <v>7659</v>
      </c>
      <c r="E854" s="15" t="s">
        <v>7660</v>
      </c>
      <c r="F854" s="15"/>
      <c r="G854" s="15" t="s">
        <v>7661</v>
      </c>
      <c r="H854" s="15"/>
      <c r="I854" s="15" t="s">
        <v>149</v>
      </c>
      <c r="J854" s="15" t="s">
        <v>7661</v>
      </c>
      <c r="K854" s="15"/>
      <c r="L854" s="15" t="s">
        <v>149</v>
      </c>
      <c r="M854" s="46" t="s">
        <v>7662</v>
      </c>
      <c r="N854" s="13" t="s">
        <v>7663</v>
      </c>
      <c r="O854" s="13"/>
      <c r="P854" s="15" t="s">
        <v>151</v>
      </c>
      <c r="Q854" s="17" t="s">
        <v>7664</v>
      </c>
      <c r="R854" s="18">
        <v>800.53</v>
      </c>
      <c r="S854" s="19">
        <f t="shared" si="5"/>
        <v>129685.86</v>
      </c>
      <c r="T854" s="12" t="s">
        <v>252</v>
      </c>
      <c r="U854" s="15" t="s">
        <v>7665</v>
      </c>
      <c r="V854" s="19">
        <v>123900</v>
      </c>
      <c r="W854" s="15"/>
      <c r="X854" s="13"/>
      <c r="Y854" s="20"/>
      <c r="Z854" s="13"/>
      <c r="AA854" s="13"/>
      <c r="AB854" s="13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</row>
    <row r="855" spans="1:46" ht="45" customHeight="1">
      <c r="A855" s="40" t="s">
        <v>7666</v>
      </c>
      <c r="B855" s="33" t="s">
        <v>7667</v>
      </c>
      <c r="C855" s="34" t="s">
        <v>7668</v>
      </c>
      <c r="D855" s="35" t="s">
        <v>7669</v>
      </c>
      <c r="E855" s="35" t="s">
        <v>7670</v>
      </c>
      <c r="F855" s="35"/>
      <c r="G855" s="35" t="s">
        <v>7671</v>
      </c>
      <c r="H855" s="35"/>
      <c r="I855" s="35" t="s">
        <v>38</v>
      </c>
      <c r="J855" s="35" t="s">
        <v>7672</v>
      </c>
      <c r="K855" s="35" t="s">
        <v>1212</v>
      </c>
      <c r="L855" s="35" t="s">
        <v>80</v>
      </c>
      <c r="M855" s="136" t="s">
        <v>7673</v>
      </c>
      <c r="N855" s="33" t="s">
        <v>7674</v>
      </c>
      <c r="O855" s="33"/>
      <c r="P855" s="35" t="s">
        <v>44</v>
      </c>
      <c r="Q855" s="37" t="s">
        <v>7675</v>
      </c>
      <c r="R855" s="38">
        <v>42.83</v>
      </c>
      <c r="S855" s="39">
        <f t="shared" si="5"/>
        <v>6938.46</v>
      </c>
      <c r="T855" s="40" t="s">
        <v>46</v>
      </c>
      <c r="U855" s="35" t="s">
        <v>7676</v>
      </c>
      <c r="V855" s="39">
        <v>44610</v>
      </c>
      <c r="W855" s="35"/>
      <c r="X855" s="33"/>
      <c r="Y855" s="41"/>
      <c r="Z855" s="33"/>
      <c r="AA855" s="33"/>
      <c r="AB855" s="33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</row>
    <row r="856" spans="1:46" ht="45" customHeight="1">
      <c r="A856" s="12" t="s">
        <v>7677</v>
      </c>
      <c r="B856" s="13" t="s">
        <v>7678</v>
      </c>
      <c r="C856" s="14" t="s">
        <v>7679</v>
      </c>
      <c r="D856" s="15" t="s">
        <v>7680</v>
      </c>
      <c r="E856" s="15" t="s">
        <v>7485</v>
      </c>
      <c r="F856" s="15"/>
      <c r="G856" s="15" t="s">
        <v>7681</v>
      </c>
      <c r="H856" s="15"/>
      <c r="I856" s="15" t="s">
        <v>149</v>
      </c>
      <c r="J856" s="15" t="s">
        <v>7681</v>
      </c>
      <c r="K856" s="15"/>
      <c r="L856" s="15" t="s">
        <v>149</v>
      </c>
      <c r="M856" s="46" t="s">
        <v>3283</v>
      </c>
      <c r="N856" s="13" t="s">
        <v>3284</v>
      </c>
      <c r="O856" s="13"/>
      <c r="P856" s="15" t="s">
        <v>44</v>
      </c>
      <c r="Q856" s="17" t="s">
        <v>7682</v>
      </c>
      <c r="R856" s="18">
        <v>42.73</v>
      </c>
      <c r="S856" s="19">
        <f t="shared" si="5"/>
        <v>6922.2599999999993</v>
      </c>
      <c r="T856" s="12" t="s">
        <v>46</v>
      </c>
      <c r="U856" s="15" t="s">
        <v>7683</v>
      </c>
      <c r="V856" s="19">
        <v>44610</v>
      </c>
      <c r="W856" s="15"/>
      <c r="X856" s="13">
        <v>1006331</v>
      </c>
      <c r="Y856" s="20">
        <v>3084974</v>
      </c>
      <c r="Z856" s="13">
        <v>3832921</v>
      </c>
      <c r="AA856" s="13">
        <v>4749628</v>
      </c>
      <c r="AB856" s="13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</row>
    <row r="857" spans="1:46" ht="45" customHeight="1">
      <c r="A857" s="12" t="s">
        <v>7684</v>
      </c>
      <c r="B857" s="13" t="s">
        <v>7685</v>
      </c>
      <c r="C857" s="14" t="s">
        <v>7686</v>
      </c>
      <c r="D857" s="15" t="s">
        <v>169</v>
      </c>
      <c r="E857" s="15" t="s">
        <v>7687</v>
      </c>
      <c r="F857" s="15"/>
      <c r="G857" s="15" t="s">
        <v>7688</v>
      </c>
      <c r="H857" s="15" t="s">
        <v>1345</v>
      </c>
      <c r="I857" s="15" t="s">
        <v>65</v>
      </c>
      <c r="J857" s="15" t="s">
        <v>7688</v>
      </c>
      <c r="K857" s="15" t="s">
        <v>1345</v>
      </c>
      <c r="L857" s="15" t="s">
        <v>65</v>
      </c>
      <c r="M857" s="16" t="s">
        <v>7689</v>
      </c>
      <c r="N857" s="13" t="s">
        <v>7690</v>
      </c>
      <c r="O857" s="73">
        <v>45548</v>
      </c>
      <c r="P857" s="15" t="s">
        <v>94</v>
      </c>
      <c r="Q857" s="17" t="s">
        <v>7691</v>
      </c>
      <c r="R857" s="18">
        <v>29</v>
      </c>
      <c r="S857" s="19">
        <f t="shared" si="5"/>
        <v>4698</v>
      </c>
      <c r="T857" s="12" t="s">
        <v>46</v>
      </c>
      <c r="U857" s="15"/>
      <c r="V857" s="19">
        <v>44610</v>
      </c>
      <c r="W857" s="15" t="s">
        <v>71</v>
      </c>
      <c r="X857" s="13"/>
      <c r="Y857" s="20"/>
      <c r="Z857" s="13">
        <v>3865625</v>
      </c>
      <c r="AA857" s="13">
        <v>4692098</v>
      </c>
      <c r="AB857" s="13"/>
      <c r="AC857" s="15">
        <v>5601540</v>
      </c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</row>
    <row r="858" spans="1:46" ht="45" customHeight="1">
      <c r="A858" s="12" t="s">
        <v>7692</v>
      </c>
      <c r="B858" s="13" t="s">
        <v>7693</v>
      </c>
      <c r="C858" s="14" t="s">
        <v>7694</v>
      </c>
      <c r="D858" s="15" t="s">
        <v>169</v>
      </c>
      <c r="E858" s="15" t="s">
        <v>7687</v>
      </c>
      <c r="F858" s="15"/>
      <c r="G858" s="15" t="s">
        <v>7695</v>
      </c>
      <c r="H858" s="15" t="s">
        <v>7696</v>
      </c>
      <c r="I858" s="15" t="s">
        <v>41</v>
      </c>
      <c r="J858" s="15" t="s">
        <v>7695</v>
      </c>
      <c r="K858" s="15" t="s">
        <v>4520</v>
      </c>
      <c r="L858" s="15" t="s">
        <v>41</v>
      </c>
      <c r="M858" s="16" t="s">
        <v>7697</v>
      </c>
      <c r="N858" s="13" t="s">
        <v>7698</v>
      </c>
      <c r="O858" s="13"/>
      <c r="P858" s="15" t="s">
        <v>94</v>
      </c>
      <c r="Q858" s="17" t="s">
        <v>7699</v>
      </c>
      <c r="R858" s="18">
        <v>29</v>
      </c>
      <c r="S858" s="19">
        <f t="shared" si="5"/>
        <v>4698</v>
      </c>
      <c r="T858" s="12" t="s">
        <v>46</v>
      </c>
      <c r="U858" s="15"/>
      <c r="V858" s="19">
        <v>44610</v>
      </c>
      <c r="W858" s="15" t="s">
        <v>71</v>
      </c>
      <c r="X858" s="13"/>
      <c r="Y858" s="20"/>
      <c r="Z858" s="13">
        <v>3865065</v>
      </c>
      <c r="AA858" s="13">
        <v>4749594</v>
      </c>
      <c r="AB858" s="13"/>
      <c r="AC858" s="15">
        <v>5601703</v>
      </c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</row>
    <row r="859" spans="1:46" ht="45" customHeight="1">
      <c r="A859" s="12" t="s">
        <v>7700</v>
      </c>
      <c r="B859" s="13" t="s">
        <v>7701</v>
      </c>
      <c r="C859" s="14" t="s">
        <v>7702</v>
      </c>
      <c r="D859" s="15" t="s">
        <v>169</v>
      </c>
      <c r="E859" s="15" t="s">
        <v>7687</v>
      </c>
      <c r="F859" s="15"/>
      <c r="G859" s="15" t="s">
        <v>7703</v>
      </c>
      <c r="H859" s="15" t="s">
        <v>331</v>
      </c>
      <c r="I859" s="15" t="s">
        <v>1058</v>
      </c>
      <c r="J859" s="15" t="s">
        <v>7703</v>
      </c>
      <c r="K859" s="15" t="s">
        <v>331</v>
      </c>
      <c r="L859" s="15" t="s">
        <v>7704</v>
      </c>
      <c r="M859" s="16" t="s">
        <v>7705</v>
      </c>
      <c r="N859" s="13" t="s">
        <v>7706</v>
      </c>
      <c r="O859" s="13"/>
      <c r="P859" s="15" t="s">
        <v>94</v>
      </c>
      <c r="Q859" s="17" t="s">
        <v>7707</v>
      </c>
      <c r="R859" s="18">
        <v>29</v>
      </c>
      <c r="S859" s="19">
        <f t="shared" si="5"/>
        <v>4698</v>
      </c>
      <c r="T859" s="12" t="s">
        <v>46</v>
      </c>
      <c r="U859" s="15"/>
      <c r="V859" s="19">
        <v>44610</v>
      </c>
      <c r="W859" s="15" t="s">
        <v>71</v>
      </c>
      <c r="X859" s="13"/>
      <c r="Y859" s="20"/>
      <c r="Z859" s="13">
        <v>3866562</v>
      </c>
      <c r="AA859" s="13">
        <v>4753633</v>
      </c>
      <c r="AB859" s="13"/>
      <c r="AC859" s="15">
        <v>5601669</v>
      </c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</row>
    <row r="860" spans="1:46" ht="45" customHeight="1">
      <c r="A860" s="12" t="s">
        <v>7708</v>
      </c>
      <c r="B860" s="13" t="s">
        <v>7709</v>
      </c>
      <c r="C860" s="14" t="s">
        <v>7710</v>
      </c>
      <c r="D860" s="15" t="s">
        <v>7711</v>
      </c>
      <c r="E860" s="15" t="s">
        <v>7485</v>
      </c>
      <c r="F860" s="15"/>
      <c r="G860" s="15" t="s">
        <v>7712</v>
      </c>
      <c r="H860" s="15"/>
      <c r="I860" s="15" t="s">
        <v>149</v>
      </c>
      <c r="J860" s="15" t="s">
        <v>7713</v>
      </c>
      <c r="K860" s="15"/>
      <c r="L860" s="15" t="s">
        <v>149</v>
      </c>
      <c r="M860" s="16" t="s">
        <v>7714</v>
      </c>
      <c r="N860" s="13" t="s">
        <v>7715</v>
      </c>
      <c r="O860" s="13"/>
      <c r="P860" s="15" t="s">
        <v>44</v>
      </c>
      <c r="Q860" s="17" t="s">
        <v>7716</v>
      </c>
      <c r="R860" s="18">
        <v>33.99</v>
      </c>
      <c r="S860" s="19">
        <f t="shared" si="5"/>
        <v>5506.38</v>
      </c>
      <c r="T860" s="12" t="s">
        <v>46</v>
      </c>
      <c r="U860" s="15" t="s">
        <v>7717</v>
      </c>
      <c r="V860" s="19">
        <v>44610</v>
      </c>
      <c r="W860" s="15"/>
      <c r="X860" s="13"/>
      <c r="Y860" s="20"/>
      <c r="Z860" s="13"/>
      <c r="AA860" s="13"/>
      <c r="AB860" s="13">
        <v>4902179</v>
      </c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</row>
    <row r="861" spans="1:46" ht="45" customHeight="1">
      <c r="A861" s="12" t="s">
        <v>7718</v>
      </c>
      <c r="B861" s="13" t="s">
        <v>7719</v>
      </c>
      <c r="C861" s="14" t="s">
        <v>7720</v>
      </c>
      <c r="D861" s="15" t="s">
        <v>7721</v>
      </c>
      <c r="E861" s="15" t="s">
        <v>7722</v>
      </c>
      <c r="F861" s="15"/>
      <c r="G861" s="15" t="s">
        <v>7723</v>
      </c>
      <c r="H861" s="15"/>
      <c r="I861" s="15" t="s">
        <v>149</v>
      </c>
      <c r="J861" s="15" t="s">
        <v>7723</v>
      </c>
      <c r="K861" s="15"/>
      <c r="L861" s="15" t="s">
        <v>149</v>
      </c>
      <c r="M861" s="16" t="s">
        <v>7724</v>
      </c>
      <c r="N861" s="13" t="s">
        <v>7725</v>
      </c>
      <c r="O861" s="13"/>
      <c r="P861" s="15" t="s">
        <v>44</v>
      </c>
      <c r="Q861" s="17" t="s">
        <v>7726</v>
      </c>
      <c r="R861" s="18">
        <v>54.11</v>
      </c>
      <c r="S861" s="19">
        <f t="shared" si="5"/>
        <v>8765.82</v>
      </c>
      <c r="T861" s="12" t="s">
        <v>46</v>
      </c>
      <c r="U861" s="15" t="s">
        <v>7727</v>
      </c>
      <c r="V861" s="19">
        <v>44610</v>
      </c>
      <c r="W861" s="15" t="s">
        <v>71</v>
      </c>
      <c r="X861" s="13">
        <v>1108197</v>
      </c>
      <c r="Y861" s="20">
        <v>3099629</v>
      </c>
      <c r="Z861" s="13">
        <v>3891928</v>
      </c>
      <c r="AA861" s="13">
        <v>4755848</v>
      </c>
      <c r="AB861" s="13"/>
      <c r="AC861" s="15">
        <v>5568694</v>
      </c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</row>
    <row r="862" spans="1:46" ht="45" customHeight="1">
      <c r="A862" s="50" t="s">
        <v>7728</v>
      </c>
      <c r="B862" s="51" t="s">
        <v>7729</v>
      </c>
      <c r="C862" s="52" t="s">
        <v>7730</v>
      </c>
      <c r="D862" s="53" t="s">
        <v>7731</v>
      </c>
      <c r="E862" s="53" t="s">
        <v>7732</v>
      </c>
      <c r="F862" s="53"/>
      <c r="G862" s="53" t="s">
        <v>7733</v>
      </c>
      <c r="H862" s="53" t="s">
        <v>7734</v>
      </c>
      <c r="I862" s="53" t="s">
        <v>149</v>
      </c>
      <c r="J862" s="53" t="s">
        <v>7733</v>
      </c>
      <c r="K862" s="53" t="s">
        <v>7734</v>
      </c>
      <c r="L862" s="53" t="s">
        <v>149</v>
      </c>
      <c r="M862" s="68" t="s">
        <v>7735</v>
      </c>
      <c r="N862" s="51" t="s">
        <v>7736</v>
      </c>
      <c r="O862" s="51"/>
      <c r="P862" s="53" t="s">
        <v>1381</v>
      </c>
      <c r="Q862" s="55" t="s">
        <v>7737</v>
      </c>
      <c r="R862" s="56">
        <v>516.09</v>
      </c>
      <c r="S862" s="57">
        <f t="shared" si="5"/>
        <v>83606.58</v>
      </c>
      <c r="T862" s="50" t="s">
        <v>46</v>
      </c>
      <c r="U862" s="53" t="s">
        <v>7738</v>
      </c>
      <c r="V862" s="57">
        <v>44610</v>
      </c>
      <c r="W862" s="53"/>
      <c r="X862" s="51"/>
      <c r="Y862" s="58"/>
      <c r="Z862" s="51"/>
      <c r="AA862" s="51"/>
      <c r="AB862" s="51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</row>
    <row r="863" spans="1:46" ht="45" customHeight="1">
      <c r="A863" s="40" t="s">
        <v>7739</v>
      </c>
      <c r="B863" s="33" t="s">
        <v>7740</v>
      </c>
      <c r="C863" s="34" t="s">
        <v>7741</v>
      </c>
      <c r="D863" s="35" t="s">
        <v>7742</v>
      </c>
      <c r="E863" s="35" t="s">
        <v>7743</v>
      </c>
      <c r="F863" s="35"/>
      <c r="G863" s="35" t="s">
        <v>4932</v>
      </c>
      <c r="H863" s="35" t="s">
        <v>331</v>
      </c>
      <c r="I863" s="35" t="s">
        <v>53</v>
      </c>
      <c r="J863" s="35" t="s">
        <v>7744</v>
      </c>
      <c r="K863" s="35" t="s">
        <v>630</v>
      </c>
      <c r="L863" s="35" t="s">
        <v>80</v>
      </c>
      <c r="M863" s="36" t="s">
        <v>7745</v>
      </c>
      <c r="N863" s="33" t="s">
        <v>7746</v>
      </c>
      <c r="O863" s="33"/>
      <c r="P863" s="35" t="s">
        <v>117</v>
      </c>
      <c r="Q863" s="37" t="s">
        <v>7747</v>
      </c>
      <c r="R863" s="38">
        <v>197.26</v>
      </c>
      <c r="S863" s="39">
        <f t="shared" si="5"/>
        <v>31956.12</v>
      </c>
      <c r="T863" s="40" t="s">
        <v>46</v>
      </c>
      <c r="U863" s="35" t="s">
        <v>7748</v>
      </c>
      <c r="V863" s="39">
        <v>44610</v>
      </c>
      <c r="W863" s="35"/>
      <c r="X863" s="33"/>
      <c r="Y863" s="41"/>
      <c r="Z863" s="33"/>
      <c r="AA863" s="33"/>
      <c r="AB863" s="33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</row>
    <row r="864" spans="1:46" ht="45" customHeight="1">
      <c r="A864" s="12" t="s">
        <v>7749</v>
      </c>
      <c r="B864" s="13" t="s">
        <v>7750</v>
      </c>
      <c r="C864" s="14" t="s">
        <v>7751</v>
      </c>
      <c r="D864" s="15" t="s">
        <v>7752</v>
      </c>
      <c r="E864" s="15" t="s">
        <v>7753</v>
      </c>
      <c r="F864" s="15"/>
      <c r="G864" s="15" t="s">
        <v>7754</v>
      </c>
      <c r="H864" s="15" t="s">
        <v>1212</v>
      </c>
      <c r="I864" s="15" t="s">
        <v>80</v>
      </c>
      <c r="J864" s="15" t="s">
        <v>7754</v>
      </c>
      <c r="K864" s="15" t="s">
        <v>1212</v>
      </c>
      <c r="L864" s="15" t="s">
        <v>80</v>
      </c>
      <c r="M864" s="16" t="s">
        <v>7755</v>
      </c>
      <c r="N864" s="13" t="s">
        <v>7756</v>
      </c>
      <c r="O864" s="13"/>
      <c r="P864" s="15" t="s">
        <v>44</v>
      </c>
      <c r="Q864" s="17" t="s">
        <v>7757</v>
      </c>
      <c r="R864" s="18">
        <v>125</v>
      </c>
      <c r="S864" s="19">
        <f t="shared" si="5"/>
        <v>20250</v>
      </c>
      <c r="T864" s="12" t="s">
        <v>46</v>
      </c>
      <c r="U864" s="15" t="s">
        <v>7758</v>
      </c>
      <c r="V864" s="19">
        <v>44610</v>
      </c>
      <c r="W864" s="15" t="s">
        <v>71</v>
      </c>
      <c r="X864" s="13"/>
      <c r="Y864" s="20"/>
      <c r="Z864" s="13">
        <v>3857457</v>
      </c>
      <c r="AA864" s="13">
        <v>4645180</v>
      </c>
      <c r="AB864" s="13"/>
      <c r="AC864" s="15">
        <v>5532851</v>
      </c>
      <c r="AD864" s="49">
        <v>6456833</v>
      </c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</row>
    <row r="865" spans="1:46" ht="45" customHeight="1">
      <c r="A865" s="12" t="s">
        <v>7759</v>
      </c>
      <c r="B865" s="13" t="s">
        <v>7760</v>
      </c>
      <c r="C865" s="14" t="s">
        <v>7761</v>
      </c>
      <c r="D865" s="15" t="s">
        <v>7762</v>
      </c>
      <c r="E865" s="15" t="s">
        <v>7763</v>
      </c>
      <c r="F865" s="15"/>
      <c r="G865" s="15" t="s">
        <v>7764</v>
      </c>
      <c r="H865" s="15" t="s">
        <v>630</v>
      </c>
      <c r="I865" s="15" t="s">
        <v>80</v>
      </c>
      <c r="J865" s="15" t="s">
        <v>7764</v>
      </c>
      <c r="K865" s="15" t="s">
        <v>630</v>
      </c>
      <c r="L865" s="15" t="s">
        <v>4791</v>
      </c>
      <c r="M865" s="46" t="s">
        <v>7765</v>
      </c>
      <c r="N865" s="13" t="s">
        <v>7766</v>
      </c>
      <c r="O865" s="13"/>
      <c r="P865" s="15" t="s">
        <v>44</v>
      </c>
      <c r="Q865" s="17" t="s">
        <v>7767</v>
      </c>
      <c r="R865" s="18">
        <v>209</v>
      </c>
      <c r="S865" s="19">
        <f t="shared" si="5"/>
        <v>33858</v>
      </c>
      <c r="T865" s="12" t="s">
        <v>46</v>
      </c>
      <c r="U865" s="15"/>
      <c r="V865" s="19">
        <v>44610</v>
      </c>
      <c r="W865" s="49" t="s">
        <v>71</v>
      </c>
      <c r="X865" s="13">
        <v>1136598</v>
      </c>
      <c r="Y865" s="20">
        <v>3117292</v>
      </c>
      <c r="Z865" s="13">
        <v>3903856</v>
      </c>
      <c r="AA865" s="13">
        <v>4841501</v>
      </c>
      <c r="AB865" s="13"/>
      <c r="AC865" s="49">
        <v>5633504</v>
      </c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</row>
    <row r="866" spans="1:46" ht="45" customHeight="1">
      <c r="A866" s="40" t="s">
        <v>7768</v>
      </c>
      <c r="B866" s="33" t="s">
        <v>7769</v>
      </c>
      <c r="C866" s="34" t="s">
        <v>7770</v>
      </c>
      <c r="D866" s="35" t="s">
        <v>7771</v>
      </c>
      <c r="E866" s="35" t="s">
        <v>7485</v>
      </c>
      <c r="F866" s="35"/>
      <c r="G866" s="35" t="s">
        <v>7772</v>
      </c>
      <c r="H866" s="35"/>
      <c r="I866" s="35" t="s">
        <v>149</v>
      </c>
      <c r="J866" s="35" t="s">
        <v>7772</v>
      </c>
      <c r="K866" s="35"/>
      <c r="L866" s="35" t="s">
        <v>149</v>
      </c>
      <c r="M866" s="36" t="s">
        <v>7773</v>
      </c>
      <c r="N866" s="33" t="s">
        <v>7774</v>
      </c>
      <c r="O866" s="33"/>
      <c r="P866" s="35" t="s">
        <v>44</v>
      </c>
      <c r="Q866" s="37" t="s">
        <v>7775</v>
      </c>
      <c r="R866" s="38">
        <v>551</v>
      </c>
      <c r="S866" s="39">
        <f t="shared" si="5"/>
        <v>89262</v>
      </c>
      <c r="T866" s="40" t="s">
        <v>46</v>
      </c>
      <c r="U866" s="35" t="s">
        <v>7776</v>
      </c>
      <c r="V866" s="39">
        <v>44610</v>
      </c>
      <c r="W866" s="35"/>
      <c r="X866" s="33"/>
      <c r="Y866" s="41"/>
      <c r="Z866" s="33"/>
      <c r="AA866" s="33"/>
      <c r="AB866" s="33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</row>
    <row r="867" spans="1:46" ht="45" customHeight="1">
      <c r="A867" s="50" t="s">
        <v>7777</v>
      </c>
      <c r="B867" s="51" t="s">
        <v>7778</v>
      </c>
      <c r="C867" s="52" t="s">
        <v>7779</v>
      </c>
      <c r="D867" s="53" t="s">
        <v>7780</v>
      </c>
      <c r="E867" s="53" t="s">
        <v>7781</v>
      </c>
      <c r="F867" s="53"/>
      <c r="G867" s="53" t="s">
        <v>7782</v>
      </c>
      <c r="H867" s="53" t="s">
        <v>2539</v>
      </c>
      <c r="I867" s="53" t="s">
        <v>38</v>
      </c>
      <c r="J867" s="53" t="s">
        <v>7783</v>
      </c>
      <c r="K867" s="53" t="s">
        <v>1212</v>
      </c>
      <c r="L867" s="53" t="s">
        <v>80</v>
      </c>
      <c r="M867" s="54" t="s">
        <v>7784</v>
      </c>
      <c r="N867" s="51" t="s">
        <v>3284</v>
      </c>
      <c r="O867" s="51"/>
      <c r="P867" s="53" t="s">
        <v>1381</v>
      </c>
      <c r="Q867" s="55" t="s">
        <v>7785</v>
      </c>
      <c r="R867" s="56">
        <v>10.67</v>
      </c>
      <c r="S867" s="57">
        <f t="shared" si="5"/>
        <v>1728.54</v>
      </c>
      <c r="T867" s="50" t="s">
        <v>46</v>
      </c>
      <c r="U867" s="53" t="s">
        <v>7786</v>
      </c>
      <c r="V867" s="57">
        <v>44610</v>
      </c>
      <c r="W867" s="53" t="s">
        <v>71</v>
      </c>
      <c r="X867" s="51">
        <v>1021901</v>
      </c>
      <c r="Y867" s="58">
        <v>3067050</v>
      </c>
      <c r="Z867" s="51">
        <v>3832919</v>
      </c>
      <c r="AA867" s="51">
        <v>4669013</v>
      </c>
      <c r="AB867" s="51"/>
      <c r="AC867" s="53">
        <v>5531533</v>
      </c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</row>
    <row r="868" spans="1:46" ht="45" customHeight="1">
      <c r="A868" s="12" t="s">
        <v>7787</v>
      </c>
      <c r="B868" s="13" t="s">
        <v>7788</v>
      </c>
      <c r="C868" s="66" t="s">
        <v>7789</v>
      </c>
      <c r="D868" s="15" t="s">
        <v>7790</v>
      </c>
      <c r="E868" s="15" t="s">
        <v>7485</v>
      </c>
      <c r="F868" s="15"/>
      <c r="G868" s="15" t="s">
        <v>7791</v>
      </c>
      <c r="H868" s="15"/>
      <c r="I868" s="15" t="s">
        <v>149</v>
      </c>
      <c r="J868" s="15" t="s">
        <v>7791</v>
      </c>
      <c r="K868" s="15"/>
      <c r="L868" s="15" t="s">
        <v>149</v>
      </c>
      <c r="M868" s="46" t="s">
        <v>3487</v>
      </c>
      <c r="N868" s="13" t="s">
        <v>7792</v>
      </c>
      <c r="O868" s="13"/>
      <c r="P868" s="15" t="s">
        <v>44</v>
      </c>
      <c r="Q868" s="17" t="s">
        <v>7793</v>
      </c>
      <c r="R868" s="18">
        <v>30</v>
      </c>
      <c r="S868" s="19">
        <f t="shared" si="5"/>
        <v>4860</v>
      </c>
      <c r="T868" s="12" t="s">
        <v>46</v>
      </c>
      <c r="U868" s="15" t="s">
        <v>7794</v>
      </c>
      <c r="V868" s="19">
        <v>44610</v>
      </c>
      <c r="W868" s="15"/>
      <c r="X868" s="13">
        <v>1036567</v>
      </c>
      <c r="Y868" s="20"/>
      <c r="Z868" s="13"/>
      <c r="AA868" s="13"/>
      <c r="AB868" s="13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</row>
    <row r="869" spans="1:46" ht="45" customHeight="1">
      <c r="A869" s="79" t="s">
        <v>7795</v>
      </c>
      <c r="B869" s="80" t="s">
        <v>7796</v>
      </c>
      <c r="C869" s="81" t="s">
        <v>7797</v>
      </c>
      <c r="D869" s="82" t="s">
        <v>7798</v>
      </c>
      <c r="E869" s="82" t="s">
        <v>7799</v>
      </c>
      <c r="F869" s="82"/>
      <c r="G869" s="82" t="s">
        <v>7800</v>
      </c>
      <c r="H869" s="82" t="s">
        <v>52</v>
      </c>
      <c r="I869" s="82" t="s">
        <v>53</v>
      </c>
      <c r="J869" s="82" t="s">
        <v>7800</v>
      </c>
      <c r="K869" s="82"/>
      <c r="L869" s="82" t="s">
        <v>206</v>
      </c>
      <c r="M869" s="83" t="s">
        <v>7801</v>
      </c>
      <c r="N869" s="80" t="s">
        <v>7802</v>
      </c>
      <c r="O869" s="80"/>
      <c r="P869" s="82" t="s">
        <v>117</v>
      </c>
      <c r="Q869" s="84" t="s">
        <v>7803</v>
      </c>
      <c r="R869" s="85" t="s">
        <v>770</v>
      </c>
      <c r="S869" s="86" t="e">
        <f t="shared" si="5"/>
        <v>#VALUE!</v>
      </c>
      <c r="T869" s="87" t="s">
        <v>770</v>
      </c>
      <c r="U869" s="82"/>
      <c r="V869" s="86">
        <v>0</v>
      </c>
      <c r="W869" s="82" t="s">
        <v>71</v>
      </c>
      <c r="X869" s="80">
        <v>1122014</v>
      </c>
      <c r="Y869" s="88">
        <v>3121495</v>
      </c>
      <c r="Z869" s="80">
        <v>3903819</v>
      </c>
      <c r="AA869" s="80">
        <v>4748379</v>
      </c>
      <c r="AB869" s="80"/>
      <c r="AC869" s="82">
        <v>5610022</v>
      </c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</row>
    <row r="870" spans="1:46" ht="45" customHeight="1">
      <c r="A870" s="12" t="s">
        <v>7804</v>
      </c>
      <c r="B870" s="13" t="s">
        <v>7805</v>
      </c>
      <c r="C870" s="14" t="s">
        <v>7806</v>
      </c>
      <c r="D870" s="15" t="s">
        <v>7807</v>
      </c>
      <c r="E870" s="15" t="s">
        <v>7808</v>
      </c>
      <c r="F870" s="15"/>
      <c r="G870" s="15" t="s">
        <v>7809</v>
      </c>
      <c r="H870" s="15"/>
      <c r="I870" s="15" t="s">
        <v>149</v>
      </c>
      <c r="J870" s="15" t="s">
        <v>7809</v>
      </c>
      <c r="K870" s="15"/>
      <c r="L870" s="15" t="s">
        <v>149</v>
      </c>
      <c r="M870" s="16" t="s">
        <v>7810</v>
      </c>
      <c r="N870" s="13" t="s">
        <v>7811</v>
      </c>
      <c r="O870" s="13"/>
      <c r="P870" s="15" t="s">
        <v>7812</v>
      </c>
      <c r="Q870" s="17" t="s">
        <v>7813</v>
      </c>
      <c r="R870" s="18">
        <v>56.64</v>
      </c>
      <c r="S870" s="19">
        <f t="shared" si="5"/>
        <v>9175.68</v>
      </c>
      <c r="T870" s="12" t="s">
        <v>46</v>
      </c>
      <c r="U870" s="15" t="s">
        <v>7814</v>
      </c>
      <c r="V870" s="19">
        <v>44610</v>
      </c>
      <c r="W870" s="15"/>
      <c r="X870" s="13"/>
      <c r="Y870" s="20"/>
      <c r="Z870" s="13"/>
      <c r="AA870" s="13"/>
      <c r="AB870" s="13">
        <v>4886857</v>
      </c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</row>
    <row r="871" spans="1:46" ht="45" customHeight="1">
      <c r="A871" s="12" t="s">
        <v>7815</v>
      </c>
      <c r="B871" s="13" t="s">
        <v>7816</v>
      </c>
      <c r="C871" s="14" t="s">
        <v>7817</v>
      </c>
      <c r="D871" s="15" t="s">
        <v>7818</v>
      </c>
      <c r="E871" s="15" t="s">
        <v>7819</v>
      </c>
      <c r="F871" s="15"/>
      <c r="G871" s="15" t="s">
        <v>7820</v>
      </c>
      <c r="H871" s="15" t="s">
        <v>7821</v>
      </c>
      <c r="I871" s="15" t="s">
        <v>7822</v>
      </c>
      <c r="J871" s="15" t="s">
        <v>7823</v>
      </c>
      <c r="K871" s="15" t="s">
        <v>660</v>
      </c>
      <c r="L871" s="15" t="s">
        <v>38</v>
      </c>
      <c r="M871" s="46" t="s">
        <v>7824</v>
      </c>
      <c r="N871" s="13" t="s">
        <v>7825</v>
      </c>
      <c r="O871" s="13"/>
      <c r="P871" s="15" t="s">
        <v>7826</v>
      </c>
      <c r="Q871" s="17" t="s">
        <v>7827</v>
      </c>
      <c r="R871" s="18">
        <v>215</v>
      </c>
      <c r="S871" s="19">
        <f t="shared" si="5"/>
        <v>34830</v>
      </c>
      <c r="T871" s="12" t="s">
        <v>46</v>
      </c>
      <c r="U871" s="15" t="s">
        <v>7828</v>
      </c>
      <c r="V871" s="19">
        <v>44610</v>
      </c>
      <c r="W871" s="15"/>
      <c r="X871" s="13"/>
      <c r="Y871" s="20">
        <v>3082940</v>
      </c>
      <c r="Z871" s="13"/>
      <c r="AA871" s="13"/>
      <c r="AB871" s="13">
        <v>4867062</v>
      </c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</row>
    <row r="872" spans="1:46" ht="45" customHeight="1">
      <c r="A872" s="79" t="s">
        <v>7829</v>
      </c>
      <c r="B872" s="80" t="s">
        <v>7830</v>
      </c>
      <c r="C872" s="81" t="s">
        <v>7831</v>
      </c>
      <c r="D872" s="167" t="s">
        <v>760</v>
      </c>
      <c r="E872" s="82" t="s">
        <v>7832</v>
      </c>
      <c r="F872" s="82"/>
      <c r="G872" s="82" t="s">
        <v>763</v>
      </c>
      <c r="H872" s="82" t="s">
        <v>52</v>
      </c>
      <c r="I872" s="82" t="s">
        <v>53</v>
      </c>
      <c r="J872" s="82" t="s">
        <v>7833</v>
      </c>
      <c r="K872" s="82"/>
      <c r="L872" s="82" t="s">
        <v>206</v>
      </c>
      <c r="M872" s="83" t="s">
        <v>7834</v>
      </c>
      <c r="N872" s="80" t="s">
        <v>7835</v>
      </c>
      <c r="O872" s="80"/>
      <c r="P872" s="82" t="s">
        <v>7836</v>
      </c>
      <c r="Q872" s="84" t="s">
        <v>7837</v>
      </c>
      <c r="R872" s="85" t="s">
        <v>770</v>
      </c>
      <c r="S872" s="86" t="e">
        <f t="shared" si="5"/>
        <v>#VALUE!</v>
      </c>
      <c r="T872" s="87" t="s">
        <v>770</v>
      </c>
      <c r="U872" s="82" t="s">
        <v>7838</v>
      </c>
      <c r="V872" s="86">
        <v>0</v>
      </c>
      <c r="W872" s="82"/>
      <c r="X872" s="80"/>
      <c r="Y872" s="88">
        <v>3115246</v>
      </c>
      <c r="Z872" s="80"/>
      <c r="AA872" s="80"/>
      <c r="AB872" s="80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</row>
    <row r="873" spans="1:46" ht="45" customHeight="1">
      <c r="A873" s="40" t="s">
        <v>7839</v>
      </c>
      <c r="B873" s="33" t="s">
        <v>7840</v>
      </c>
      <c r="C873" s="34" t="s">
        <v>7841</v>
      </c>
      <c r="D873" s="35" t="s">
        <v>7842</v>
      </c>
      <c r="E873" s="39" t="s">
        <v>7843</v>
      </c>
      <c r="F873" s="35"/>
      <c r="G873" s="35" t="s">
        <v>7844</v>
      </c>
      <c r="H873" s="35" t="s">
        <v>331</v>
      </c>
      <c r="I873" s="35" t="s">
        <v>41</v>
      </c>
      <c r="J873" s="35" t="s">
        <v>7844</v>
      </c>
      <c r="K873" s="35" t="s">
        <v>331</v>
      </c>
      <c r="L873" s="35" t="s">
        <v>41</v>
      </c>
      <c r="M873" s="36" t="s">
        <v>7845</v>
      </c>
      <c r="N873" s="33" t="s">
        <v>7846</v>
      </c>
      <c r="O873" s="33"/>
      <c r="P873" s="35" t="s">
        <v>1381</v>
      </c>
      <c r="Q873" s="37" t="s">
        <v>7847</v>
      </c>
      <c r="R873" s="38">
        <v>45.02</v>
      </c>
      <c r="S873" s="39">
        <f t="shared" si="5"/>
        <v>7293.2400000000007</v>
      </c>
      <c r="T873" s="40" t="s">
        <v>46</v>
      </c>
      <c r="U873" s="35" t="s">
        <v>7848</v>
      </c>
      <c r="V873" s="39">
        <v>44610</v>
      </c>
      <c r="W873" s="35"/>
      <c r="X873" s="33"/>
      <c r="Y873" s="41"/>
      <c r="Z873" s="33"/>
      <c r="AA873" s="33"/>
      <c r="AB873" s="33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</row>
    <row r="874" spans="1:46" ht="45" customHeight="1">
      <c r="A874" s="40" t="s">
        <v>7849</v>
      </c>
      <c r="B874" s="33" t="s">
        <v>7850</v>
      </c>
      <c r="C874" s="34" t="s">
        <v>7851</v>
      </c>
      <c r="D874" s="35" t="s">
        <v>7852</v>
      </c>
      <c r="E874" s="35" t="s">
        <v>7853</v>
      </c>
      <c r="F874" s="35"/>
      <c r="G874" s="39" t="s">
        <v>7854</v>
      </c>
      <c r="H874" s="35"/>
      <c r="I874" s="35" t="s">
        <v>41</v>
      </c>
      <c r="J874" s="35" t="s">
        <v>7854</v>
      </c>
      <c r="K874" s="35"/>
      <c r="L874" s="35" t="s">
        <v>41</v>
      </c>
      <c r="M874" s="36" t="s">
        <v>7855</v>
      </c>
      <c r="N874" s="33" t="s">
        <v>7856</v>
      </c>
      <c r="O874" s="33"/>
      <c r="P874" s="35" t="s">
        <v>1381</v>
      </c>
      <c r="Q874" s="37" t="s">
        <v>7857</v>
      </c>
      <c r="R874" s="38">
        <v>66</v>
      </c>
      <c r="S874" s="39">
        <f t="shared" si="5"/>
        <v>10692</v>
      </c>
      <c r="T874" s="40" t="s">
        <v>46</v>
      </c>
      <c r="U874" s="35" t="s">
        <v>7858</v>
      </c>
      <c r="V874" s="39">
        <v>44610</v>
      </c>
      <c r="W874" s="35"/>
      <c r="X874" s="33"/>
      <c r="Y874" s="41"/>
      <c r="Z874" s="33"/>
      <c r="AA874" s="33"/>
      <c r="AB874" s="33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</row>
    <row r="875" spans="1:46" ht="45" customHeight="1">
      <c r="A875" s="40" t="s">
        <v>7859</v>
      </c>
      <c r="B875" s="33" t="s">
        <v>7860</v>
      </c>
      <c r="C875" s="34" t="s">
        <v>7861</v>
      </c>
      <c r="D875" s="35" t="s">
        <v>7862</v>
      </c>
      <c r="E875" s="35" t="s">
        <v>5322</v>
      </c>
      <c r="F875" s="35"/>
      <c r="G875" s="35" t="s">
        <v>7863</v>
      </c>
      <c r="H875" s="35"/>
      <c r="I875" s="39" t="s">
        <v>149</v>
      </c>
      <c r="J875" s="35" t="s">
        <v>7863</v>
      </c>
      <c r="K875" s="35"/>
      <c r="L875" s="35" t="s">
        <v>149</v>
      </c>
      <c r="M875" s="36" t="s">
        <v>3283</v>
      </c>
      <c r="N875" s="33" t="s">
        <v>3284</v>
      </c>
      <c r="O875" s="33"/>
      <c r="P875" s="35" t="s">
        <v>94</v>
      </c>
      <c r="Q875" s="37" t="s">
        <v>7864</v>
      </c>
      <c r="R875" s="38">
        <v>13.26</v>
      </c>
      <c r="S875" s="39">
        <f t="shared" si="5"/>
        <v>2148.12</v>
      </c>
      <c r="T875" s="40" t="s">
        <v>46</v>
      </c>
      <c r="U875" s="35" t="s">
        <v>7865</v>
      </c>
      <c r="V875" s="39">
        <v>44610</v>
      </c>
      <c r="W875" s="35"/>
      <c r="X875" s="33"/>
      <c r="Y875" s="41"/>
      <c r="Z875" s="33"/>
      <c r="AA875" s="33"/>
      <c r="AB875" s="33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</row>
    <row r="876" spans="1:46" ht="45" customHeight="1">
      <c r="A876" s="40" t="s">
        <v>7866</v>
      </c>
      <c r="B876" s="33" t="s">
        <v>7867</v>
      </c>
      <c r="C876" s="34" t="s">
        <v>7868</v>
      </c>
      <c r="D876" s="35" t="s">
        <v>7869</v>
      </c>
      <c r="E876" s="35" t="s">
        <v>7732</v>
      </c>
      <c r="F876" s="35"/>
      <c r="G876" s="35" t="s">
        <v>7870</v>
      </c>
      <c r="H876" s="35" t="s">
        <v>2591</v>
      </c>
      <c r="I876" s="35" t="s">
        <v>149</v>
      </c>
      <c r="J876" s="35" t="s">
        <v>7870</v>
      </c>
      <c r="K876" s="39" t="s">
        <v>2591</v>
      </c>
      <c r="L876" s="35" t="s">
        <v>149</v>
      </c>
      <c r="M876" s="36" t="s">
        <v>7871</v>
      </c>
      <c r="N876" s="33" t="s">
        <v>7872</v>
      </c>
      <c r="O876" s="33"/>
      <c r="P876" s="35" t="s">
        <v>855</v>
      </c>
      <c r="Q876" s="37" t="s">
        <v>7873</v>
      </c>
      <c r="R876" s="38">
        <v>1460</v>
      </c>
      <c r="S876" s="39">
        <f t="shared" si="5"/>
        <v>236520</v>
      </c>
      <c r="T876" s="40" t="s">
        <v>198</v>
      </c>
      <c r="U876" s="35" t="s">
        <v>7874</v>
      </c>
      <c r="V876" s="39">
        <v>215940</v>
      </c>
      <c r="W876" s="35"/>
      <c r="X876" s="33"/>
      <c r="Y876" s="41"/>
      <c r="Z876" s="33"/>
      <c r="AA876" s="33"/>
      <c r="AB876" s="33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</row>
    <row r="877" spans="1:46" ht="45" customHeight="1">
      <c r="A877" s="12" t="s">
        <v>7875</v>
      </c>
      <c r="B877" s="13" t="s">
        <v>7876</v>
      </c>
      <c r="C877" s="66" t="s">
        <v>7877</v>
      </c>
      <c r="D877" s="15" t="s">
        <v>7878</v>
      </c>
      <c r="E877" s="15" t="s">
        <v>7879</v>
      </c>
      <c r="F877" s="15"/>
      <c r="G877" s="15" t="s">
        <v>7880</v>
      </c>
      <c r="H877" s="15" t="s">
        <v>4034</v>
      </c>
      <c r="I877" s="15" t="s">
        <v>149</v>
      </c>
      <c r="J877" s="15" t="s">
        <v>7880</v>
      </c>
      <c r="K877" s="15" t="s">
        <v>4034</v>
      </c>
      <c r="L877" s="15" t="s">
        <v>149</v>
      </c>
      <c r="M877" s="46" t="s">
        <v>7881</v>
      </c>
      <c r="N877" s="13" t="s">
        <v>7882</v>
      </c>
      <c r="O877" s="13"/>
      <c r="P877" s="15" t="s">
        <v>151</v>
      </c>
      <c r="Q877" s="17" t="s">
        <v>7883</v>
      </c>
      <c r="R877" s="18">
        <v>41</v>
      </c>
      <c r="S877" s="19">
        <f t="shared" si="5"/>
        <v>6642</v>
      </c>
      <c r="T877" s="12" t="s">
        <v>46</v>
      </c>
      <c r="U877" s="15" t="s">
        <v>7884</v>
      </c>
      <c r="V877" s="19">
        <v>44610</v>
      </c>
      <c r="W877" s="15"/>
      <c r="X877" s="13">
        <v>1131277</v>
      </c>
      <c r="Y877" s="20"/>
      <c r="Z877" s="13"/>
      <c r="AA877" s="13"/>
      <c r="AB877" s="13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</row>
    <row r="878" spans="1:46" ht="45" customHeight="1">
      <c r="A878" s="12" t="s">
        <v>7885</v>
      </c>
      <c r="B878" s="13" t="s">
        <v>7886</v>
      </c>
      <c r="C878" s="14" t="s">
        <v>7887</v>
      </c>
      <c r="D878" s="15" t="s">
        <v>6457</v>
      </c>
      <c r="E878" s="15" t="s">
        <v>7888</v>
      </c>
      <c r="F878" s="15"/>
      <c r="G878" s="15" t="s">
        <v>6459</v>
      </c>
      <c r="H878" s="15" t="s">
        <v>52</v>
      </c>
      <c r="I878" s="15" t="s">
        <v>53</v>
      </c>
      <c r="J878" s="15" t="s">
        <v>7889</v>
      </c>
      <c r="K878" s="15"/>
      <c r="L878" s="15" t="s">
        <v>149</v>
      </c>
      <c r="M878" s="46" t="s">
        <v>6461</v>
      </c>
      <c r="N878" s="13" t="s">
        <v>7890</v>
      </c>
      <c r="O878" s="19"/>
      <c r="P878" s="15" t="s">
        <v>4479</v>
      </c>
      <c r="Q878" s="17" t="s">
        <v>7891</v>
      </c>
      <c r="R878" s="18">
        <v>192</v>
      </c>
      <c r="S878" s="19">
        <f t="shared" si="5"/>
        <v>31104</v>
      </c>
      <c r="T878" s="12" t="s">
        <v>46</v>
      </c>
      <c r="U878" s="15"/>
      <c r="V878" s="19">
        <v>44610</v>
      </c>
      <c r="W878" s="15" t="s">
        <v>71</v>
      </c>
      <c r="X878" s="13">
        <v>1131301</v>
      </c>
      <c r="Y878" s="20">
        <v>3118973</v>
      </c>
      <c r="Z878" s="13">
        <v>3894200</v>
      </c>
      <c r="AA878" s="13"/>
      <c r="AB878" s="13"/>
      <c r="AC878" s="15">
        <v>5590718</v>
      </c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</row>
    <row r="879" spans="1:46" ht="45" customHeight="1">
      <c r="A879" s="12" t="s">
        <v>7892</v>
      </c>
      <c r="B879" s="13" t="s">
        <v>7893</v>
      </c>
      <c r="C879" s="14" t="s">
        <v>7894</v>
      </c>
      <c r="D879" s="15" t="s">
        <v>7895</v>
      </c>
      <c r="E879" s="15" t="s">
        <v>7896</v>
      </c>
      <c r="F879" s="15"/>
      <c r="G879" s="15" t="s">
        <v>7897</v>
      </c>
      <c r="H879" s="15" t="s">
        <v>291</v>
      </c>
      <c r="I879" s="15" t="s">
        <v>115</v>
      </c>
      <c r="J879" s="15" t="s">
        <v>7897</v>
      </c>
      <c r="K879" s="15" t="s">
        <v>291</v>
      </c>
      <c r="L879" s="15" t="s">
        <v>115</v>
      </c>
      <c r="M879" s="16" t="s">
        <v>7898</v>
      </c>
      <c r="N879" s="13" t="s">
        <v>7899</v>
      </c>
      <c r="O879" s="13"/>
      <c r="P879" s="15" t="s">
        <v>94</v>
      </c>
      <c r="Q879" s="169" t="s">
        <v>7900</v>
      </c>
      <c r="R879" s="18">
        <v>34</v>
      </c>
      <c r="S879" s="19">
        <f t="shared" si="5"/>
        <v>5508</v>
      </c>
      <c r="T879" s="12" t="s">
        <v>46</v>
      </c>
      <c r="U879" s="15"/>
      <c r="V879" s="19">
        <v>44610</v>
      </c>
      <c r="W879" s="49" t="s">
        <v>71</v>
      </c>
      <c r="X879" s="13">
        <v>1135953</v>
      </c>
      <c r="Y879" s="20">
        <v>3112412</v>
      </c>
      <c r="Z879" s="13">
        <v>3902030</v>
      </c>
      <c r="AA879" s="13">
        <v>4740796</v>
      </c>
      <c r="AB879" s="13"/>
      <c r="AC879" s="49">
        <v>5628322</v>
      </c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</row>
    <row r="880" spans="1:46" ht="45" customHeight="1">
      <c r="A880" s="50" t="s">
        <v>7901</v>
      </c>
      <c r="B880" s="51" t="s">
        <v>7902</v>
      </c>
      <c r="C880" s="52" t="s">
        <v>7903</v>
      </c>
      <c r="D880" s="53" t="s">
        <v>7904</v>
      </c>
      <c r="E880" s="53" t="s">
        <v>6028</v>
      </c>
      <c r="F880" s="53"/>
      <c r="G880" s="53" t="s">
        <v>7905</v>
      </c>
      <c r="H880" s="53" t="s">
        <v>52</v>
      </c>
      <c r="I880" s="53" t="s">
        <v>53</v>
      </c>
      <c r="J880" s="53" t="s">
        <v>7906</v>
      </c>
      <c r="K880" s="53" t="s">
        <v>3452</v>
      </c>
      <c r="L880" s="53" t="s">
        <v>38</v>
      </c>
      <c r="M880" s="124" t="s">
        <v>7555</v>
      </c>
      <c r="N880" s="51" t="s">
        <v>7907</v>
      </c>
      <c r="O880" s="51"/>
      <c r="P880" s="53" t="s">
        <v>94</v>
      </c>
      <c r="Q880" s="55" t="s">
        <v>7908</v>
      </c>
      <c r="R880" s="56">
        <v>2854</v>
      </c>
      <c r="S880" s="57">
        <f t="shared" si="5"/>
        <v>462348</v>
      </c>
      <c r="T880" s="50" t="s">
        <v>96</v>
      </c>
      <c r="U880" s="53"/>
      <c r="V880" s="57">
        <v>368160</v>
      </c>
      <c r="W880" s="123" t="s">
        <v>71</v>
      </c>
      <c r="X880" s="51">
        <v>1035542</v>
      </c>
      <c r="Y880" s="58">
        <v>3121918</v>
      </c>
      <c r="Z880" s="51">
        <v>3903852</v>
      </c>
      <c r="AA880" s="51">
        <v>4750973</v>
      </c>
      <c r="AB880" s="51"/>
      <c r="AC880" s="123">
        <v>5637070</v>
      </c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</row>
    <row r="881" spans="1:46" ht="45" customHeight="1">
      <c r="A881" s="40" t="s">
        <v>7909</v>
      </c>
      <c r="B881" s="33" t="s">
        <v>7910</v>
      </c>
      <c r="C881" s="34" t="s">
        <v>7911</v>
      </c>
      <c r="D881" s="35" t="s">
        <v>7912</v>
      </c>
      <c r="E881" s="35" t="s">
        <v>7913</v>
      </c>
      <c r="F881" s="35"/>
      <c r="G881" s="35" t="s">
        <v>7914</v>
      </c>
      <c r="H881" s="35" t="s">
        <v>4034</v>
      </c>
      <c r="I881" s="35" t="s">
        <v>149</v>
      </c>
      <c r="J881" s="35" t="s">
        <v>7915</v>
      </c>
      <c r="K881" s="35" t="s">
        <v>4034</v>
      </c>
      <c r="L881" s="35" t="s">
        <v>149</v>
      </c>
      <c r="M881" s="36" t="s">
        <v>7916</v>
      </c>
      <c r="N881" s="33">
        <v>2614667830</v>
      </c>
      <c r="O881" s="33"/>
      <c r="P881" s="35" t="s">
        <v>94</v>
      </c>
      <c r="Q881" s="37" t="s">
        <v>7917</v>
      </c>
      <c r="R881" s="38">
        <v>41</v>
      </c>
      <c r="S881" s="39">
        <f t="shared" si="5"/>
        <v>6642</v>
      </c>
      <c r="T881" s="40" t="s">
        <v>46</v>
      </c>
      <c r="U881" s="35"/>
      <c r="V881" s="39">
        <v>44610</v>
      </c>
      <c r="W881" s="35"/>
      <c r="X881" s="33"/>
      <c r="Y881" s="41"/>
      <c r="Z881" s="33"/>
      <c r="AA881" s="33"/>
      <c r="AB881" s="33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</row>
    <row r="882" spans="1:46" ht="45" customHeight="1">
      <c r="A882" s="12" t="s">
        <v>7918</v>
      </c>
      <c r="B882" s="13" t="s">
        <v>7919</v>
      </c>
      <c r="C882" s="14" t="s">
        <v>7920</v>
      </c>
      <c r="D882" s="15" t="s">
        <v>7921</v>
      </c>
      <c r="E882" s="15" t="s">
        <v>7922</v>
      </c>
      <c r="F882" s="15"/>
      <c r="G882" s="15" t="s">
        <v>7923</v>
      </c>
      <c r="H882" s="15" t="s">
        <v>1013</v>
      </c>
      <c r="I882" s="15" t="s">
        <v>149</v>
      </c>
      <c r="J882" s="15" t="s">
        <v>7924</v>
      </c>
      <c r="K882" s="15" t="s">
        <v>7925</v>
      </c>
      <c r="L882" s="15" t="s">
        <v>149</v>
      </c>
      <c r="M882" s="46" t="s">
        <v>7926</v>
      </c>
      <c r="N882" s="13" t="s">
        <v>7927</v>
      </c>
      <c r="O882" s="13"/>
      <c r="P882" s="15" t="s">
        <v>1381</v>
      </c>
      <c r="Q882" s="17" t="s">
        <v>7928</v>
      </c>
      <c r="R882" s="18">
        <v>367</v>
      </c>
      <c r="S882" s="19">
        <f t="shared" si="5"/>
        <v>59454</v>
      </c>
      <c r="T882" s="12" t="s">
        <v>46</v>
      </c>
      <c r="U882" s="15"/>
      <c r="V882" s="19">
        <v>44610</v>
      </c>
      <c r="W882" s="15" t="s">
        <v>71</v>
      </c>
      <c r="X882" s="13"/>
      <c r="Y882" s="20">
        <v>3116185</v>
      </c>
      <c r="Z882" s="13">
        <v>3896623</v>
      </c>
      <c r="AA882" s="13"/>
      <c r="AB882" s="13"/>
      <c r="AC882" s="15">
        <v>5617822</v>
      </c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</row>
    <row r="883" spans="1:46" ht="45" customHeight="1">
      <c r="A883" s="12" t="s">
        <v>7929</v>
      </c>
      <c r="B883" s="13" t="s">
        <v>7930</v>
      </c>
      <c r="C883" s="14" t="s">
        <v>7931</v>
      </c>
      <c r="D883" s="15" t="s">
        <v>7932</v>
      </c>
      <c r="E883" s="15" t="s">
        <v>7933</v>
      </c>
      <c r="F883" s="15"/>
      <c r="G883" s="15" t="s">
        <v>7934</v>
      </c>
      <c r="H883" s="15"/>
      <c r="I883" s="15" t="s">
        <v>149</v>
      </c>
      <c r="J883" s="15" t="s">
        <v>7934</v>
      </c>
      <c r="K883" s="15"/>
      <c r="L883" s="15" t="s">
        <v>149</v>
      </c>
      <c r="M883" s="16" t="s">
        <v>7935</v>
      </c>
      <c r="N883" s="13" t="s">
        <v>7936</v>
      </c>
      <c r="O883" s="13"/>
      <c r="P883" s="15" t="s">
        <v>1381</v>
      </c>
      <c r="Q883" s="17" t="s">
        <v>7937</v>
      </c>
      <c r="R883" s="18">
        <v>49</v>
      </c>
      <c r="S883" s="19">
        <f t="shared" si="5"/>
        <v>7938</v>
      </c>
      <c r="T883" s="12" t="s">
        <v>46</v>
      </c>
      <c r="U883" s="15"/>
      <c r="V883" s="19">
        <v>44610</v>
      </c>
      <c r="W883" s="15"/>
      <c r="X883" s="13"/>
      <c r="Y883" s="20"/>
      <c r="Z883" s="13"/>
      <c r="AA883" s="13"/>
      <c r="AB883" s="13">
        <v>4904732</v>
      </c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</row>
    <row r="884" spans="1:46" ht="45" customHeight="1">
      <c r="A884" s="12" t="s">
        <v>7938</v>
      </c>
      <c r="B884" s="13" t="s">
        <v>7939</v>
      </c>
      <c r="C884" s="14" t="s">
        <v>7940</v>
      </c>
      <c r="D884" s="15" t="s">
        <v>7941</v>
      </c>
      <c r="E884" s="15" t="s">
        <v>7155</v>
      </c>
      <c r="F884" s="15"/>
      <c r="G884" s="15" t="s">
        <v>7942</v>
      </c>
      <c r="H884" s="15" t="s">
        <v>2591</v>
      </c>
      <c r="I884" s="15" t="s">
        <v>149</v>
      </c>
      <c r="J884" s="15" t="s">
        <v>7942</v>
      </c>
      <c r="K884" s="15" t="s">
        <v>2591</v>
      </c>
      <c r="L884" s="15" t="s">
        <v>149</v>
      </c>
      <c r="M884" s="46" t="s">
        <v>3283</v>
      </c>
      <c r="N884" s="13" t="s">
        <v>3284</v>
      </c>
      <c r="O884" s="13"/>
      <c r="P884" s="15" t="s">
        <v>44</v>
      </c>
      <c r="Q884" s="17" t="s">
        <v>7943</v>
      </c>
      <c r="R884" s="18">
        <v>36</v>
      </c>
      <c r="S884" s="19">
        <f t="shared" si="5"/>
        <v>5832</v>
      </c>
      <c r="T884" s="12" t="s">
        <v>46</v>
      </c>
      <c r="U884" s="15"/>
      <c r="V884" s="19">
        <v>44610</v>
      </c>
      <c r="W884" s="15" t="s">
        <v>47</v>
      </c>
      <c r="X884" s="13"/>
      <c r="Y884" s="20">
        <v>3067097</v>
      </c>
      <c r="Z884" s="13">
        <v>3908303</v>
      </c>
      <c r="AA884" s="13"/>
      <c r="AB884" s="13"/>
      <c r="AC884" s="15">
        <v>5565200</v>
      </c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</row>
    <row r="885" spans="1:46" ht="45" customHeight="1">
      <c r="A885" s="12" t="s">
        <v>7944</v>
      </c>
      <c r="B885" s="13" t="s">
        <v>7945</v>
      </c>
      <c r="C885" s="14" t="s">
        <v>7946</v>
      </c>
      <c r="D885" s="15" t="s">
        <v>7947</v>
      </c>
      <c r="E885" s="15" t="s">
        <v>7948</v>
      </c>
      <c r="F885" s="15"/>
      <c r="G885" s="15" t="s">
        <v>7949</v>
      </c>
      <c r="H885" s="15" t="s">
        <v>52</v>
      </c>
      <c r="I885" s="15" t="s">
        <v>53</v>
      </c>
      <c r="J885" s="15" t="s">
        <v>7949</v>
      </c>
      <c r="K885" s="15"/>
      <c r="L885" s="15" t="s">
        <v>206</v>
      </c>
      <c r="M885" s="46" t="s">
        <v>7950</v>
      </c>
      <c r="N885" s="13">
        <v>2614233970</v>
      </c>
      <c r="O885" s="13"/>
      <c r="P885" s="15" t="s">
        <v>94</v>
      </c>
      <c r="Q885" s="17" t="s">
        <v>7951</v>
      </c>
      <c r="R885" s="18">
        <v>420</v>
      </c>
      <c r="S885" s="19">
        <f t="shared" si="5"/>
        <v>68040</v>
      </c>
      <c r="T885" s="12" t="s">
        <v>46</v>
      </c>
      <c r="U885" s="15"/>
      <c r="V885" s="19">
        <v>44610</v>
      </c>
      <c r="W885" s="15" t="s">
        <v>71</v>
      </c>
      <c r="X885" s="13">
        <v>1134164</v>
      </c>
      <c r="Y885" s="20">
        <v>3115977</v>
      </c>
      <c r="Z885" s="13">
        <v>3869542</v>
      </c>
      <c r="AA885" s="13">
        <v>4718019</v>
      </c>
      <c r="AB885" s="13"/>
      <c r="AC885" s="111">
        <v>5576484</v>
      </c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</row>
    <row r="886" spans="1:46" ht="45" customHeight="1">
      <c r="A886" s="12" t="s">
        <v>7952</v>
      </c>
      <c r="B886" s="13" t="s">
        <v>7953</v>
      </c>
      <c r="C886" s="14" t="s">
        <v>7954</v>
      </c>
      <c r="D886" s="15" t="s">
        <v>7955</v>
      </c>
      <c r="E886" s="15" t="s">
        <v>7956</v>
      </c>
      <c r="F886" s="15"/>
      <c r="G886" s="15" t="s">
        <v>7957</v>
      </c>
      <c r="H886" s="15" t="s">
        <v>1212</v>
      </c>
      <c r="I886" s="15" t="s">
        <v>80</v>
      </c>
      <c r="J886" s="15" t="s">
        <v>7957</v>
      </c>
      <c r="K886" s="15" t="s">
        <v>1212</v>
      </c>
      <c r="L886" s="15" t="s">
        <v>80</v>
      </c>
      <c r="M886" s="46" t="s">
        <v>7958</v>
      </c>
      <c r="N886" s="13" t="s">
        <v>7959</v>
      </c>
      <c r="O886" s="13"/>
      <c r="P886" s="15" t="s">
        <v>117</v>
      </c>
      <c r="Q886" s="17" t="s">
        <v>7960</v>
      </c>
      <c r="R886" s="18">
        <v>522</v>
      </c>
      <c r="S886" s="19">
        <f t="shared" si="5"/>
        <v>84564</v>
      </c>
      <c r="T886" s="12" t="s">
        <v>46</v>
      </c>
      <c r="U886" s="15"/>
      <c r="V886" s="19">
        <v>44610</v>
      </c>
      <c r="W886" s="15" t="s">
        <v>47</v>
      </c>
      <c r="X886" s="13">
        <v>1041500</v>
      </c>
      <c r="Y886" s="20">
        <v>3113018</v>
      </c>
      <c r="Z886" s="13">
        <v>3881048</v>
      </c>
      <c r="AA886" s="13">
        <v>4709297</v>
      </c>
      <c r="AB886" s="13"/>
      <c r="AC886" s="15">
        <v>5588847</v>
      </c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</row>
    <row r="887" spans="1:46" ht="45" customHeight="1">
      <c r="A887" s="12" t="s">
        <v>7961</v>
      </c>
      <c r="B887" s="13" t="s">
        <v>7962</v>
      </c>
      <c r="C887" s="14" t="s">
        <v>7963</v>
      </c>
      <c r="D887" s="15" t="s">
        <v>7964</v>
      </c>
      <c r="E887" s="15" t="s">
        <v>3556</v>
      </c>
      <c r="F887" s="15"/>
      <c r="G887" s="15" t="s">
        <v>7965</v>
      </c>
      <c r="H887" s="15"/>
      <c r="I887" s="15" t="s">
        <v>149</v>
      </c>
      <c r="J887" s="15" t="s">
        <v>7965</v>
      </c>
      <c r="K887" s="15"/>
      <c r="L887" s="15" t="s">
        <v>149</v>
      </c>
      <c r="M887" s="67" t="s">
        <v>7966</v>
      </c>
      <c r="N887" s="13">
        <v>2612465078</v>
      </c>
      <c r="O887" s="13"/>
      <c r="P887" s="15" t="s">
        <v>94</v>
      </c>
      <c r="Q887" s="17" t="s">
        <v>7967</v>
      </c>
      <c r="R887" s="18">
        <v>18</v>
      </c>
      <c r="S887" s="19">
        <f t="shared" si="5"/>
        <v>2916</v>
      </c>
      <c r="T887" s="12" t="s">
        <v>46</v>
      </c>
      <c r="U887" s="15"/>
      <c r="V887" s="19">
        <v>44610</v>
      </c>
      <c r="W887" s="15"/>
      <c r="X887" s="13"/>
      <c r="Y887" s="20"/>
      <c r="Z887" s="13"/>
      <c r="AA887" s="13"/>
      <c r="AB887" s="13">
        <v>4895276</v>
      </c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</row>
    <row r="888" spans="1:46" ht="45" customHeight="1">
      <c r="A888" s="40" t="s">
        <v>7968</v>
      </c>
      <c r="B888" s="33" t="s">
        <v>7969</v>
      </c>
      <c r="C888" s="34" t="s">
        <v>7970</v>
      </c>
      <c r="D888" s="35" t="s">
        <v>7971</v>
      </c>
      <c r="E888" s="35" t="s">
        <v>7972</v>
      </c>
      <c r="F888" s="35"/>
      <c r="G888" s="35" t="s">
        <v>7973</v>
      </c>
      <c r="H888" s="35" t="s">
        <v>1262</v>
      </c>
      <c r="I888" s="35" t="s">
        <v>115</v>
      </c>
      <c r="J888" s="35" t="s">
        <v>7973</v>
      </c>
      <c r="K888" s="35" t="s">
        <v>1262</v>
      </c>
      <c r="L888" s="35" t="s">
        <v>115</v>
      </c>
      <c r="M888" s="36" t="s">
        <v>7974</v>
      </c>
      <c r="N888" s="33" t="s">
        <v>7975</v>
      </c>
      <c r="O888" s="33"/>
      <c r="P888" s="35" t="s">
        <v>44</v>
      </c>
      <c r="Q888" s="37" t="s">
        <v>7976</v>
      </c>
      <c r="R888" s="38">
        <v>60</v>
      </c>
      <c r="S888" s="39">
        <f t="shared" si="5"/>
        <v>9720</v>
      </c>
      <c r="T888" s="40" t="s">
        <v>46</v>
      </c>
      <c r="U888" s="35"/>
      <c r="V888" s="39">
        <v>44610</v>
      </c>
      <c r="W888" s="35"/>
      <c r="X888" s="33"/>
      <c r="Y888" s="41"/>
      <c r="Z888" s="33"/>
      <c r="AA888" s="33"/>
      <c r="AB888" s="33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</row>
    <row r="889" spans="1:46" ht="45" customHeight="1">
      <c r="A889" s="79" t="s">
        <v>7977</v>
      </c>
      <c r="B889" s="80" t="s">
        <v>7978</v>
      </c>
      <c r="C889" s="81" t="s">
        <v>7979</v>
      </c>
      <c r="D889" s="82" t="s">
        <v>7980</v>
      </c>
      <c r="E889" s="82" t="s">
        <v>7981</v>
      </c>
      <c r="F889" s="82"/>
      <c r="G889" s="82" t="s">
        <v>7982</v>
      </c>
      <c r="H889" s="82" t="s">
        <v>2539</v>
      </c>
      <c r="I889" s="82" t="s">
        <v>38</v>
      </c>
      <c r="J889" s="82" t="s">
        <v>7982</v>
      </c>
      <c r="K889" s="82" t="s">
        <v>2539</v>
      </c>
      <c r="L889" s="82" t="s">
        <v>38</v>
      </c>
      <c r="M889" s="83" t="s">
        <v>7983</v>
      </c>
      <c r="N889" s="80" t="s">
        <v>7984</v>
      </c>
      <c r="O889" s="80"/>
      <c r="P889" s="82" t="s">
        <v>7985</v>
      </c>
      <c r="Q889" s="84" t="s">
        <v>7986</v>
      </c>
      <c r="R889" s="85" t="s">
        <v>770</v>
      </c>
      <c r="S889" s="86" t="e">
        <f t="shared" si="5"/>
        <v>#VALUE!</v>
      </c>
      <c r="T889" s="87" t="s">
        <v>770</v>
      </c>
      <c r="U889" s="82"/>
      <c r="V889" s="86">
        <v>0</v>
      </c>
      <c r="W889" s="82" t="s">
        <v>71</v>
      </c>
      <c r="X889" s="80"/>
      <c r="Y889" s="88"/>
      <c r="Z889" s="80">
        <v>3906049</v>
      </c>
      <c r="AA889" s="80">
        <v>4747535</v>
      </c>
      <c r="AB889" s="80"/>
      <c r="AC889" s="82">
        <v>5620311</v>
      </c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</row>
    <row r="890" spans="1:46" ht="45" customHeight="1">
      <c r="A890" s="12" t="s">
        <v>7987</v>
      </c>
      <c r="B890" s="13" t="s">
        <v>7988</v>
      </c>
      <c r="C890" s="14" t="s">
        <v>7989</v>
      </c>
      <c r="D890" s="15" t="s">
        <v>7990</v>
      </c>
      <c r="E890" s="15" t="s">
        <v>7991</v>
      </c>
      <c r="F890" s="15"/>
      <c r="G890" s="15" t="s">
        <v>7992</v>
      </c>
      <c r="H890" s="15" t="s">
        <v>331</v>
      </c>
      <c r="I890" s="15" t="s">
        <v>352</v>
      </c>
      <c r="J890" s="15" t="s">
        <v>7992</v>
      </c>
      <c r="K890" s="15" t="s">
        <v>331</v>
      </c>
      <c r="L890" s="15" t="s">
        <v>352</v>
      </c>
      <c r="M890" s="46" t="s">
        <v>7993</v>
      </c>
      <c r="N890" s="13" t="s">
        <v>7994</v>
      </c>
      <c r="O890" s="13"/>
      <c r="P890" s="15" t="s">
        <v>94</v>
      </c>
      <c r="Q890" s="170" t="s">
        <v>7995</v>
      </c>
      <c r="R890" s="18">
        <v>527</v>
      </c>
      <c r="S890" s="19">
        <f t="shared" si="5"/>
        <v>85374</v>
      </c>
      <c r="T890" s="12" t="s">
        <v>46</v>
      </c>
      <c r="U890" s="15"/>
      <c r="V890" s="19">
        <v>44610</v>
      </c>
      <c r="W890" s="15" t="s">
        <v>71</v>
      </c>
      <c r="X890" s="13"/>
      <c r="Y890" s="20"/>
      <c r="Z890" s="13"/>
      <c r="AA890" s="13"/>
      <c r="AB890" s="13"/>
      <c r="AC890" s="15">
        <v>5532036</v>
      </c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</row>
    <row r="891" spans="1:46" ht="45" customHeight="1">
      <c r="A891" s="12" t="s">
        <v>7996</v>
      </c>
      <c r="B891" s="13" t="s">
        <v>7997</v>
      </c>
      <c r="C891" s="14" t="s">
        <v>7998</v>
      </c>
      <c r="D891" s="15" t="s">
        <v>7999</v>
      </c>
      <c r="E891" s="15" t="s">
        <v>8000</v>
      </c>
      <c r="F891" s="15"/>
      <c r="G891" s="15" t="s">
        <v>8001</v>
      </c>
      <c r="H891" s="15" t="s">
        <v>8002</v>
      </c>
      <c r="I891" s="15" t="s">
        <v>80</v>
      </c>
      <c r="J891" s="15" t="s">
        <v>8001</v>
      </c>
      <c r="K891" s="15" t="s">
        <v>8002</v>
      </c>
      <c r="L891" s="15" t="s">
        <v>4791</v>
      </c>
      <c r="M891" s="46" t="s">
        <v>1147</v>
      </c>
      <c r="N891" s="13">
        <v>2614537869</v>
      </c>
      <c r="O891" s="13"/>
      <c r="P891" s="15" t="s">
        <v>44</v>
      </c>
      <c r="Q891" s="17" t="s">
        <v>8003</v>
      </c>
      <c r="R891" s="18">
        <v>85</v>
      </c>
      <c r="S891" s="19">
        <f t="shared" si="5"/>
        <v>13770</v>
      </c>
      <c r="T891" s="12" t="s">
        <v>46</v>
      </c>
      <c r="U891" s="15"/>
      <c r="V891" s="19">
        <v>44610</v>
      </c>
      <c r="W891" s="49" t="s">
        <v>71</v>
      </c>
      <c r="X891" s="13"/>
      <c r="Y891" s="20"/>
      <c r="Z891" s="13">
        <v>3908263</v>
      </c>
      <c r="AA891" s="13"/>
      <c r="AB891" s="13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</row>
    <row r="892" spans="1:46" ht="45" customHeight="1">
      <c r="A892" s="12" t="s">
        <v>8004</v>
      </c>
      <c r="B892" s="13" t="s">
        <v>8005</v>
      </c>
      <c r="C892" s="14" t="s">
        <v>8006</v>
      </c>
      <c r="D892" s="15" t="s">
        <v>8007</v>
      </c>
      <c r="E892" s="15" t="s">
        <v>1849</v>
      </c>
      <c r="F892" s="15"/>
      <c r="G892" s="15" t="s">
        <v>8008</v>
      </c>
      <c r="H892" s="15" t="s">
        <v>2539</v>
      </c>
      <c r="I892" s="15" t="s">
        <v>38</v>
      </c>
      <c r="J892" s="15" t="s">
        <v>8008</v>
      </c>
      <c r="K892" s="15" t="s">
        <v>2539</v>
      </c>
      <c r="L892" s="15" t="s">
        <v>38</v>
      </c>
      <c r="M892" s="16" t="s">
        <v>8009</v>
      </c>
      <c r="N892" s="13" t="s">
        <v>8010</v>
      </c>
      <c r="O892" s="13"/>
      <c r="P892" s="15" t="s">
        <v>44</v>
      </c>
      <c r="Q892" s="17" t="s">
        <v>8011</v>
      </c>
      <c r="R892" s="18">
        <v>74</v>
      </c>
      <c r="S892" s="19">
        <f t="shared" si="5"/>
        <v>11988</v>
      </c>
      <c r="T892" s="12" t="s">
        <v>46</v>
      </c>
      <c r="U892" s="15"/>
      <c r="V892" s="19">
        <v>44610</v>
      </c>
      <c r="W892" s="49" t="s">
        <v>71</v>
      </c>
      <c r="X892" s="13"/>
      <c r="Y892" s="20">
        <v>3101865</v>
      </c>
      <c r="Z892" s="13"/>
      <c r="AA892" s="13"/>
      <c r="AB892" s="13">
        <v>4860734</v>
      </c>
      <c r="AC892" s="49">
        <v>5637370</v>
      </c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</row>
    <row r="893" spans="1:46" ht="45" customHeight="1">
      <c r="A893" s="12" t="s">
        <v>8012</v>
      </c>
      <c r="B893" s="13" t="s">
        <v>8013</v>
      </c>
      <c r="C893" s="14" t="s">
        <v>8014</v>
      </c>
      <c r="D893" s="15" t="s">
        <v>8015</v>
      </c>
      <c r="E893" s="15" t="s">
        <v>8016</v>
      </c>
      <c r="F893" s="15"/>
      <c r="G893" s="15" t="s">
        <v>8017</v>
      </c>
      <c r="H893" s="15" t="s">
        <v>630</v>
      </c>
      <c r="I893" s="15" t="s">
        <v>80</v>
      </c>
      <c r="J893" s="15" t="s">
        <v>8017</v>
      </c>
      <c r="K893" s="15" t="s">
        <v>630</v>
      </c>
      <c r="L893" s="15" t="s">
        <v>4791</v>
      </c>
      <c r="M893" s="16" t="s">
        <v>8018</v>
      </c>
      <c r="N893" s="13">
        <v>2612501602</v>
      </c>
      <c r="O893" s="13"/>
      <c r="P893" s="15" t="s">
        <v>8019</v>
      </c>
      <c r="Q893" s="17" t="s">
        <v>8020</v>
      </c>
      <c r="R893" s="18">
        <v>71</v>
      </c>
      <c r="S893" s="19">
        <f t="shared" si="5"/>
        <v>11502</v>
      </c>
      <c r="T893" s="12" t="s">
        <v>46</v>
      </c>
      <c r="U893" s="15"/>
      <c r="V893" s="19">
        <v>44610</v>
      </c>
      <c r="W893" s="15"/>
      <c r="X893" s="13">
        <v>1023330</v>
      </c>
      <c r="Y893" s="20"/>
      <c r="Z893" s="13"/>
      <c r="AA893" s="13"/>
      <c r="AB893" s="13">
        <v>4879498</v>
      </c>
      <c r="AC893" s="15"/>
      <c r="AD893" s="49">
        <v>6466841</v>
      </c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</row>
    <row r="894" spans="1:46" ht="45" customHeight="1">
      <c r="A894" s="12" t="s">
        <v>8021</v>
      </c>
      <c r="B894" s="13" t="s">
        <v>8022</v>
      </c>
      <c r="C894" s="66" t="s">
        <v>8023</v>
      </c>
      <c r="D894" s="15" t="s">
        <v>8024</v>
      </c>
      <c r="E894" s="15" t="s">
        <v>8025</v>
      </c>
      <c r="F894" s="15"/>
      <c r="G894" s="15" t="s">
        <v>8026</v>
      </c>
      <c r="H894" s="15"/>
      <c r="I894" s="15" t="s">
        <v>149</v>
      </c>
      <c r="J894" s="15" t="s">
        <v>8026</v>
      </c>
      <c r="K894" s="15"/>
      <c r="L894" s="15" t="s">
        <v>149</v>
      </c>
      <c r="M894" s="74" t="s">
        <v>8027</v>
      </c>
      <c r="N894" s="13" t="s">
        <v>8028</v>
      </c>
      <c r="O894" s="13"/>
      <c r="P894" s="15" t="s">
        <v>117</v>
      </c>
      <c r="Q894" s="17" t="s">
        <v>8029</v>
      </c>
      <c r="R894" s="18">
        <v>668</v>
      </c>
      <c r="S894" s="19">
        <f t="shared" si="5"/>
        <v>108216</v>
      </c>
      <c r="T894" s="12" t="s">
        <v>252</v>
      </c>
      <c r="U894" s="15"/>
      <c r="V894" s="19">
        <v>123900</v>
      </c>
      <c r="W894" s="49" t="s">
        <v>71</v>
      </c>
      <c r="X894" s="13"/>
      <c r="Y894" s="20"/>
      <c r="Z894" s="13"/>
      <c r="AA894" s="13"/>
      <c r="AB894" s="13"/>
      <c r="AC894" s="49">
        <v>5628057</v>
      </c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</row>
    <row r="895" spans="1:46" ht="45" customHeight="1">
      <c r="A895" s="12" t="s">
        <v>8030</v>
      </c>
      <c r="B895" s="13" t="s">
        <v>8031</v>
      </c>
      <c r="C895" s="66" t="s">
        <v>8032</v>
      </c>
      <c r="D895" s="15" t="s">
        <v>8033</v>
      </c>
      <c r="E895" s="15" t="s">
        <v>7485</v>
      </c>
      <c r="F895" s="15"/>
      <c r="G895" s="15" t="s">
        <v>8034</v>
      </c>
      <c r="H895" s="15"/>
      <c r="I895" s="15" t="s">
        <v>149</v>
      </c>
      <c r="J895" s="15" t="s">
        <v>8034</v>
      </c>
      <c r="K895" s="15"/>
      <c r="L895" s="15" t="s">
        <v>149</v>
      </c>
      <c r="M895" s="46" t="s">
        <v>3283</v>
      </c>
      <c r="N895" s="13" t="s">
        <v>3284</v>
      </c>
      <c r="O895" s="13"/>
      <c r="P895" s="15" t="s">
        <v>44</v>
      </c>
      <c r="Q895" s="17" t="s">
        <v>8035</v>
      </c>
      <c r="R895" s="18">
        <v>23</v>
      </c>
      <c r="S895" s="19">
        <f t="shared" si="5"/>
        <v>3726</v>
      </c>
      <c r="T895" s="12" t="s">
        <v>46</v>
      </c>
      <c r="U895" s="15"/>
      <c r="V895" s="19">
        <v>44610</v>
      </c>
      <c r="W895" s="15"/>
      <c r="X895" s="13"/>
      <c r="Y895" s="20">
        <v>3121404</v>
      </c>
      <c r="Z895" s="13"/>
      <c r="AA895" s="13"/>
      <c r="AB895" s="13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</row>
    <row r="896" spans="1:46" ht="45" customHeight="1">
      <c r="A896" s="12" t="s">
        <v>8036</v>
      </c>
      <c r="B896" s="13" t="s">
        <v>8037</v>
      </c>
      <c r="C896" s="14" t="s">
        <v>8038</v>
      </c>
      <c r="D896" s="15" t="s">
        <v>8039</v>
      </c>
      <c r="E896" s="15" t="s">
        <v>3197</v>
      </c>
      <c r="F896" s="15"/>
      <c r="G896" s="15" t="s">
        <v>8040</v>
      </c>
      <c r="H896" s="15"/>
      <c r="I896" s="15" t="s">
        <v>80</v>
      </c>
      <c r="J896" s="15" t="s">
        <v>8040</v>
      </c>
      <c r="K896" s="15"/>
      <c r="L896" s="15" t="s">
        <v>80</v>
      </c>
      <c r="M896" s="67" t="s">
        <v>8041</v>
      </c>
      <c r="N896" s="13" t="s">
        <v>8042</v>
      </c>
      <c r="O896" s="13"/>
      <c r="P896" s="15" t="s">
        <v>94</v>
      </c>
      <c r="Q896" s="17" t="s">
        <v>8043</v>
      </c>
      <c r="R896" s="18">
        <v>431</v>
      </c>
      <c r="S896" s="19">
        <f t="shared" si="5"/>
        <v>69822</v>
      </c>
      <c r="T896" s="12" t="s">
        <v>46</v>
      </c>
      <c r="U896" s="15"/>
      <c r="V896" s="19">
        <v>44610</v>
      </c>
      <c r="W896" s="49" t="s">
        <v>71</v>
      </c>
      <c r="X896" s="13">
        <v>1135057</v>
      </c>
      <c r="Y896" s="20"/>
      <c r="Z896" s="13"/>
      <c r="AA896" s="13">
        <v>4754477</v>
      </c>
      <c r="AB896" s="13"/>
      <c r="AC896" s="49">
        <v>5634249</v>
      </c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</row>
    <row r="897" spans="1:46" ht="45" customHeight="1">
      <c r="A897" s="12" t="s">
        <v>8044</v>
      </c>
      <c r="B897" s="13" t="s">
        <v>8045</v>
      </c>
      <c r="C897" s="14" t="s">
        <v>8046</v>
      </c>
      <c r="D897" s="15" t="s">
        <v>8047</v>
      </c>
      <c r="E897" s="15" t="s">
        <v>4466</v>
      </c>
      <c r="F897" s="15"/>
      <c r="G897" s="15" t="s">
        <v>8048</v>
      </c>
      <c r="H897" s="15"/>
      <c r="I897" s="15" t="s">
        <v>6104</v>
      </c>
      <c r="J897" s="15" t="s">
        <v>8048</v>
      </c>
      <c r="K897" s="15"/>
      <c r="L897" s="15" t="s">
        <v>1927</v>
      </c>
      <c r="M897" s="114" t="s">
        <v>5918</v>
      </c>
      <c r="N897" s="13">
        <v>261336899</v>
      </c>
      <c r="O897" s="13"/>
      <c r="P897" s="15" t="s">
        <v>94</v>
      </c>
      <c r="Q897" s="17" t="s">
        <v>8049</v>
      </c>
      <c r="R897" s="18">
        <v>346</v>
      </c>
      <c r="S897" s="19">
        <f t="shared" si="5"/>
        <v>56052</v>
      </c>
      <c r="T897" s="12" t="s">
        <v>46</v>
      </c>
      <c r="U897" s="15"/>
      <c r="V897" s="19">
        <v>44610</v>
      </c>
      <c r="W897" s="15" t="s">
        <v>71</v>
      </c>
      <c r="X897" s="13">
        <v>1015812</v>
      </c>
      <c r="Y897" s="20">
        <v>3063858</v>
      </c>
      <c r="Z897" s="13">
        <v>3790321</v>
      </c>
      <c r="AA897" s="13">
        <v>4629777</v>
      </c>
      <c r="AB897" s="13"/>
      <c r="AC897" s="15">
        <v>5499490</v>
      </c>
      <c r="AD897" s="49">
        <v>6482517</v>
      </c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</row>
    <row r="898" spans="1:46" ht="45" customHeight="1">
      <c r="A898" s="21" t="s">
        <v>8050</v>
      </c>
      <c r="B898" s="22" t="s">
        <v>8051</v>
      </c>
      <c r="C898" s="23" t="s">
        <v>8052</v>
      </c>
      <c r="D898" s="24" t="s">
        <v>8053</v>
      </c>
      <c r="E898" s="24" t="s">
        <v>8054</v>
      </c>
      <c r="F898" s="24"/>
      <c r="G898" s="24" t="s">
        <v>8055</v>
      </c>
      <c r="H898" s="24" t="s">
        <v>630</v>
      </c>
      <c r="I898" s="24" t="s">
        <v>8056</v>
      </c>
      <c r="J898" s="24" t="s">
        <v>8055</v>
      </c>
      <c r="K898" s="24" t="s">
        <v>630</v>
      </c>
      <c r="L898" s="24" t="s">
        <v>80</v>
      </c>
      <c r="M898" s="25" t="s">
        <v>8057</v>
      </c>
      <c r="N898" s="22">
        <v>2613058504</v>
      </c>
      <c r="O898" s="24"/>
      <c r="P898" s="171" t="s">
        <v>117</v>
      </c>
      <c r="Q898" s="172" t="s">
        <v>8058</v>
      </c>
      <c r="R898" s="29">
        <v>1408</v>
      </c>
      <c r="S898" s="30">
        <f t="shared" si="5"/>
        <v>228096</v>
      </c>
      <c r="T898" s="21" t="s">
        <v>198</v>
      </c>
      <c r="U898" s="30"/>
      <c r="V898" s="30">
        <v>215940</v>
      </c>
      <c r="W898" s="30" t="s">
        <v>71</v>
      </c>
      <c r="X898" s="22">
        <v>1008403</v>
      </c>
      <c r="Y898" s="31">
        <v>3088133</v>
      </c>
      <c r="Z898" s="22">
        <v>3823292</v>
      </c>
      <c r="AA898" s="22">
        <v>4625120</v>
      </c>
      <c r="AB898" s="22"/>
      <c r="AC898" s="24">
        <v>5511522</v>
      </c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</row>
    <row r="899" spans="1:46" ht="45" customHeight="1">
      <c r="A899" s="21" t="s">
        <v>8059</v>
      </c>
      <c r="B899" s="22" t="s">
        <v>8060</v>
      </c>
      <c r="C899" s="23" t="s">
        <v>8061</v>
      </c>
      <c r="D899" s="24" t="s">
        <v>7423</v>
      </c>
      <c r="E899" s="24" t="s">
        <v>8062</v>
      </c>
      <c r="F899" s="24"/>
      <c r="G899" s="24" t="s">
        <v>8063</v>
      </c>
      <c r="H899" s="24" t="s">
        <v>331</v>
      </c>
      <c r="I899" s="24" t="s">
        <v>41</v>
      </c>
      <c r="J899" s="24" t="s">
        <v>8063</v>
      </c>
      <c r="K899" s="24" t="s">
        <v>331</v>
      </c>
      <c r="L899" s="24" t="s">
        <v>41</v>
      </c>
      <c r="M899" s="25" t="s">
        <v>8064</v>
      </c>
      <c r="N899" s="22" t="s">
        <v>8065</v>
      </c>
      <c r="O899" s="24"/>
      <c r="P899" s="171" t="s">
        <v>117</v>
      </c>
      <c r="Q899" s="172" t="s">
        <v>8066</v>
      </c>
      <c r="R899" s="29">
        <v>3104</v>
      </c>
      <c r="S899" s="30">
        <f t="shared" si="5"/>
        <v>502848</v>
      </c>
      <c r="T899" s="21" t="s">
        <v>129</v>
      </c>
      <c r="U899" s="30"/>
      <c r="V899" s="30">
        <v>545160</v>
      </c>
      <c r="W899" s="30"/>
      <c r="X899" s="22">
        <v>1136125</v>
      </c>
      <c r="Y899" s="31"/>
      <c r="Z899" s="22"/>
      <c r="AA899" s="22"/>
      <c r="AB899" s="22">
        <v>4848135</v>
      </c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</row>
    <row r="900" spans="1:46" ht="45" customHeight="1">
      <c r="A900" s="79" t="s">
        <v>8067</v>
      </c>
      <c r="B900" s="80" t="s">
        <v>8068</v>
      </c>
      <c r="C900" s="81" t="s">
        <v>8069</v>
      </c>
      <c r="D900" s="82" t="s">
        <v>8070</v>
      </c>
      <c r="E900" s="82" t="s">
        <v>8071</v>
      </c>
      <c r="F900" s="82"/>
      <c r="G900" s="82" t="s">
        <v>8072</v>
      </c>
      <c r="H900" s="82"/>
      <c r="I900" s="82" t="s">
        <v>149</v>
      </c>
      <c r="J900" s="82" t="s">
        <v>8072</v>
      </c>
      <c r="K900" s="82"/>
      <c r="L900" s="82" t="s">
        <v>149</v>
      </c>
      <c r="M900" s="91" t="s">
        <v>8073</v>
      </c>
      <c r="N900" s="80" t="s">
        <v>8074</v>
      </c>
      <c r="O900" s="82"/>
      <c r="P900" s="173" t="s">
        <v>8075</v>
      </c>
      <c r="Q900" s="84" t="s">
        <v>8076</v>
      </c>
      <c r="R900" s="85" t="s">
        <v>770</v>
      </c>
      <c r="S900" s="86" t="e">
        <f t="shared" si="5"/>
        <v>#VALUE!</v>
      </c>
      <c r="T900" s="87" t="s">
        <v>770</v>
      </c>
      <c r="U900" s="86"/>
      <c r="V900" s="86">
        <v>0</v>
      </c>
      <c r="W900" s="86"/>
      <c r="X900" s="80"/>
      <c r="Y900" s="88"/>
      <c r="Z900" s="80"/>
      <c r="AA900" s="80"/>
      <c r="AB900" s="80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</row>
    <row r="901" spans="1:46" ht="45" customHeight="1">
      <c r="A901" s="12" t="s">
        <v>8077</v>
      </c>
      <c r="B901" s="47" t="s">
        <v>8078</v>
      </c>
      <c r="C901" s="14" t="s">
        <v>8079</v>
      </c>
      <c r="D901" s="15" t="s">
        <v>8080</v>
      </c>
      <c r="E901" s="15" t="s">
        <v>8081</v>
      </c>
      <c r="F901" s="15"/>
      <c r="G901" s="15" t="s">
        <v>8082</v>
      </c>
      <c r="H901" s="15" t="s">
        <v>3079</v>
      </c>
      <c r="I901" s="15" t="s">
        <v>53</v>
      </c>
      <c r="J901" s="15" t="s">
        <v>8083</v>
      </c>
      <c r="K901" s="15"/>
      <c r="L901" s="15" t="s">
        <v>115</v>
      </c>
      <c r="M901" s="114" t="s">
        <v>8084</v>
      </c>
      <c r="N901" s="13" t="s">
        <v>8085</v>
      </c>
      <c r="O901" s="13"/>
      <c r="P901" s="15" t="s">
        <v>7836</v>
      </c>
      <c r="Q901" s="17" t="s">
        <v>8086</v>
      </c>
      <c r="R901" s="18">
        <v>1271</v>
      </c>
      <c r="S901" s="19">
        <f t="shared" si="5"/>
        <v>205902</v>
      </c>
      <c r="T901" s="12" t="s">
        <v>198</v>
      </c>
      <c r="U901" s="15"/>
      <c r="V901" s="19">
        <v>215940</v>
      </c>
      <c r="W901" s="15"/>
      <c r="X901" s="13">
        <v>1133501</v>
      </c>
      <c r="Y901" s="20">
        <v>3120271</v>
      </c>
      <c r="Z901" s="174"/>
      <c r="AA901" s="13">
        <v>4753521</v>
      </c>
      <c r="AB901" s="13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</row>
    <row r="902" spans="1:46" ht="45" customHeight="1">
      <c r="A902" s="12" t="s">
        <v>8087</v>
      </c>
      <c r="B902" s="13" t="s">
        <v>8088</v>
      </c>
      <c r="C902" s="14" t="s">
        <v>8089</v>
      </c>
      <c r="D902" s="15" t="s">
        <v>7505</v>
      </c>
      <c r="E902" s="49" t="s">
        <v>8090</v>
      </c>
      <c r="F902" s="15"/>
      <c r="G902" s="15" t="s">
        <v>8091</v>
      </c>
      <c r="H902" s="15"/>
      <c r="I902" s="15" t="s">
        <v>38</v>
      </c>
      <c r="J902" s="15" t="s">
        <v>8091</v>
      </c>
      <c r="K902" s="15"/>
      <c r="L902" s="15" t="s">
        <v>38</v>
      </c>
      <c r="M902" s="114" t="s">
        <v>8092</v>
      </c>
      <c r="N902" s="47" t="s">
        <v>8093</v>
      </c>
      <c r="O902" s="13"/>
      <c r="P902" s="49" t="s">
        <v>2180</v>
      </c>
      <c r="Q902" s="17" t="s">
        <v>8094</v>
      </c>
      <c r="R902" s="18">
        <v>151</v>
      </c>
      <c r="S902" s="19">
        <f t="shared" si="5"/>
        <v>24462</v>
      </c>
      <c r="T902" s="12" t="s">
        <v>46</v>
      </c>
      <c r="U902" s="15"/>
      <c r="V902" s="19">
        <v>44610</v>
      </c>
      <c r="W902" s="15"/>
      <c r="X902" s="13"/>
      <c r="Y902" s="20"/>
      <c r="Z902" s="13"/>
      <c r="AA902" s="13">
        <v>4749555</v>
      </c>
      <c r="AB902" s="13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</row>
    <row r="903" spans="1:46" ht="45" customHeight="1">
      <c r="A903" s="12" t="s">
        <v>8095</v>
      </c>
      <c r="B903" s="13" t="s">
        <v>8096</v>
      </c>
      <c r="C903" s="14" t="s">
        <v>8097</v>
      </c>
      <c r="D903" s="15" t="s">
        <v>8098</v>
      </c>
      <c r="E903" s="15" t="s">
        <v>8099</v>
      </c>
      <c r="F903" s="15" t="s">
        <v>3444</v>
      </c>
      <c r="G903" s="15" t="s">
        <v>8100</v>
      </c>
      <c r="H903" s="15"/>
      <c r="I903" s="15" t="s">
        <v>149</v>
      </c>
      <c r="J903" s="15" t="s">
        <v>8100</v>
      </c>
      <c r="K903" s="15"/>
      <c r="L903" s="15" t="s">
        <v>149</v>
      </c>
      <c r="M903" s="145" t="s">
        <v>8101</v>
      </c>
      <c r="N903" s="13" t="s">
        <v>8102</v>
      </c>
      <c r="O903" s="69">
        <v>46377</v>
      </c>
      <c r="P903" s="15" t="s">
        <v>1381</v>
      </c>
      <c r="Q903" s="17" t="s">
        <v>8103</v>
      </c>
      <c r="R903" s="18">
        <v>221</v>
      </c>
      <c r="S903" s="19">
        <f t="shared" si="5"/>
        <v>35802</v>
      </c>
      <c r="T903" s="12" t="s">
        <v>46</v>
      </c>
      <c r="U903" s="15"/>
      <c r="V903" s="19">
        <f>44610/2</f>
        <v>22305</v>
      </c>
      <c r="W903" s="15"/>
      <c r="X903" s="13"/>
      <c r="Y903" s="20"/>
      <c r="Z903" s="13"/>
      <c r="AA903" s="13">
        <v>4633525</v>
      </c>
      <c r="AB903" s="13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</row>
    <row r="904" spans="1:46" ht="45" customHeight="1">
      <c r="A904" s="12" t="s">
        <v>8104</v>
      </c>
      <c r="B904" s="13" t="s">
        <v>8105</v>
      </c>
      <c r="C904" s="14" t="s">
        <v>8106</v>
      </c>
      <c r="D904" s="15" t="s">
        <v>8107</v>
      </c>
      <c r="E904" s="15" t="s">
        <v>7991</v>
      </c>
      <c r="F904" s="15" t="s">
        <v>7991</v>
      </c>
      <c r="G904" s="15" t="s">
        <v>8108</v>
      </c>
      <c r="H904" s="15"/>
      <c r="I904" s="15" t="s">
        <v>65</v>
      </c>
      <c r="J904" s="15" t="s">
        <v>6054</v>
      </c>
      <c r="K904" s="15"/>
      <c r="L904" s="15" t="s">
        <v>65</v>
      </c>
      <c r="M904" s="46" t="s">
        <v>8109</v>
      </c>
      <c r="N904" s="13" t="s">
        <v>8110</v>
      </c>
      <c r="O904" s="13"/>
      <c r="P904" s="15" t="s">
        <v>94</v>
      </c>
      <c r="Q904" s="17" t="s">
        <v>8111</v>
      </c>
      <c r="R904" s="18">
        <v>55</v>
      </c>
      <c r="S904" s="19">
        <f t="shared" si="5"/>
        <v>8910</v>
      </c>
      <c r="T904" s="12" t="s">
        <v>46</v>
      </c>
      <c r="U904" s="15"/>
      <c r="V904" s="19">
        <v>44610</v>
      </c>
      <c r="W904" s="15" t="s">
        <v>71</v>
      </c>
      <c r="X904" s="13"/>
      <c r="Y904" s="20">
        <v>3105348</v>
      </c>
      <c r="Z904" s="13">
        <v>3891529</v>
      </c>
      <c r="AA904" s="13">
        <v>4665178</v>
      </c>
      <c r="AB904" s="13"/>
      <c r="AC904" s="15">
        <v>5595660</v>
      </c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</row>
    <row r="905" spans="1:46" ht="45" customHeight="1">
      <c r="A905" s="12" t="s">
        <v>8112</v>
      </c>
      <c r="B905" s="13" t="s">
        <v>8113</v>
      </c>
      <c r="C905" s="66" t="s">
        <v>8114</v>
      </c>
      <c r="D905" s="15" t="s">
        <v>8115</v>
      </c>
      <c r="E905" s="15" t="s">
        <v>7991</v>
      </c>
      <c r="F905" s="15" t="s">
        <v>7991</v>
      </c>
      <c r="G905" s="15" t="s">
        <v>8116</v>
      </c>
      <c r="H905" s="15" t="s">
        <v>6890</v>
      </c>
      <c r="I905" s="15" t="s">
        <v>7704</v>
      </c>
      <c r="J905" s="15" t="s">
        <v>8117</v>
      </c>
      <c r="K905" s="15"/>
      <c r="L905" s="15" t="s">
        <v>41</v>
      </c>
      <c r="M905" s="16" t="s">
        <v>8118</v>
      </c>
      <c r="N905" s="13" t="s">
        <v>8119</v>
      </c>
      <c r="O905" s="13"/>
      <c r="P905" s="15" t="s">
        <v>94</v>
      </c>
      <c r="Q905" s="17" t="s">
        <v>8120</v>
      </c>
      <c r="R905" s="18">
        <v>17</v>
      </c>
      <c r="S905" s="19">
        <f t="shared" si="5"/>
        <v>2754</v>
      </c>
      <c r="T905" s="12" t="s">
        <v>46</v>
      </c>
      <c r="U905" s="15"/>
      <c r="V905" s="19">
        <v>44610</v>
      </c>
      <c r="W905" s="15"/>
      <c r="X905" s="13"/>
      <c r="Y905" s="20"/>
      <c r="Z905" s="13"/>
      <c r="AA905" s="13"/>
      <c r="AB905" s="13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</row>
    <row r="906" spans="1:46" ht="45" customHeight="1">
      <c r="A906" s="50" t="s">
        <v>8121</v>
      </c>
      <c r="B906" s="51" t="s">
        <v>8122</v>
      </c>
      <c r="C906" s="52" t="s">
        <v>8123</v>
      </c>
      <c r="D906" s="53" t="s">
        <v>8124</v>
      </c>
      <c r="E906" s="53"/>
      <c r="F906" s="53"/>
      <c r="G906" s="53" t="s">
        <v>8125</v>
      </c>
      <c r="H906" s="53"/>
      <c r="I906" s="53" t="s">
        <v>38</v>
      </c>
      <c r="J906" s="53" t="s">
        <v>8125</v>
      </c>
      <c r="K906" s="53"/>
      <c r="L906" s="53" t="s">
        <v>38</v>
      </c>
      <c r="M906" s="68"/>
      <c r="N906" s="51"/>
      <c r="O906" s="51"/>
      <c r="P906" s="53"/>
      <c r="Q906" s="55" t="s">
        <v>8126</v>
      </c>
      <c r="R906" s="56" t="s">
        <v>5746</v>
      </c>
      <c r="S906" s="57" t="e">
        <f t="shared" si="5"/>
        <v>#VALUE!</v>
      </c>
      <c r="T906" s="50" t="s">
        <v>5746</v>
      </c>
      <c r="U906" s="53"/>
      <c r="V906" s="57">
        <v>6300</v>
      </c>
      <c r="W906" s="53"/>
      <c r="X906" s="51"/>
      <c r="Y906" s="58"/>
      <c r="Z906" s="51"/>
      <c r="AA906" s="51"/>
      <c r="AB906" s="51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</row>
    <row r="907" spans="1:46" ht="45" customHeight="1">
      <c r="A907" s="12" t="s">
        <v>8127</v>
      </c>
      <c r="B907" s="13" t="s">
        <v>8128</v>
      </c>
      <c r="C907" s="14" t="s">
        <v>8129</v>
      </c>
      <c r="D907" s="15" t="s">
        <v>8130</v>
      </c>
      <c r="E907" s="15" t="s">
        <v>8131</v>
      </c>
      <c r="F907" s="15" t="s">
        <v>8131</v>
      </c>
      <c r="G907" s="15" t="s">
        <v>8132</v>
      </c>
      <c r="H907" s="15"/>
      <c r="I907" s="15" t="s">
        <v>149</v>
      </c>
      <c r="J907" s="15" t="s">
        <v>8132</v>
      </c>
      <c r="K907" s="15"/>
      <c r="L907" s="15" t="s">
        <v>149</v>
      </c>
      <c r="M907" s="16" t="s">
        <v>8133</v>
      </c>
      <c r="N907" s="13" t="s">
        <v>8134</v>
      </c>
      <c r="O907" s="69"/>
      <c r="P907" s="15" t="s">
        <v>3793</v>
      </c>
      <c r="Q907" s="17" t="s">
        <v>8135</v>
      </c>
      <c r="R907" s="18">
        <v>77</v>
      </c>
      <c r="S907" s="19">
        <f t="shared" si="5"/>
        <v>12474</v>
      </c>
      <c r="T907" s="12" t="s">
        <v>46</v>
      </c>
      <c r="U907" s="15"/>
      <c r="V907" s="19">
        <v>44610</v>
      </c>
      <c r="W907" s="15" t="s">
        <v>71</v>
      </c>
      <c r="X907" s="13">
        <v>1094949</v>
      </c>
      <c r="Y907" s="20">
        <v>3086529</v>
      </c>
      <c r="Z907" s="13">
        <v>3899720</v>
      </c>
      <c r="AA907" s="13">
        <v>4719845</v>
      </c>
      <c r="AB907" s="13"/>
      <c r="AC907" s="15">
        <v>5587080</v>
      </c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</row>
    <row r="908" spans="1:46" ht="45" customHeight="1">
      <c r="A908" s="12" t="s">
        <v>8136</v>
      </c>
      <c r="B908" s="13" t="s">
        <v>8137</v>
      </c>
      <c r="C908" s="14" t="s">
        <v>8138</v>
      </c>
      <c r="D908" s="15" t="s">
        <v>8139</v>
      </c>
      <c r="E908" s="15" t="s">
        <v>524</v>
      </c>
      <c r="F908" s="15" t="s">
        <v>524</v>
      </c>
      <c r="G908" s="15" t="s">
        <v>8140</v>
      </c>
      <c r="H908" s="15"/>
      <c r="I908" s="15" t="s">
        <v>149</v>
      </c>
      <c r="J908" s="15" t="s">
        <v>8140</v>
      </c>
      <c r="K908" s="15"/>
      <c r="L908" s="15" t="s">
        <v>149</v>
      </c>
      <c r="M908" s="46" t="s">
        <v>3283</v>
      </c>
      <c r="N908" s="13" t="s">
        <v>3284</v>
      </c>
      <c r="O908" s="13"/>
      <c r="P908" s="15" t="s">
        <v>44</v>
      </c>
      <c r="Q908" s="17" t="s">
        <v>8141</v>
      </c>
      <c r="R908" s="18">
        <v>34</v>
      </c>
      <c r="S908" s="19">
        <f t="shared" si="5"/>
        <v>5508</v>
      </c>
      <c r="T908" s="12" t="s">
        <v>46</v>
      </c>
      <c r="U908" s="15"/>
      <c r="V908" s="19">
        <v>44610</v>
      </c>
      <c r="W908" s="15" t="s">
        <v>47</v>
      </c>
      <c r="X908" s="13"/>
      <c r="Y908" s="20">
        <v>3111789</v>
      </c>
      <c r="Z908" s="13">
        <v>3856506</v>
      </c>
      <c r="AA908" s="13">
        <v>4749623</v>
      </c>
      <c r="AB908" s="13"/>
      <c r="AC908" s="15">
        <v>5571155</v>
      </c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</row>
    <row r="909" spans="1:46" ht="45" customHeight="1">
      <c r="A909" s="12" t="s">
        <v>8142</v>
      </c>
      <c r="B909" s="13" t="s">
        <v>8143</v>
      </c>
      <c r="C909" s="14" t="s">
        <v>8144</v>
      </c>
      <c r="D909" s="15" t="s">
        <v>8145</v>
      </c>
      <c r="E909" s="15" t="s">
        <v>524</v>
      </c>
      <c r="F909" s="15" t="s">
        <v>524</v>
      </c>
      <c r="G909" s="15" t="s">
        <v>8146</v>
      </c>
      <c r="H909" s="15"/>
      <c r="I909" s="15" t="s">
        <v>149</v>
      </c>
      <c r="J909" s="15" t="s">
        <v>8146</v>
      </c>
      <c r="K909" s="15"/>
      <c r="L909" s="15" t="s">
        <v>149</v>
      </c>
      <c r="M909" s="46" t="s">
        <v>8147</v>
      </c>
      <c r="N909" s="13" t="s">
        <v>8148</v>
      </c>
      <c r="O909" s="13"/>
      <c r="P909" s="15" t="s">
        <v>44</v>
      </c>
      <c r="Q909" s="17" t="s">
        <v>8149</v>
      </c>
      <c r="R909" s="18">
        <v>32</v>
      </c>
      <c r="S909" s="19">
        <f t="shared" si="5"/>
        <v>5184</v>
      </c>
      <c r="T909" s="12" t="s">
        <v>46</v>
      </c>
      <c r="U909" s="15"/>
      <c r="V909" s="19">
        <v>44610</v>
      </c>
      <c r="W909" s="15" t="s">
        <v>71</v>
      </c>
      <c r="X909" s="13">
        <v>1021838</v>
      </c>
      <c r="Y909" s="20">
        <v>3090515</v>
      </c>
      <c r="Z909" s="13">
        <v>3886239</v>
      </c>
      <c r="AA909" s="13">
        <v>4718626</v>
      </c>
      <c r="AB909" s="13"/>
      <c r="AC909" s="15">
        <v>5596627</v>
      </c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</row>
    <row r="910" spans="1:46" ht="45" customHeight="1">
      <c r="A910" s="12" t="s">
        <v>8150</v>
      </c>
      <c r="B910" s="13" t="s">
        <v>8151</v>
      </c>
      <c r="C910" s="14" t="s">
        <v>8152</v>
      </c>
      <c r="D910" s="15" t="s">
        <v>8153</v>
      </c>
      <c r="E910" s="15"/>
      <c r="F910" s="145"/>
      <c r="G910" s="15" t="s">
        <v>8154</v>
      </c>
      <c r="H910" s="15"/>
      <c r="I910" s="15" t="s">
        <v>332</v>
      </c>
      <c r="J910" s="15" t="s">
        <v>8155</v>
      </c>
      <c r="K910" s="15"/>
      <c r="L910" s="15" t="s">
        <v>332</v>
      </c>
      <c r="M910" s="16" t="s">
        <v>8156</v>
      </c>
      <c r="N910" s="13">
        <v>2615583428</v>
      </c>
      <c r="O910" s="13"/>
      <c r="P910" s="15" t="s">
        <v>7334</v>
      </c>
      <c r="Q910" s="17" t="s">
        <v>8157</v>
      </c>
      <c r="R910" s="18">
        <v>150</v>
      </c>
      <c r="S910" s="19">
        <f t="shared" si="5"/>
        <v>24300</v>
      </c>
      <c r="T910" s="12" t="s">
        <v>46</v>
      </c>
      <c r="U910" s="15"/>
      <c r="V910" s="19">
        <v>44610</v>
      </c>
      <c r="W910" s="15"/>
      <c r="X910" s="13"/>
      <c r="Y910" s="20"/>
      <c r="Z910" s="13"/>
      <c r="AA910" s="13">
        <v>4755621</v>
      </c>
      <c r="AB910" s="13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</row>
    <row r="911" spans="1:46" ht="45" customHeight="1">
      <c r="A911" s="12" t="s">
        <v>8158</v>
      </c>
      <c r="B911" s="13" t="s">
        <v>8159</v>
      </c>
      <c r="C911" s="139" t="s">
        <v>8160</v>
      </c>
      <c r="D911" s="15" t="s">
        <v>3306</v>
      </c>
      <c r="E911" s="15" t="s">
        <v>8161</v>
      </c>
      <c r="F911" s="15"/>
      <c r="G911" s="15" t="s">
        <v>8162</v>
      </c>
      <c r="H911" s="15"/>
      <c r="I911" s="15" t="s">
        <v>65</v>
      </c>
      <c r="J911" s="15" t="s">
        <v>8162</v>
      </c>
      <c r="K911" s="15"/>
      <c r="L911" s="15" t="s">
        <v>65</v>
      </c>
      <c r="M911" s="46" t="s">
        <v>3308</v>
      </c>
      <c r="N911" s="13" t="s">
        <v>3309</v>
      </c>
      <c r="O911" s="13"/>
      <c r="P911" s="15" t="s">
        <v>44</v>
      </c>
      <c r="Q911" s="17" t="s">
        <v>8163</v>
      </c>
      <c r="R911" s="18">
        <v>35</v>
      </c>
      <c r="S911" s="19">
        <f t="shared" si="5"/>
        <v>5670</v>
      </c>
      <c r="T911" s="12" t="s">
        <v>46</v>
      </c>
      <c r="U911" s="15"/>
      <c r="V911" s="19">
        <v>44610</v>
      </c>
      <c r="W911" s="49" t="s">
        <v>71</v>
      </c>
      <c r="X911" s="13">
        <v>1107535</v>
      </c>
      <c r="Y911" s="20"/>
      <c r="Z911" s="13">
        <v>3908294</v>
      </c>
      <c r="AA911" s="13">
        <v>4753650</v>
      </c>
      <c r="AB911" s="13"/>
      <c r="AC911" s="49">
        <v>5632846</v>
      </c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</row>
    <row r="912" spans="1:46" ht="45" customHeight="1">
      <c r="A912" s="21" t="s">
        <v>8164</v>
      </c>
      <c r="B912" s="22" t="s">
        <v>8165</v>
      </c>
      <c r="C912" s="23" t="s">
        <v>8166</v>
      </c>
      <c r="D912" s="24" t="s">
        <v>8167</v>
      </c>
      <c r="E912" s="24" t="s">
        <v>8168</v>
      </c>
      <c r="F912" s="24"/>
      <c r="G912" s="24" t="s">
        <v>8169</v>
      </c>
      <c r="H912" s="24" t="s">
        <v>3079</v>
      </c>
      <c r="I912" s="24" t="s">
        <v>53</v>
      </c>
      <c r="J912" s="24" t="s">
        <v>8169</v>
      </c>
      <c r="K912" s="24" t="s">
        <v>8170</v>
      </c>
      <c r="L912" s="24" t="s">
        <v>53</v>
      </c>
      <c r="M912" s="25" t="s">
        <v>8171</v>
      </c>
      <c r="N912" s="22" t="s">
        <v>8172</v>
      </c>
      <c r="O912" s="26">
        <v>46196</v>
      </c>
      <c r="P912" s="24" t="s">
        <v>94</v>
      </c>
      <c r="Q912" s="17" t="s">
        <v>8173</v>
      </c>
      <c r="R912" s="29">
        <v>1392</v>
      </c>
      <c r="S912" s="30">
        <f t="shared" si="5"/>
        <v>225504</v>
      </c>
      <c r="T912" s="21" t="s">
        <v>198</v>
      </c>
      <c r="U912" s="24"/>
      <c r="V912" s="44">
        <v>107970</v>
      </c>
      <c r="W912" s="24" t="s">
        <v>71</v>
      </c>
      <c r="X912" s="22"/>
      <c r="Y912" s="31"/>
      <c r="Z912" s="22"/>
      <c r="AA912" s="22">
        <v>4733109</v>
      </c>
      <c r="AB912" s="22"/>
      <c r="AC912" s="24">
        <v>5508186</v>
      </c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</row>
    <row r="913" spans="1:46" ht="45" customHeight="1">
      <c r="A913" s="12" t="s">
        <v>8174</v>
      </c>
      <c r="B913" s="13" t="s">
        <v>8175</v>
      </c>
      <c r="C913" s="14" t="s">
        <v>8176</v>
      </c>
      <c r="D913" s="15" t="s">
        <v>8177</v>
      </c>
      <c r="E913" s="15" t="s">
        <v>8178</v>
      </c>
      <c r="F913" s="15"/>
      <c r="G913" s="15" t="s">
        <v>8179</v>
      </c>
      <c r="H913" s="15"/>
      <c r="I913" s="15" t="s">
        <v>149</v>
      </c>
      <c r="J913" s="15" t="s">
        <v>8180</v>
      </c>
      <c r="K913" s="15"/>
      <c r="L913" s="15" t="s">
        <v>149</v>
      </c>
      <c r="M913" s="46" t="s">
        <v>8181</v>
      </c>
      <c r="N913" s="13" t="s">
        <v>8182</v>
      </c>
      <c r="O913" s="13"/>
      <c r="P913" s="15" t="s">
        <v>94</v>
      </c>
      <c r="Q913" s="17" t="s">
        <v>8183</v>
      </c>
      <c r="R913" s="18">
        <v>71</v>
      </c>
      <c r="S913" s="19">
        <f t="shared" si="5"/>
        <v>11502</v>
      </c>
      <c r="T913" s="12" t="s">
        <v>46</v>
      </c>
      <c r="U913" s="15"/>
      <c r="V913" s="19">
        <v>44610</v>
      </c>
      <c r="W913" s="15" t="s">
        <v>47</v>
      </c>
      <c r="X913" s="13">
        <v>1021621</v>
      </c>
      <c r="Y913" s="20"/>
      <c r="Z913" s="13">
        <v>3860579</v>
      </c>
      <c r="AA913" s="13"/>
      <c r="AB913" s="13"/>
      <c r="AC913" s="15">
        <v>5575160</v>
      </c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</row>
    <row r="914" spans="1:46" ht="45" customHeight="1">
      <c r="A914" s="12" t="s">
        <v>8184</v>
      </c>
      <c r="B914" s="13" t="s">
        <v>8185</v>
      </c>
      <c r="C914" s="14" t="s">
        <v>8186</v>
      </c>
      <c r="D914" s="15" t="s">
        <v>8187</v>
      </c>
      <c r="E914" s="15" t="s">
        <v>8178</v>
      </c>
      <c r="F914" s="15"/>
      <c r="G914" s="15" t="s">
        <v>8188</v>
      </c>
      <c r="H914" s="15" t="s">
        <v>8189</v>
      </c>
      <c r="I914" s="15" t="s">
        <v>80</v>
      </c>
      <c r="J914" s="15" t="s">
        <v>8190</v>
      </c>
      <c r="K914" s="15"/>
      <c r="L914" s="15" t="s">
        <v>149</v>
      </c>
      <c r="M914" s="46" t="s">
        <v>3283</v>
      </c>
      <c r="N914" s="13" t="s">
        <v>8191</v>
      </c>
      <c r="O914" s="13"/>
      <c r="P914" s="15" t="s">
        <v>44</v>
      </c>
      <c r="Q914" s="17" t="s">
        <v>8192</v>
      </c>
      <c r="R914" s="18">
        <v>19</v>
      </c>
      <c r="S914" s="19">
        <f t="shared" si="5"/>
        <v>3078</v>
      </c>
      <c r="T914" s="12" t="s">
        <v>46</v>
      </c>
      <c r="U914" s="15"/>
      <c r="V914" s="19">
        <v>44610</v>
      </c>
      <c r="W914" s="15" t="s">
        <v>71</v>
      </c>
      <c r="X914" s="13">
        <v>1038250</v>
      </c>
      <c r="Y914" s="20">
        <v>3121412</v>
      </c>
      <c r="Z914" s="13">
        <v>3832917</v>
      </c>
      <c r="AA914" s="13">
        <v>4709435</v>
      </c>
      <c r="AB914" s="13"/>
      <c r="AC914" s="15">
        <v>5571168</v>
      </c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</row>
    <row r="915" spans="1:46" ht="45" customHeight="1">
      <c r="A915" s="40" t="s">
        <v>8193</v>
      </c>
      <c r="B915" s="33" t="s">
        <v>8194</v>
      </c>
      <c r="C915" s="34" t="s">
        <v>8195</v>
      </c>
      <c r="D915" s="35" t="s">
        <v>8196</v>
      </c>
      <c r="E915" s="35" t="s">
        <v>8178</v>
      </c>
      <c r="F915" s="35"/>
      <c r="G915" s="35" t="s">
        <v>8197</v>
      </c>
      <c r="H915" s="35" t="s">
        <v>8198</v>
      </c>
      <c r="I915" s="35" t="s">
        <v>115</v>
      </c>
      <c r="J915" s="35" t="s">
        <v>8199</v>
      </c>
      <c r="K915" s="35"/>
      <c r="L915" s="35" t="s">
        <v>149</v>
      </c>
      <c r="M915" s="36" t="s">
        <v>8200</v>
      </c>
      <c r="N915" s="33" t="s">
        <v>8201</v>
      </c>
      <c r="O915" s="33"/>
      <c r="P915" s="35" t="s">
        <v>44</v>
      </c>
      <c r="Q915" s="37" t="s">
        <v>8202</v>
      </c>
      <c r="R915" s="38">
        <v>18</v>
      </c>
      <c r="S915" s="39">
        <f t="shared" si="5"/>
        <v>2916</v>
      </c>
      <c r="T915" s="40" t="s">
        <v>46</v>
      </c>
      <c r="U915" s="35"/>
      <c r="V915" s="39">
        <v>44610</v>
      </c>
      <c r="W915" s="35"/>
      <c r="X915" s="33"/>
      <c r="Y915" s="41"/>
      <c r="Z915" s="33"/>
      <c r="AA915" s="33"/>
      <c r="AB915" s="33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</row>
    <row r="916" spans="1:46" ht="45" customHeight="1">
      <c r="A916" s="12" t="s">
        <v>8203</v>
      </c>
      <c r="B916" s="13" t="s">
        <v>8204</v>
      </c>
      <c r="C916" s="14" t="s">
        <v>8205</v>
      </c>
      <c r="D916" s="15" t="s">
        <v>8206</v>
      </c>
      <c r="E916" s="15" t="s">
        <v>8207</v>
      </c>
      <c r="F916" s="15"/>
      <c r="G916" s="15" t="s">
        <v>8208</v>
      </c>
      <c r="H916" s="15"/>
      <c r="I916" s="15" t="s">
        <v>38</v>
      </c>
      <c r="J916" s="15" t="s">
        <v>8209</v>
      </c>
      <c r="K916" s="15" t="s">
        <v>1212</v>
      </c>
      <c r="L916" s="15" t="s">
        <v>80</v>
      </c>
      <c r="M916" s="74" t="s">
        <v>8210</v>
      </c>
      <c r="N916" s="13">
        <v>2616225378</v>
      </c>
      <c r="O916" s="13"/>
      <c r="P916" s="15" t="s">
        <v>117</v>
      </c>
      <c r="Q916" s="17" t="s">
        <v>8211</v>
      </c>
      <c r="R916" s="18">
        <v>152</v>
      </c>
      <c r="S916" s="19">
        <f t="shared" si="5"/>
        <v>24624</v>
      </c>
      <c r="T916" s="12" t="s">
        <v>46</v>
      </c>
      <c r="U916" s="15"/>
      <c r="V916" s="19">
        <v>44610</v>
      </c>
      <c r="W916" s="15"/>
      <c r="X916" s="13"/>
      <c r="Y916" s="20"/>
      <c r="Z916" s="13"/>
      <c r="AA916" s="13"/>
      <c r="AB916" s="13">
        <v>4870034</v>
      </c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</row>
    <row r="917" spans="1:46" ht="45" customHeight="1">
      <c r="A917" s="12" t="s">
        <v>8212</v>
      </c>
      <c r="B917" s="13" t="s">
        <v>8213</v>
      </c>
      <c r="C917" s="14" t="s">
        <v>8214</v>
      </c>
      <c r="D917" s="15" t="s">
        <v>8215</v>
      </c>
      <c r="E917" s="15" t="s">
        <v>8216</v>
      </c>
      <c r="F917" s="15"/>
      <c r="G917" s="15" t="s">
        <v>8217</v>
      </c>
      <c r="H917" s="15" t="s">
        <v>8218</v>
      </c>
      <c r="I917" s="15" t="s">
        <v>7704</v>
      </c>
      <c r="J917" s="15" t="s">
        <v>8217</v>
      </c>
      <c r="K917" s="15" t="s">
        <v>8218</v>
      </c>
      <c r="L917" s="15" t="s">
        <v>7704</v>
      </c>
      <c r="M917" s="67" t="s">
        <v>8219</v>
      </c>
      <c r="N917" s="13">
        <v>2994235567</v>
      </c>
      <c r="O917" s="13"/>
      <c r="P917" s="15" t="s">
        <v>1310</v>
      </c>
      <c r="Q917" s="17" t="s">
        <v>8220</v>
      </c>
      <c r="R917" s="18">
        <v>40</v>
      </c>
      <c r="S917" s="19">
        <f t="shared" si="5"/>
        <v>6480</v>
      </c>
      <c r="T917" s="12" t="s">
        <v>46</v>
      </c>
      <c r="U917" s="15"/>
      <c r="V917" s="19">
        <v>44610</v>
      </c>
      <c r="W917" s="49" t="s">
        <v>71</v>
      </c>
      <c r="X917" s="13"/>
      <c r="Y917" s="20"/>
      <c r="Z917" s="13"/>
      <c r="AA917" s="13">
        <v>4755855</v>
      </c>
      <c r="AB917" s="13"/>
      <c r="AC917" s="49">
        <v>5635450</v>
      </c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</row>
    <row r="918" spans="1:46" ht="45" customHeight="1">
      <c r="A918" s="40" t="s">
        <v>8221</v>
      </c>
      <c r="B918" s="33" t="s">
        <v>8222</v>
      </c>
      <c r="C918" s="34" t="s">
        <v>8223</v>
      </c>
      <c r="D918" s="35" t="s">
        <v>8224</v>
      </c>
      <c r="E918" s="35" t="s">
        <v>8225</v>
      </c>
      <c r="F918" s="35"/>
      <c r="G918" s="35" t="s">
        <v>8226</v>
      </c>
      <c r="H918" s="35" t="s">
        <v>8227</v>
      </c>
      <c r="I918" s="35" t="s">
        <v>80</v>
      </c>
      <c r="J918" s="35" t="s">
        <v>8226</v>
      </c>
      <c r="K918" s="35" t="s">
        <v>8227</v>
      </c>
      <c r="L918" s="35" t="s">
        <v>80</v>
      </c>
      <c r="M918" s="36" t="s">
        <v>8228</v>
      </c>
      <c r="N918" s="33" t="s">
        <v>8229</v>
      </c>
      <c r="O918" s="33"/>
      <c r="P918" s="35"/>
      <c r="Q918" s="37" t="s">
        <v>8230</v>
      </c>
      <c r="R918" s="38">
        <v>20</v>
      </c>
      <c r="S918" s="39">
        <f t="shared" si="5"/>
        <v>3240</v>
      </c>
      <c r="T918" s="40" t="s">
        <v>46</v>
      </c>
      <c r="U918" s="35"/>
      <c r="V918" s="39">
        <v>44610</v>
      </c>
      <c r="W918" s="35"/>
      <c r="X918" s="33"/>
      <c r="Y918" s="41"/>
      <c r="Z918" s="33"/>
      <c r="AA918" s="33"/>
      <c r="AB918" s="33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</row>
    <row r="919" spans="1:46" ht="45" customHeight="1">
      <c r="A919" s="79" t="s">
        <v>8231</v>
      </c>
      <c r="B919" s="80" t="s">
        <v>8232</v>
      </c>
      <c r="C919" s="81" t="s">
        <v>8233</v>
      </c>
      <c r="D919" s="82" t="s">
        <v>8234</v>
      </c>
      <c r="E919" s="82" t="s">
        <v>8235</v>
      </c>
      <c r="F919" s="82"/>
      <c r="G919" s="82" t="s">
        <v>8236</v>
      </c>
      <c r="H919" s="82" t="s">
        <v>372</v>
      </c>
      <c r="I919" s="82" t="s">
        <v>352</v>
      </c>
      <c r="J919" s="82" t="s">
        <v>8236</v>
      </c>
      <c r="K919" s="82" t="s">
        <v>372</v>
      </c>
      <c r="L919" s="82" t="s">
        <v>352</v>
      </c>
      <c r="M919" s="175" t="s">
        <v>8237</v>
      </c>
      <c r="N919" s="80" t="s">
        <v>8238</v>
      </c>
      <c r="O919" s="80"/>
      <c r="P919" s="82" t="s">
        <v>94</v>
      </c>
      <c r="Q919" s="84" t="s">
        <v>8239</v>
      </c>
      <c r="R919" s="85" t="s">
        <v>770</v>
      </c>
      <c r="S919" s="86" t="e">
        <f t="shared" si="5"/>
        <v>#VALUE!</v>
      </c>
      <c r="T919" s="87" t="s">
        <v>770</v>
      </c>
      <c r="U919" s="82"/>
      <c r="V919" s="86">
        <v>0</v>
      </c>
      <c r="W919" s="82" t="s">
        <v>47</v>
      </c>
      <c r="X919" s="80">
        <v>1136796</v>
      </c>
      <c r="Y919" s="88"/>
      <c r="Z919" s="80"/>
      <c r="AA919" s="80">
        <v>4683144</v>
      </c>
      <c r="AB919" s="80"/>
      <c r="AC919" s="82">
        <v>5548771</v>
      </c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</row>
    <row r="920" spans="1:46" ht="45" customHeight="1">
      <c r="A920" s="12" t="s">
        <v>8240</v>
      </c>
      <c r="B920" s="13" t="s">
        <v>8241</v>
      </c>
      <c r="C920" s="14" t="s">
        <v>8242</v>
      </c>
      <c r="D920" s="15" t="s">
        <v>8243</v>
      </c>
      <c r="E920" s="15" t="s">
        <v>890</v>
      </c>
      <c r="F920" s="15" t="s">
        <v>8244</v>
      </c>
      <c r="G920" s="15" t="s">
        <v>8245</v>
      </c>
      <c r="H920" s="15" t="s">
        <v>149</v>
      </c>
      <c r="I920" s="15" t="s">
        <v>149</v>
      </c>
      <c r="J920" s="15" t="s">
        <v>8245</v>
      </c>
      <c r="K920" s="15" t="s">
        <v>149</v>
      </c>
      <c r="L920" s="15" t="s">
        <v>149</v>
      </c>
      <c r="M920" s="46" t="s">
        <v>8246</v>
      </c>
      <c r="N920" s="13">
        <v>2616379020</v>
      </c>
      <c r="O920" s="13"/>
      <c r="P920" s="15" t="s">
        <v>94</v>
      </c>
      <c r="Q920" s="17" t="s">
        <v>8247</v>
      </c>
      <c r="R920" s="18">
        <v>194</v>
      </c>
      <c r="S920" s="19">
        <f t="shared" si="5"/>
        <v>31428</v>
      </c>
      <c r="T920" s="12" t="s">
        <v>46</v>
      </c>
      <c r="U920" s="15"/>
      <c r="V920" s="19">
        <v>44610</v>
      </c>
      <c r="W920" s="15"/>
      <c r="X920" s="13">
        <v>1135478</v>
      </c>
      <c r="Y920" s="20"/>
      <c r="Z920" s="13"/>
      <c r="AA920" s="13"/>
      <c r="AB920" s="13">
        <v>4850615</v>
      </c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</row>
    <row r="921" spans="1:46" ht="45" customHeight="1">
      <c r="A921" s="21" t="s">
        <v>8248</v>
      </c>
      <c r="B921" s="22" t="s">
        <v>8249</v>
      </c>
      <c r="C921" s="23" t="s">
        <v>8250</v>
      </c>
      <c r="D921" s="24" t="s">
        <v>3378</v>
      </c>
      <c r="E921" s="24" t="s">
        <v>8251</v>
      </c>
      <c r="F921" s="24" t="s">
        <v>8251</v>
      </c>
      <c r="G921" s="24" t="s">
        <v>8252</v>
      </c>
      <c r="H921" s="24" t="s">
        <v>8253</v>
      </c>
      <c r="I921" s="24" t="s">
        <v>38</v>
      </c>
      <c r="J921" s="24" t="s">
        <v>8252</v>
      </c>
      <c r="K921" s="24" t="s">
        <v>8253</v>
      </c>
      <c r="L921" s="24" t="s">
        <v>38</v>
      </c>
      <c r="M921" s="25" t="s">
        <v>8254</v>
      </c>
      <c r="N921" s="22" t="s">
        <v>8255</v>
      </c>
      <c r="O921" s="71">
        <v>46541</v>
      </c>
      <c r="P921" s="24" t="s">
        <v>2111</v>
      </c>
      <c r="Q921" s="17" t="s">
        <v>8256</v>
      </c>
      <c r="R921" s="29">
        <v>643</v>
      </c>
      <c r="S921" s="30">
        <f t="shared" si="5"/>
        <v>104166</v>
      </c>
      <c r="T921" s="21" t="s">
        <v>252</v>
      </c>
      <c r="U921" s="24"/>
      <c r="V921" s="30">
        <v>123900</v>
      </c>
      <c r="W921" s="45" t="s">
        <v>71</v>
      </c>
      <c r="X921" s="22"/>
      <c r="Y921" s="31">
        <v>3115738</v>
      </c>
      <c r="Z921" s="22">
        <v>3906722</v>
      </c>
      <c r="AA921" s="22">
        <v>4757731</v>
      </c>
      <c r="AB921" s="22"/>
      <c r="AC921" s="45">
        <v>5633443</v>
      </c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</row>
    <row r="922" spans="1:46" ht="45" customHeight="1">
      <c r="A922" s="12" t="s">
        <v>8257</v>
      </c>
      <c r="B922" s="13" t="s">
        <v>8258</v>
      </c>
      <c r="C922" s="14" t="s">
        <v>8259</v>
      </c>
      <c r="D922" s="15" t="s">
        <v>8260</v>
      </c>
      <c r="E922" s="15" t="s">
        <v>8261</v>
      </c>
      <c r="F922" s="15" t="s">
        <v>8261</v>
      </c>
      <c r="G922" s="15" t="s">
        <v>8262</v>
      </c>
      <c r="H922" s="15" t="s">
        <v>8263</v>
      </c>
      <c r="I922" s="15" t="s">
        <v>8263</v>
      </c>
      <c r="J922" s="49" t="s">
        <v>8264</v>
      </c>
      <c r="K922" s="15" t="s">
        <v>8263</v>
      </c>
      <c r="L922" s="15" t="s">
        <v>8263</v>
      </c>
      <c r="M922" s="114" t="s">
        <v>8265</v>
      </c>
      <c r="N922" s="13" t="s">
        <v>8266</v>
      </c>
      <c r="O922" s="13"/>
      <c r="P922" s="15" t="s">
        <v>94</v>
      </c>
      <c r="Q922" s="17" t="s">
        <v>8267</v>
      </c>
      <c r="R922" s="18">
        <v>23</v>
      </c>
      <c r="S922" s="19">
        <f t="shared" si="5"/>
        <v>3726</v>
      </c>
      <c r="T922" s="12" t="s">
        <v>46</v>
      </c>
      <c r="U922" s="15"/>
      <c r="V922" s="19">
        <v>44610</v>
      </c>
      <c r="W922" s="49" t="s">
        <v>71</v>
      </c>
      <c r="X922" s="13">
        <v>1019701</v>
      </c>
      <c r="Y922" s="20"/>
      <c r="Z922" s="13"/>
      <c r="AA922" s="13">
        <v>4678241</v>
      </c>
      <c r="AB922" s="13"/>
      <c r="AC922" s="49">
        <v>5629583</v>
      </c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</row>
    <row r="923" spans="1:46" ht="45" customHeight="1">
      <c r="A923" s="12" t="s">
        <v>8268</v>
      </c>
      <c r="B923" s="13" t="s">
        <v>8269</v>
      </c>
      <c r="C923" s="14" t="s">
        <v>8270</v>
      </c>
      <c r="D923" s="15" t="s">
        <v>8271</v>
      </c>
      <c r="E923" s="15" t="s">
        <v>8272</v>
      </c>
      <c r="F923" s="15" t="s">
        <v>8273</v>
      </c>
      <c r="G923" s="15" t="s">
        <v>8274</v>
      </c>
      <c r="H923" s="15" t="s">
        <v>2652</v>
      </c>
      <c r="I923" s="15" t="s">
        <v>53</v>
      </c>
      <c r="J923" s="15" t="s">
        <v>8275</v>
      </c>
      <c r="K923" s="15"/>
      <c r="L923" s="49" t="s">
        <v>65</v>
      </c>
      <c r="M923" s="74" t="s">
        <v>8276</v>
      </c>
      <c r="N923" s="13" t="s">
        <v>8277</v>
      </c>
      <c r="O923" s="13"/>
      <c r="P923" s="15" t="s">
        <v>94</v>
      </c>
      <c r="Q923" s="17" t="s">
        <v>8278</v>
      </c>
      <c r="R923" s="18">
        <v>221</v>
      </c>
      <c r="S923" s="19">
        <f t="shared" si="5"/>
        <v>35802</v>
      </c>
      <c r="T923" s="12" t="s">
        <v>46</v>
      </c>
      <c r="U923" s="15"/>
      <c r="V923" s="19">
        <v>44610</v>
      </c>
      <c r="W923" s="15"/>
      <c r="X923" s="13"/>
      <c r="Y923" s="20"/>
      <c r="Z923" s="13"/>
      <c r="AA923" s="13" t="s">
        <v>8279</v>
      </c>
      <c r="AB923" s="13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</row>
    <row r="924" spans="1:46" ht="45" customHeight="1">
      <c r="A924" s="21" t="s">
        <v>8280</v>
      </c>
      <c r="B924" s="22" t="s">
        <v>8281</v>
      </c>
      <c r="C924" s="23" t="s">
        <v>8282</v>
      </c>
      <c r="D924" s="24" t="s">
        <v>8283</v>
      </c>
      <c r="E924" s="24" t="s">
        <v>8284</v>
      </c>
      <c r="F924" s="24" t="s">
        <v>8285</v>
      </c>
      <c r="G924" s="24" t="s">
        <v>8286</v>
      </c>
      <c r="H924" s="24" t="s">
        <v>8253</v>
      </c>
      <c r="I924" s="24" t="s">
        <v>38</v>
      </c>
      <c r="J924" s="24" t="s">
        <v>8286</v>
      </c>
      <c r="K924" s="24" t="s">
        <v>8253</v>
      </c>
      <c r="L924" s="24" t="s">
        <v>38</v>
      </c>
      <c r="M924" s="59" t="s">
        <v>8287</v>
      </c>
      <c r="N924" s="22" t="s">
        <v>8288</v>
      </c>
      <c r="O924" s="22"/>
      <c r="P924" s="24" t="s">
        <v>3858</v>
      </c>
      <c r="Q924" s="17" t="s">
        <v>8289</v>
      </c>
      <c r="R924" s="29">
        <v>1205</v>
      </c>
      <c r="S924" s="30">
        <f t="shared" si="5"/>
        <v>195210</v>
      </c>
      <c r="T924" s="21" t="s">
        <v>198</v>
      </c>
      <c r="U924" s="24"/>
      <c r="V924" s="30">
        <v>215940</v>
      </c>
      <c r="W924" s="24" t="s">
        <v>47</v>
      </c>
      <c r="X924" s="22">
        <v>1025002</v>
      </c>
      <c r="Y924" s="31"/>
      <c r="Z924" s="22">
        <v>3792764</v>
      </c>
      <c r="AA924" s="22">
        <v>4679343</v>
      </c>
      <c r="AB924" s="22"/>
      <c r="AC924" s="24">
        <v>5518403</v>
      </c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</row>
    <row r="925" spans="1:46" ht="45" customHeight="1">
      <c r="A925" s="21" t="s">
        <v>8290</v>
      </c>
      <c r="B925" s="22" t="s">
        <v>8291</v>
      </c>
      <c r="C925" s="23" t="s">
        <v>8292</v>
      </c>
      <c r="D925" s="24" t="s">
        <v>8293</v>
      </c>
      <c r="E925" s="24" t="s">
        <v>8294</v>
      </c>
      <c r="F925" s="24" t="s">
        <v>8294</v>
      </c>
      <c r="G925" s="24" t="s">
        <v>8295</v>
      </c>
      <c r="H925" s="24" t="s">
        <v>2863</v>
      </c>
      <c r="I925" s="24" t="s">
        <v>80</v>
      </c>
      <c r="J925" s="24" t="s">
        <v>8295</v>
      </c>
      <c r="K925" s="24" t="s">
        <v>2863</v>
      </c>
      <c r="L925" s="24" t="s">
        <v>80</v>
      </c>
      <c r="M925" s="25" t="s">
        <v>8296</v>
      </c>
      <c r="N925" s="22">
        <v>4978916</v>
      </c>
      <c r="O925" s="22"/>
      <c r="P925" s="24" t="s">
        <v>8297</v>
      </c>
      <c r="Q925" s="17" t="s">
        <v>8298</v>
      </c>
      <c r="R925" s="29">
        <v>3224</v>
      </c>
      <c r="S925" s="30">
        <f t="shared" si="5"/>
        <v>522288</v>
      </c>
      <c r="T925" s="21" t="s">
        <v>129</v>
      </c>
      <c r="U925" s="24"/>
      <c r="V925" s="30">
        <v>545160</v>
      </c>
      <c r="W925" s="24" t="s">
        <v>47</v>
      </c>
      <c r="X925" s="22"/>
      <c r="Y925" s="31"/>
      <c r="Z925" s="22"/>
      <c r="AA925" s="22"/>
      <c r="AB925" s="22">
        <v>4837419</v>
      </c>
      <c r="AC925" s="24">
        <v>5606383</v>
      </c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</row>
    <row r="926" spans="1:46" ht="45" customHeight="1">
      <c r="A926" s="12" t="s">
        <v>8299</v>
      </c>
      <c r="B926" s="13" t="s">
        <v>8300</v>
      </c>
      <c r="C926" s="14" t="s">
        <v>8301</v>
      </c>
      <c r="D926" s="15" t="s">
        <v>8302</v>
      </c>
      <c r="E926" s="15" t="s">
        <v>8303</v>
      </c>
      <c r="F926" s="15" t="s">
        <v>8304</v>
      </c>
      <c r="G926" s="15" t="s">
        <v>8305</v>
      </c>
      <c r="H926" s="15" t="s">
        <v>8306</v>
      </c>
      <c r="I926" s="15" t="s">
        <v>115</v>
      </c>
      <c r="J926" s="15" t="s">
        <v>8305</v>
      </c>
      <c r="K926" s="15" t="s">
        <v>8306</v>
      </c>
      <c r="L926" s="15" t="s">
        <v>115</v>
      </c>
      <c r="M926" s="46" t="s">
        <v>8307</v>
      </c>
      <c r="N926" s="13">
        <v>2616947094</v>
      </c>
      <c r="O926" s="13"/>
      <c r="P926" s="15" t="s">
        <v>94</v>
      </c>
      <c r="Q926" s="17" t="s">
        <v>8308</v>
      </c>
      <c r="R926" s="18">
        <v>149</v>
      </c>
      <c r="S926" s="19">
        <f t="shared" si="5"/>
        <v>24138</v>
      </c>
      <c r="T926" s="12" t="s">
        <v>46</v>
      </c>
      <c r="U926" s="15"/>
      <c r="V926" s="19">
        <v>44610</v>
      </c>
      <c r="W926" s="15" t="s">
        <v>71</v>
      </c>
      <c r="X926" s="13">
        <v>1006287</v>
      </c>
      <c r="Y926" s="20">
        <v>3058539</v>
      </c>
      <c r="Z926" s="13">
        <v>3889663</v>
      </c>
      <c r="AA926" s="13">
        <v>4621836</v>
      </c>
      <c r="AB926" s="13"/>
      <c r="AC926" s="15">
        <v>5511629</v>
      </c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</row>
    <row r="927" spans="1:46" ht="45" customHeight="1">
      <c r="A927" s="21" t="s">
        <v>8309</v>
      </c>
      <c r="B927" s="22" t="s">
        <v>8310</v>
      </c>
      <c r="C927" s="23" t="s">
        <v>8311</v>
      </c>
      <c r="D927" s="24" t="s">
        <v>8312</v>
      </c>
      <c r="E927" s="24" t="s">
        <v>8225</v>
      </c>
      <c r="F927" s="24" t="s">
        <v>8225</v>
      </c>
      <c r="G927" s="24" t="s">
        <v>8313</v>
      </c>
      <c r="H927" s="24" t="s">
        <v>1279</v>
      </c>
      <c r="I927" s="24" t="s">
        <v>1279</v>
      </c>
      <c r="J927" s="24" t="s">
        <v>8313</v>
      </c>
      <c r="K927" s="24" t="s">
        <v>1279</v>
      </c>
      <c r="L927" s="24" t="s">
        <v>1279</v>
      </c>
      <c r="M927" s="25" t="s">
        <v>8314</v>
      </c>
      <c r="N927" s="22">
        <v>2616142526</v>
      </c>
      <c r="O927" s="22"/>
      <c r="P927" s="24" t="s">
        <v>8315</v>
      </c>
      <c r="Q927" s="17" t="s">
        <v>8316</v>
      </c>
      <c r="R927" s="29">
        <v>2043</v>
      </c>
      <c r="S927" s="30">
        <f t="shared" si="5"/>
        <v>330966</v>
      </c>
      <c r="T927" s="21" t="s">
        <v>96</v>
      </c>
      <c r="U927" s="24"/>
      <c r="V927" s="30">
        <v>368160</v>
      </c>
      <c r="W927" s="24" t="s">
        <v>71</v>
      </c>
      <c r="X927" s="22"/>
      <c r="Y927" s="31">
        <v>3119403</v>
      </c>
      <c r="Z927" s="22"/>
      <c r="AA927" s="22">
        <v>4747460</v>
      </c>
      <c r="AB927" s="22"/>
      <c r="AC927" s="24">
        <v>5532765</v>
      </c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</row>
    <row r="928" spans="1:46" ht="45" customHeight="1">
      <c r="A928" s="12" t="s">
        <v>8317</v>
      </c>
      <c r="B928" s="13" t="s">
        <v>8318</v>
      </c>
      <c r="C928" s="66" t="s">
        <v>8319</v>
      </c>
      <c r="D928" s="15" t="s">
        <v>8320</v>
      </c>
      <c r="E928" s="15" t="s">
        <v>8321</v>
      </c>
      <c r="F928" s="15" t="s">
        <v>8321</v>
      </c>
      <c r="G928" s="15" t="s">
        <v>8322</v>
      </c>
      <c r="H928" s="15" t="s">
        <v>53</v>
      </c>
      <c r="I928" s="15" t="s">
        <v>53</v>
      </c>
      <c r="J928" s="15" t="s">
        <v>8323</v>
      </c>
      <c r="K928" s="15" t="s">
        <v>53</v>
      </c>
      <c r="L928" s="15" t="s">
        <v>53</v>
      </c>
      <c r="M928" s="16" t="s">
        <v>8324</v>
      </c>
      <c r="N928" s="13">
        <v>2615334313</v>
      </c>
      <c r="O928" s="13"/>
      <c r="P928" s="15" t="s">
        <v>44</v>
      </c>
      <c r="Q928" s="17" t="s">
        <v>8325</v>
      </c>
      <c r="R928" s="18">
        <v>5</v>
      </c>
      <c r="S928" s="19">
        <f t="shared" si="5"/>
        <v>810</v>
      </c>
      <c r="T928" s="12" t="s">
        <v>46</v>
      </c>
      <c r="U928" s="15"/>
      <c r="V928" s="19">
        <v>44610</v>
      </c>
      <c r="W928" s="15"/>
      <c r="X928" s="13"/>
      <c r="Y928" s="20">
        <v>3109591</v>
      </c>
      <c r="Z928" s="13"/>
      <c r="AA928" s="13"/>
      <c r="AB928" s="13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</row>
    <row r="929" spans="1:46" ht="45" customHeight="1">
      <c r="A929" s="50" t="s">
        <v>8326</v>
      </c>
      <c r="B929" s="51" t="s">
        <v>8327</v>
      </c>
      <c r="C929" s="52" t="s">
        <v>8328</v>
      </c>
      <c r="D929" s="53" t="s">
        <v>8329</v>
      </c>
      <c r="E929" s="53" t="s">
        <v>8330</v>
      </c>
      <c r="F929" s="53" t="s">
        <v>8330</v>
      </c>
      <c r="G929" s="53" t="s">
        <v>8331</v>
      </c>
      <c r="H929" s="53" t="s">
        <v>53</v>
      </c>
      <c r="I929" s="53" t="s">
        <v>53</v>
      </c>
      <c r="J929" s="53" t="s">
        <v>8332</v>
      </c>
      <c r="K929" s="53" t="s">
        <v>149</v>
      </c>
      <c r="L929" s="53" t="s">
        <v>149</v>
      </c>
      <c r="M929" s="54" t="s">
        <v>8333</v>
      </c>
      <c r="N929" s="51">
        <v>2613076984</v>
      </c>
      <c r="O929" s="51"/>
      <c r="P929" s="53" t="s">
        <v>1310</v>
      </c>
      <c r="Q929" s="55" t="s">
        <v>8334</v>
      </c>
      <c r="R929" s="56">
        <v>9</v>
      </c>
      <c r="S929" s="57">
        <f t="shared" si="5"/>
        <v>1458</v>
      </c>
      <c r="T929" s="50" t="s">
        <v>46</v>
      </c>
      <c r="U929" s="53"/>
      <c r="V929" s="57">
        <v>44610</v>
      </c>
      <c r="W929" s="53"/>
      <c r="X929" s="51">
        <v>1139843</v>
      </c>
      <c r="Y929" s="58">
        <v>3086382</v>
      </c>
      <c r="Z929" s="51">
        <v>3899718</v>
      </c>
      <c r="AA929" s="51">
        <v>4721260</v>
      </c>
      <c r="AB929" s="51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</row>
    <row r="930" spans="1:46" ht="45" customHeight="1">
      <c r="A930" s="21" t="s">
        <v>8335</v>
      </c>
      <c r="B930" s="22" t="s">
        <v>8336</v>
      </c>
      <c r="C930" s="23" t="s">
        <v>8337</v>
      </c>
      <c r="D930" s="24" t="s">
        <v>6385</v>
      </c>
      <c r="E930" s="24" t="s">
        <v>8338</v>
      </c>
      <c r="F930" s="24" t="s">
        <v>8338</v>
      </c>
      <c r="G930" s="24" t="s">
        <v>8339</v>
      </c>
      <c r="H930" s="24" t="s">
        <v>8340</v>
      </c>
      <c r="I930" s="24" t="s">
        <v>352</v>
      </c>
      <c r="J930" s="24" t="s">
        <v>8339</v>
      </c>
      <c r="K930" s="24" t="s">
        <v>8340</v>
      </c>
      <c r="L930" s="24" t="s">
        <v>352</v>
      </c>
      <c r="M930" s="59" t="s">
        <v>8341</v>
      </c>
      <c r="N930" s="22">
        <v>1147128000</v>
      </c>
      <c r="O930" s="22"/>
      <c r="P930" s="24" t="s">
        <v>8342</v>
      </c>
      <c r="Q930" s="17" t="s">
        <v>8343</v>
      </c>
      <c r="R930" s="29">
        <v>48055</v>
      </c>
      <c r="S930" s="30">
        <f t="shared" si="5"/>
        <v>7784910</v>
      </c>
      <c r="T930" s="21" t="s">
        <v>70</v>
      </c>
      <c r="U930" s="24"/>
      <c r="V930" s="30">
        <f>S930</f>
        <v>7784910</v>
      </c>
      <c r="W930" s="24"/>
      <c r="X930" s="22"/>
      <c r="Y930" s="31">
        <v>3081610</v>
      </c>
      <c r="Z930" s="22">
        <v>3895443</v>
      </c>
      <c r="AA930" s="22">
        <v>4750166</v>
      </c>
      <c r="AB930" s="22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</row>
    <row r="931" spans="1:46" ht="45" customHeight="1">
      <c r="A931" s="12" t="s">
        <v>8344</v>
      </c>
      <c r="B931" s="13" t="s">
        <v>8345</v>
      </c>
      <c r="C931" s="14" t="s">
        <v>8346</v>
      </c>
      <c r="D931" s="15" t="s">
        <v>8347</v>
      </c>
      <c r="E931" s="15" t="s">
        <v>8348</v>
      </c>
      <c r="F931" s="15" t="s">
        <v>8348</v>
      </c>
      <c r="G931" s="15" t="s">
        <v>8349</v>
      </c>
      <c r="H931" s="15"/>
      <c r="I931" s="15" t="s">
        <v>8350</v>
      </c>
      <c r="J931" s="15" t="s">
        <v>8351</v>
      </c>
      <c r="K931" s="15"/>
      <c r="L931" s="15" t="s">
        <v>8350</v>
      </c>
      <c r="M931" s="46" t="s">
        <v>8352</v>
      </c>
      <c r="N931" s="13" t="s">
        <v>8353</v>
      </c>
      <c r="O931" s="13"/>
      <c r="P931" s="15" t="s">
        <v>94</v>
      </c>
      <c r="Q931" s="17" t="s">
        <v>8354</v>
      </c>
      <c r="R931" s="18">
        <v>258</v>
      </c>
      <c r="S931" s="19">
        <f t="shared" si="5"/>
        <v>41796</v>
      </c>
      <c r="T931" s="12" t="s">
        <v>46</v>
      </c>
      <c r="U931" s="15"/>
      <c r="V931" s="19">
        <v>44610</v>
      </c>
      <c r="W931" s="49" t="s">
        <v>71</v>
      </c>
      <c r="X931" s="13"/>
      <c r="Y931" s="20">
        <v>3118914</v>
      </c>
      <c r="Z931" s="13">
        <v>3842672</v>
      </c>
      <c r="AA931" s="13">
        <v>4671757</v>
      </c>
      <c r="AB931" s="13"/>
      <c r="AC931" s="49">
        <v>5627666</v>
      </c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</row>
    <row r="932" spans="1:46" ht="45" customHeight="1">
      <c r="A932" s="40" t="s">
        <v>8355</v>
      </c>
      <c r="B932" s="33" t="s">
        <v>8356</v>
      </c>
      <c r="C932" s="34" t="s">
        <v>8357</v>
      </c>
      <c r="D932" s="35" t="s">
        <v>8358</v>
      </c>
      <c r="E932" s="35" t="s">
        <v>8178</v>
      </c>
      <c r="F932" s="35" t="s">
        <v>8178</v>
      </c>
      <c r="G932" s="35" t="s">
        <v>8359</v>
      </c>
      <c r="H932" s="35"/>
      <c r="I932" s="35" t="s">
        <v>149</v>
      </c>
      <c r="J932" s="35" t="s">
        <v>8359</v>
      </c>
      <c r="K932" s="35"/>
      <c r="L932" s="35" t="s">
        <v>149</v>
      </c>
      <c r="M932" s="36" t="s">
        <v>8360</v>
      </c>
      <c r="N932" s="33" t="s">
        <v>8361</v>
      </c>
      <c r="O932" s="33"/>
      <c r="P932" s="35" t="s">
        <v>94</v>
      </c>
      <c r="Q932" s="37" t="s">
        <v>8362</v>
      </c>
      <c r="R932" s="38">
        <v>6.64</v>
      </c>
      <c r="S932" s="39">
        <f t="shared" si="5"/>
        <v>1075.6799999999998</v>
      </c>
      <c r="T932" s="40" t="s">
        <v>46</v>
      </c>
      <c r="U932" s="35"/>
      <c r="V932" s="39">
        <v>44610</v>
      </c>
      <c r="W932" s="35"/>
      <c r="X932" s="33"/>
      <c r="Y932" s="41"/>
      <c r="Z932" s="33"/>
      <c r="AA932" s="33"/>
      <c r="AB932" s="33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</row>
    <row r="933" spans="1:46" ht="45" customHeight="1">
      <c r="A933" s="79" t="s">
        <v>8363</v>
      </c>
      <c r="B933" s="80" t="s">
        <v>8364</v>
      </c>
      <c r="C933" s="81" t="s">
        <v>8365</v>
      </c>
      <c r="D933" s="82" t="s">
        <v>5877</v>
      </c>
      <c r="E933" s="82"/>
      <c r="F933" s="82"/>
      <c r="G933" s="82" t="s">
        <v>8366</v>
      </c>
      <c r="H933" s="82"/>
      <c r="I933" s="82" t="s">
        <v>149</v>
      </c>
      <c r="J933" s="82" t="s">
        <v>8366</v>
      </c>
      <c r="K933" s="82"/>
      <c r="L933" s="82" t="s">
        <v>149</v>
      </c>
      <c r="M933" s="91" t="s">
        <v>8367</v>
      </c>
      <c r="N933" s="82"/>
      <c r="O933" s="82"/>
      <c r="P933" s="82" t="s">
        <v>8368</v>
      </c>
      <c r="Q933" s="84" t="s">
        <v>8369</v>
      </c>
      <c r="R933" s="85" t="s">
        <v>770</v>
      </c>
      <c r="S933" s="86" t="e">
        <f t="shared" si="5"/>
        <v>#VALUE!</v>
      </c>
      <c r="T933" s="87" t="s">
        <v>770</v>
      </c>
      <c r="U933" s="176"/>
      <c r="V933" s="86">
        <v>0</v>
      </c>
      <c r="W933" s="82" t="s">
        <v>47</v>
      </c>
      <c r="X933" s="177"/>
      <c r="Y933" s="88"/>
      <c r="Z933" s="80"/>
      <c r="AA933" s="80"/>
      <c r="AB933" s="80"/>
      <c r="AC933" s="82">
        <v>5531550</v>
      </c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</row>
    <row r="934" spans="1:46" ht="45" customHeight="1">
      <c r="A934" s="21" t="s">
        <v>8370</v>
      </c>
      <c r="B934" s="178" t="s">
        <v>8371</v>
      </c>
      <c r="C934" s="179" t="s">
        <v>8372</v>
      </c>
      <c r="D934" s="180" t="s">
        <v>8373</v>
      </c>
      <c r="E934" s="180" t="s">
        <v>8178</v>
      </c>
      <c r="F934" s="180" t="s">
        <v>8178</v>
      </c>
      <c r="G934" s="180" t="s">
        <v>8374</v>
      </c>
      <c r="H934" s="180" t="s">
        <v>405</v>
      </c>
      <c r="I934" s="180" t="s">
        <v>115</v>
      </c>
      <c r="J934" s="180" t="s">
        <v>8374</v>
      </c>
      <c r="K934" s="180" t="s">
        <v>405</v>
      </c>
      <c r="L934" s="180" t="s">
        <v>115</v>
      </c>
      <c r="M934" s="181" t="s">
        <v>8375</v>
      </c>
      <c r="N934" s="178" t="s">
        <v>8376</v>
      </c>
      <c r="O934" s="180"/>
      <c r="P934" s="180" t="s">
        <v>8377</v>
      </c>
      <c r="Q934" s="182"/>
      <c r="R934" s="183"/>
      <c r="S934" s="30">
        <f t="shared" si="5"/>
        <v>0</v>
      </c>
      <c r="T934" s="184"/>
      <c r="U934" s="183"/>
      <c r="V934" s="185">
        <v>0</v>
      </c>
      <c r="W934" s="182"/>
      <c r="X934" s="186"/>
      <c r="Y934" s="187"/>
      <c r="Z934" s="178"/>
      <c r="AA934" s="178"/>
      <c r="AB934" s="178"/>
      <c r="AC934" s="180"/>
      <c r="AD934" s="180"/>
      <c r="AE934" s="180"/>
      <c r="AF934" s="180"/>
      <c r="AG934" s="180"/>
      <c r="AH934" s="180"/>
      <c r="AI934" s="180"/>
      <c r="AJ934" s="180"/>
      <c r="AK934" s="180"/>
      <c r="AL934" s="180"/>
      <c r="AM934" s="180"/>
      <c r="AN934" s="180"/>
      <c r="AO934" s="180"/>
      <c r="AP934" s="180"/>
      <c r="AQ934" s="180"/>
      <c r="AR934" s="180"/>
      <c r="AS934" s="180"/>
      <c r="AT934" s="180"/>
    </row>
    <row r="935" spans="1:46" ht="45" customHeight="1">
      <c r="A935" s="40" t="s">
        <v>8378</v>
      </c>
      <c r="B935" s="33" t="s">
        <v>8379</v>
      </c>
      <c r="C935" s="90" t="s">
        <v>8380</v>
      </c>
      <c r="D935" s="35" t="s">
        <v>8381</v>
      </c>
      <c r="E935" s="35" t="s">
        <v>8178</v>
      </c>
      <c r="F935" s="35" t="s">
        <v>8178</v>
      </c>
      <c r="G935" s="35" t="s">
        <v>8382</v>
      </c>
      <c r="H935" s="35" t="s">
        <v>149</v>
      </c>
      <c r="I935" s="35" t="s">
        <v>149</v>
      </c>
      <c r="J935" s="35" t="s">
        <v>8382</v>
      </c>
      <c r="K935" s="35" t="s">
        <v>149</v>
      </c>
      <c r="L935" s="35" t="s">
        <v>149</v>
      </c>
      <c r="M935" s="36" t="s">
        <v>8383</v>
      </c>
      <c r="N935" s="33" t="s">
        <v>8384</v>
      </c>
      <c r="O935" s="35"/>
      <c r="P935" s="35" t="s">
        <v>8377</v>
      </c>
      <c r="Q935" s="188" t="s">
        <v>8385</v>
      </c>
      <c r="R935" s="38">
        <v>10</v>
      </c>
      <c r="S935" s="39">
        <f t="shared" si="5"/>
        <v>1620</v>
      </c>
      <c r="T935" s="40" t="s">
        <v>46</v>
      </c>
      <c r="U935" s="38"/>
      <c r="V935" s="39">
        <v>44610</v>
      </c>
      <c r="W935" s="40"/>
      <c r="X935" s="189"/>
      <c r="Y935" s="41"/>
      <c r="Z935" s="33"/>
      <c r="AA935" s="33"/>
      <c r="AB935" s="33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</row>
    <row r="936" spans="1:46" ht="45" customHeight="1">
      <c r="A936" s="50" t="s">
        <v>8386</v>
      </c>
      <c r="B936" s="51" t="s">
        <v>8387</v>
      </c>
      <c r="C936" s="52" t="s">
        <v>8388</v>
      </c>
      <c r="D936" s="53" t="s">
        <v>6760</v>
      </c>
      <c r="E936" s="53" t="s">
        <v>8389</v>
      </c>
      <c r="F936" s="53" t="s">
        <v>8390</v>
      </c>
      <c r="G936" s="53" t="s">
        <v>8391</v>
      </c>
      <c r="H936" s="53"/>
      <c r="I936" s="53" t="s">
        <v>80</v>
      </c>
      <c r="J936" s="53" t="s">
        <v>8391</v>
      </c>
      <c r="K936" s="53"/>
      <c r="L936" s="53" t="s">
        <v>80</v>
      </c>
      <c r="M936" s="68" t="s">
        <v>6763</v>
      </c>
      <c r="N936" s="51" t="s">
        <v>8392</v>
      </c>
      <c r="O936" s="51"/>
      <c r="P936" s="53" t="s">
        <v>8393</v>
      </c>
      <c r="Q936" s="55" t="s">
        <v>8394</v>
      </c>
      <c r="R936" s="56">
        <v>142</v>
      </c>
      <c r="S936" s="57">
        <f t="shared" si="5"/>
        <v>23004</v>
      </c>
      <c r="T936" s="50" t="s">
        <v>46</v>
      </c>
      <c r="U936" s="53"/>
      <c r="V936" s="57">
        <v>44610</v>
      </c>
      <c r="W936" s="53" t="s">
        <v>71</v>
      </c>
      <c r="X936" s="51">
        <v>968405</v>
      </c>
      <c r="Y936" s="58">
        <v>3058539</v>
      </c>
      <c r="Z936" s="51"/>
      <c r="AA936" s="51"/>
      <c r="AB936" s="51">
        <v>4840957</v>
      </c>
      <c r="AC936" s="53">
        <v>5511598</v>
      </c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</row>
    <row r="937" spans="1:46" ht="45" customHeight="1">
      <c r="A937" s="50" t="s">
        <v>8395</v>
      </c>
      <c r="B937" s="51" t="s">
        <v>8396</v>
      </c>
      <c r="C937" s="52" t="s">
        <v>8388</v>
      </c>
      <c r="D937" s="53" t="s">
        <v>6760</v>
      </c>
      <c r="E937" s="53" t="s">
        <v>8389</v>
      </c>
      <c r="F937" s="53" t="s">
        <v>8390</v>
      </c>
      <c r="G937" s="53" t="s">
        <v>8397</v>
      </c>
      <c r="H937" s="53"/>
      <c r="I937" s="53" t="s">
        <v>332</v>
      </c>
      <c r="J937" s="53" t="s">
        <v>8397</v>
      </c>
      <c r="K937" s="53"/>
      <c r="L937" s="53" t="s">
        <v>332</v>
      </c>
      <c r="M937" s="68" t="s">
        <v>6763</v>
      </c>
      <c r="N937" s="51" t="s">
        <v>8392</v>
      </c>
      <c r="O937" s="51"/>
      <c r="P937" s="53" t="s">
        <v>8393</v>
      </c>
      <c r="Q937" s="55" t="s">
        <v>8398</v>
      </c>
      <c r="R937" s="56">
        <v>145</v>
      </c>
      <c r="S937" s="57">
        <f t="shared" si="5"/>
        <v>23490</v>
      </c>
      <c r="T937" s="50" t="s">
        <v>46</v>
      </c>
      <c r="U937" s="53"/>
      <c r="V937" s="57">
        <v>44610</v>
      </c>
      <c r="W937" s="53" t="s">
        <v>71</v>
      </c>
      <c r="X937" s="51">
        <v>968555</v>
      </c>
      <c r="Y937" s="58"/>
      <c r="Z937" s="51"/>
      <c r="AA937" s="51"/>
      <c r="AB937" s="51">
        <v>4841835</v>
      </c>
      <c r="AC937" s="53">
        <v>5511558</v>
      </c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</row>
    <row r="938" spans="1:46" ht="45" customHeight="1">
      <c r="A938" s="50" t="s">
        <v>8399</v>
      </c>
      <c r="B938" s="51" t="s">
        <v>8400</v>
      </c>
      <c r="C938" s="52" t="s">
        <v>8388</v>
      </c>
      <c r="D938" s="53" t="s">
        <v>6760</v>
      </c>
      <c r="E938" s="53" t="s">
        <v>8389</v>
      </c>
      <c r="F938" s="53" t="s">
        <v>8390</v>
      </c>
      <c r="G938" s="53" t="s">
        <v>8401</v>
      </c>
      <c r="H938" s="53"/>
      <c r="I938" s="53" t="s">
        <v>332</v>
      </c>
      <c r="J938" s="53" t="s">
        <v>8401</v>
      </c>
      <c r="K938" s="53"/>
      <c r="L938" s="53" t="s">
        <v>332</v>
      </c>
      <c r="M938" s="68" t="s">
        <v>6763</v>
      </c>
      <c r="N938" s="51" t="s">
        <v>8392</v>
      </c>
      <c r="O938" s="51"/>
      <c r="P938" s="53" t="s">
        <v>8393</v>
      </c>
      <c r="Q938" s="55" t="s">
        <v>8402</v>
      </c>
      <c r="R938" s="56">
        <v>168</v>
      </c>
      <c r="S938" s="57">
        <f t="shared" si="5"/>
        <v>27216</v>
      </c>
      <c r="T938" s="50" t="s">
        <v>46</v>
      </c>
      <c r="U938" s="53"/>
      <c r="V938" s="57">
        <v>44610</v>
      </c>
      <c r="W938" s="53" t="s">
        <v>71</v>
      </c>
      <c r="X938" s="51">
        <v>968617</v>
      </c>
      <c r="Y938" s="58"/>
      <c r="Z938" s="51"/>
      <c r="AA938" s="51"/>
      <c r="AB938" s="51">
        <v>4841229</v>
      </c>
      <c r="AC938" s="53">
        <v>5511580</v>
      </c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</row>
    <row r="939" spans="1:46" ht="45" customHeight="1">
      <c r="A939" s="12" t="s">
        <v>8403</v>
      </c>
      <c r="B939" s="13" t="s">
        <v>8404</v>
      </c>
      <c r="C939" s="14" t="s">
        <v>8405</v>
      </c>
      <c r="D939" s="15" t="s">
        <v>487</v>
      </c>
      <c r="E939" s="15" t="s">
        <v>8406</v>
      </c>
      <c r="F939" s="15" t="s">
        <v>8407</v>
      </c>
      <c r="G939" s="15" t="s">
        <v>8408</v>
      </c>
      <c r="H939" s="15" t="s">
        <v>1190</v>
      </c>
      <c r="I939" s="15" t="s">
        <v>38</v>
      </c>
      <c r="J939" s="15" t="s">
        <v>8408</v>
      </c>
      <c r="K939" s="15" t="s">
        <v>1190</v>
      </c>
      <c r="L939" s="15" t="s">
        <v>38</v>
      </c>
      <c r="M939" s="67" t="s">
        <v>491</v>
      </c>
      <c r="N939" s="13" t="s">
        <v>8409</v>
      </c>
      <c r="O939" s="13"/>
      <c r="P939" s="49" t="s">
        <v>94</v>
      </c>
      <c r="Q939" s="17" t="s">
        <v>8410</v>
      </c>
      <c r="R939" s="18">
        <v>198.75</v>
      </c>
      <c r="S939" s="19">
        <f t="shared" si="5"/>
        <v>32197.5</v>
      </c>
      <c r="T939" s="12" t="s">
        <v>46</v>
      </c>
      <c r="U939" s="15"/>
      <c r="V939" s="19">
        <v>44610</v>
      </c>
      <c r="W939" s="49" t="s">
        <v>71</v>
      </c>
      <c r="X939" s="13">
        <v>970649</v>
      </c>
      <c r="Y939" s="20">
        <v>3099607</v>
      </c>
      <c r="Z939" s="13">
        <v>3872320</v>
      </c>
      <c r="AA939" s="13">
        <v>4906203</v>
      </c>
      <c r="AB939" s="13"/>
      <c r="AC939" s="49">
        <v>5630517</v>
      </c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</row>
    <row r="940" spans="1:46" ht="45" customHeight="1">
      <c r="A940" s="12" t="s">
        <v>8411</v>
      </c>
      <c r="B940" s="13" t="s">
        <v>8412</v>
      </c>
      <c r="C940" s="14" t="s">
        <v>8413</v>
      </c>
      <c r="D940" s="15" t="s">
        <v>8414</v>
      </c>
      <c r="E940" s="15" t="s">
        <v>8415</v>
      </c>
      <c r="F940" s="15" t="s">
        <v>8225</v>
      </c>
      <c r="G940" s="15" t="s">
        <v>8416</v>
      </c>
      <c r="H940" s="15" t="s">
        <v>2652</v>
      </c>
      <c r="I940" s="15" t="s">
        <v>2652</v>
      </c>
      <c r="J940" s="15" t="s">
        <v>8417</v>
      </c>
      <c r="K940" s="15" t="s">
        <v>8418</v>
      </c>
      <c r="L940" s="15" t="s">
        <v>8419</v>
      </c>
      <c r="M940" s="16" t="s">
        <v>8420</v>
      </c>
      <c r="N940" s="13" t="s">
        <v>8421</v>
      </c>
      <c r="O940" s="190">
        <v>45678</v>
      </c>
      <c r="P940" s="15" t="s">
        <v>8422</v>
      </c>
      <c r="Q940" s="17" t="s">
        <v>8423</v>
      </c>
      <c r="R940" s="18">
        <v>232.37</v>
      </c>
      <c r="S940" s="19">
        <f t="shared" si="5"/>
        <v>37643.94</v>
      </c>
      <c r="T940" s="12" t="s">
        <v>46</v>
      </c>
      <c r="U940" s="15"/>
      <c r="V940" s="19">
        <f>44610/2</f>
        <v>22305</v>
      </c>
      <c r="W940" s="15" t="s">
        <v>71</v>
      </c>
      <c r="X940" s="13">
        <v>977157</v>
      </c>
      <c r="Y940" s="20"/>
      <c r="Z940" s="13">
        <v>3899695</v>
      </c>
      <c r="AA940" s="13">
        <v>4757931</v>
      </c>
      <c r="AB940" s="13"/>
      <c r="AC940" s="15">
        <v>5615087</v>
      </c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</row>
    <row r="941" spans="1:46" ht="45" customHeight="1">
      <c r="A941" s="12" t="s">
        <v>8424</v>
      </c>
      <c r="B941" s="13" t="s">
        <v>8425</v>
      </c>
      <c r="C941" s="66" t="s">
        <v>8426</v>
      </c>
      <c r="D941" s="15" t="s">
        <v>8427</v>
      </c>
      <c r="E941" s="15" t="s">
        <v>8428</v>
      </c>
      <c r="F941" s="15" t="s">
        <v>8390</v>
      </c>
      <c r="G941" s="15" t="s">
        <v>8429</v>
      </c>
      <c r="H941" s="15"/>
      <c r="I941" s="15" t="s">
        <v>149</v>
      </c>
      <c r="J941" s="15" t="s">
        <v>8429</v>
      </c>
      <c r="K941" s="15"/>
      <c r="L941" s="15" t="s">
        <v>149</v>
      </c>
      <c r="M941" s="46" t="s">
        <v>8430</v>
      </c>
      <c r="N941" s="13">
        <v>2612494112</v>
      </c>
      <c r="O941" s="13"/>
      <c r="P941" s="15" t="s">
        <v>44</v>
      </c>
      <c r="Q941" s="170" t="s">
        <v>8431</v>
      </c>
      <c r="R941" s="18">
        <v>70.849999999999994</v>
      </c>
      <c r="S941" s="19">
        <f t="shared" si="5"/>
        <v>11477.699999999999</v>
      </c>
      <c r="T941" s="12" t="s">
        <v>46</v>
      </c>
      <c r="U941" s="15"/>
      <c r="V941" s="19">
        <v>44610</v>
      </c>
      <c r="W941" s="15"/>
      <c r="X941" s="13">
        <v>975217</v>
      </c>
      <c r="Y941" s="20"/>
      <c r="Z941" s="13"/>
      <c r="AA941" s="13"/>
      <c r="AB941" s="13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</row>
    <row r="942" spans="1:46" ht="45" customHeight="1">
      <c r="A942" s="21" t="s">
        <v>8432</v>
      </c>
      <c r="B942" s="22" t="s">
        <v>8433</v>
      </c>
      <c r="C942" s="23" t="s">
        <v>8434</v>
      </c>
      <c r="D942" s="24" t="s">
        <v>7904</v>
      </c>
      <c r="E942" s="24" t="s">
        <v>8435</v>
      </c>
      <c r="F942" s="24" t="s">
        <v>8435</v>
      </c>
      <c r="G942" s="24" t="s">
        <v>7905</v>
      </c>
      <c r="H942" s="24" t="s">
        <v>52</v>
      </c>
      <c r="I942" s="24" t="s">
        <v>53</v>
      </c>
      <c r="J942" s="24" t="s">
        <v>8436</v>
      </c>
      <c r="K942" s="24" t="s">
        <v>8437</v>
      </c>
      <c r="L942" s="24" t="s">
        <v>7704</v>
      </c>
      <c r="M942" s="76" t="s">
        <v>8438</v>
      </c>
      <c r="N942" s="22">
        <v>2614161994</v>
      </c>
      <c r="O942" s="22"/>
      <c r="P942" s="24" t="s">
        <v>94</v>
      </c>
      <c r="Q942" s="170" t="s">
        <v>8439</v>
      </c>
      <c r="R942" s="29">
        <v>892</v>
      </c>
      <c r="S942" s="30">
        <f t="shared" si="5"/>
        <v>144504</v>
      </c>
      <c r="T942" s="21" t="s">
        <v>252</v>
      </c>
      <c r="U942" s="24"/>
      <c r="V942" s="30">
        <v>123900</v>
      </c>
      <c r="W942" s="45" t="s">
        <v>71</v>
      </c>
      <c r="X942" s="22">
        <v>991111</v>
      </c>
      <c r="Y942" s="31">
        <v>3121909</v>
      </c>
      <c r="Z942" s="22">
        <v>3903858</v>
      </c>
      <c r="AA942" s="22">
        <v>4751148</v>
      </c>
      <c r="AB942" s="22"/>
      <c r="AC942" s="45">
        <v>5637013</v>
      </c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</row>
    <row r="943" spans="1:46" ht="45" customHeight="1">
      <c r="A943" s="12" t="s">
        <v>8440</v>
      </c>
      <c r="B943" s="13" t="s">
        <v>8441</v>
      </c>
      <c r="C943" s="14" t="s">
        <v>5868</v>
      </c>
      <c r="D943" s="15" t="s">
        <v>5869</v>
      </c>
      <c r="E943" s="15" t="s">
        <v>8406</v>
      </c>
      <c r="F943" s="15" t="s">
        <v>8407</v>
      </c>
      <c r="G943" s="15" t="s">
        <v>8442</v>
      </c>
      <c r="H943" s="15" t="s">
        <v>2863</v>
      </c>
      <c r="I943" s="15" t="s">
        <v>80</v>
      </c>
      <c r="J943" s="15" t="s">
        <v>8443</v>
      </c>
      <c r="K943" s="15" t="s">
        <v>80</v>
      </c>
      <c r="L943" s="15" t="s">
        <v>80</v>
      </c>
      <c r="M943" s="16" t="s">
        <v>8444</v>
      </c>
      <c r="N943" s="13" t="s">
        <v>8445</v>
      </c>
      <c r="O943" s="13"/>
      <c r="P943" s="15" t="s">
        <v>94</v>
      </c>
      <c r="Q943" s="17" t="s">
        <v>8446</v>
      </c>
      <c r="R943" s="18">
        <v>163</v>
      </c>
      <c r="S943" s="19">
        <f t="shared" si="5"/>
        <v>26406</v>
      </c>
      <c r="T943" s="12" t="s">
        <v>46</v>
      </c>
      <c r="U943" s="15"/>
      <c r="V943" s="19">
        <v>44610</v>
      </c>
      <c r="W943" s="15" t="s">
        <v>71</v>
      </c>
      <c r="X943" s="13">
        <v>987607</v>
      </c>
      <c r="Y943" s="20">
        <v>3059993</v>
      </c>
      <c r="Z943" s="13">
        <v>3801442</v>
      </c>
      <c r="AA943" s="13">
        <v>4683028</v>
      </c>
      <c r="AB943" s="13"/>
      <c r="AC943" s="15">
        <v>5504630</v>
      </c>
      <c r="AD943" s="49">
        <v>6477137</v>
      </c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</row>
    <row r="944" spans="1:46" ht="45" customHeight="1">
      <c r="A944" s="12" t="s">
        <v>8447</v>
      </c>
      <c r="B944" s="13" t="s">
        <v>8448</v>
      </c>
      <c r="C944" s="14" t="s">
        <v>8449</v>
      </c>
      <c r="D944" s="15" t="s">
        <v>8414</v>
      </c>
      <c r="E944" s="15" t="s">
        <v>8450</v>
      </c>
      <c r="F944" s="15" t="s">
        <v>8451</v>
      </c>
      <c r="G944" s="15" t="s">
        <v>8416</v>
      </c>
      <c r="H944" s="15" t="s">
        <v>2652</v>
      </c>
      <c r="I944" s="15" t="s">
        <v>8452</v>
      </c>
      <c r="J944" s="15" t="s">
        <v>8453</v>
      </c>
      <c r="K944" s="15" t="s">
        <v>7061</v>
      </c>
      <c r="L944" s="15" t="s">
        <v>7061</v>
      </c>
      <c r="M944" s="46" t="s">
        <v>8454</v>
      </c>
      <c r="N944" s="13" t="s">
        <v>8421</v>
      </c>
      <c r="O944" s="190"/>
      <c r="P944" s="15" t="s">
        <v>685</v>
      </c>
      <c r="Q944" s="170" t="s">
        <v>8455</v>
      </c>
      <c r="R944" s="18">
        <v>166.48</v>
      </c>
      <c r="S944" s="19">
        <f t="shared" si="5"/>
        <v>26969.759999999998</v>
      </c>
      <c r="T944" s="12" t="s">
        <v>46</v>
      </c>
      <c r="U944" s="15"/>
      <c r="V944" s="19">
        <v>44610</v>
      </c>
      <c r="W944" s="15" t="s">
        <v>71</v>
      </c>
      <c r="X944" s="13">
        <v>1001953</v>
      </c>
      <c r="Y944" s="20"/>
      <c r="Z944" s="13">
        <v>3899693</v>
      </c>
      <c r="AA944" s="13">
        <v>4757920</v>
      </c>
      <c r="AB944" s="13"/>
      <c r="AC944" s="15">
        <v>5614890</v>
      </c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</row>
    <row r="945" spans="1:46" ht="45" customHeight="1">
      <c r="A945" s="12" t="s">
        <v>8456</v>
      </c>
      <c r="B945" s="13" t="s">
        <v>8457</v>
      </c>
      <c r="C945" s="14" t="s">
        <v>8458</v>
      </c>
      <c r="D945" s="15" t="s">
        <v>8414</v>
      </c>
      <c r="E945" s="15" t="s">
        <v>8450</v>
      </c>
      <c r="F945" s="15" t="s">
        <v>8451</v>
      </c>
      <c r="G945" s="15" t="s">
        <v>8459</v>
      </c>
      <c r="H945" s="15" t="s">
        <v>1924</v>
      </c>
      <c r="I945" s="15" t="s">
        <v>7061</v>
      </c>
      <c r="J945" s="15" t="s">
        <v>8459</v>
      </c>
      <c r="K945" s="15" t="s">
        <v>1924</v>
      </c>
      <c r="L945" s="15" t="s">
        <v>7061</v>
      </c>
      <c r="M945" s="46" t="s">
        <v>8454</v>
      </c>
      <c r="N945" s="13" t="s">
        <v>8421</v>
      </c>
      <c r="O945" s="190"/>
      <c r="P945" s="15" t="s">
        <v>685</v>
      </c>
      <c r="Q945" s="17" t="s">
        <v>8460</v>
      </c>
      <c r="R945" s="18">
        <v>70</v>
      </c>
      <c r="S945" s="19">
        <f t="shared" si="5"/>
        <v>11340</v>
      </c>
      <c r="T945" s="12" t="s">
        <v>46</v>
      </c>
      <c r="U945" s="15"/>
      <c r="V945" s="19">
        <v>44610</v>
      </c>
      <c r="W945" s="15"/>
      <c r="X945" s="13">
        <v>1007356</v>
      </c>
      <c r="Y945" s="20"/>
      <c r="Z945" s="13">
        <v>3899688</v>
      </c>
      <c r="AA945" s="13">
        <v>4757928</v>
      </c>
      <c r="AB945" s="13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</row>
    <row r="946" spans="1:46" ht="45" customHeight="1">
      <c r="A946" s="12" t="s">
        <v>8461</v>
      </c>
      <c r="B946" s="13" t="s">
        <v>8462</v>
      </c>
      <c r="C946" s="66" t="s">
        <v>8463</v>
      </c>
      <c r="D946" s="15" t="s">
        <v>8464</v>
      </c>
      <c r="E946" s="15" t="s">
        <v>8465</v>
      </c>
      <c r="F946" s="145" t="s">
        <v>8465</v>
      </c>
      <c r="G946" s="15" t="s">
        <v>8466</v>
      </c>
      <c r="H946" s="15"/>
      <c r="I946" s="15" t="s">
        <v>65</v>
      </c>
      <c r="J946" s="15" t="s">
        <v>8467</v>
      </c>
      <c r="K946" s="15" t="s">
        <v>2652</v>
      </c>
      <c r="L946" s="15" t="s">
        <v>53</v>
      </c>
      <c r="M946" s="16" t="s">
        <v>8468</v>
      </c>
      <c r="N946" s="13">
        <v>2613050242</v>
      </c>
      <c r="O946" s="13"/>
      <c r="P946" s="15" t="s">
        <v>8469</v>
      </c>
      <c r="Q946" s="17" t="s">
        <v>8470</v>
      </c>
      <c r="R946" s="18">
        <v>23</v>
      </c>
      <c r="S946" s="19">
        <f t="shared" si="5"/>
        <v>3726</v>
      </c>
      <c r="T946" s="12" t="s">
        <v>46</v>
      </c>
      <c r="U946" s="15"/>
      <c r="V946" s="19">
        <v>44610</v>
      </c>
      <c r="W946" s="15"/>
      <c r="X946" s="13">
        <v>2497128</v>
      </c>
      <c r="Y946" s="20"/>
      <c r="Z946" s="13"/>
      <c r="AA946" s="13"/>
      <c r="AB946" s="13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</row>
    <row r="947" spans="1:46" ht="45" customHeight="1">
      <c r="A947" s="12" t="s">
        <v>8471</v>
      </c>
      <c r="B947" s="13" t="s">
        <v>8472</v>
      </c>
      <c r="C947" s="14" t="s">
        <v>8473</v>
      </c>
      <c r="D947" s="15" t="s">
        <v>8474</v>
      </c>
      <c r="E947" s="15" t="s">
        <v>8475</v>
      </c>
      <c r="F947" s="15"/>
      <c r="G947" s="15" t="s">
        <v>8476</v>
      </c>
      <c r="H947" s="15"/>
      <c r="I947" s="15" t="s">
        <v>149</v>
      </c>
      <c r="J947" s="15" t="s">
        <v>8477</v>
      </c>
      <c r="K947" s="15" t="s">
        <v>4398</v>
      </c>
      <c r="L947" s="15" t="s">
        <v>80</v>
      </c>
      <c r="M947" s="16" t="s">
        <v>5172</v>
      </c>
      <c r="N947" s="13" t="s">
        <v>8478</v>
      </c>
      <c r="O947" s="13"/>
      <c r="P947" s="15" t="s">
        <v>44</v>
      </c>
      <c r="Q947" s="17" t="s">
        <v>8479</v>
      </c>
      <c r="R947" s="18">
        <v>87</v>
      </c>
      <c r="S947" s="19">
        <f t="shared" si="5"/>
        <v>14094</v>
      </c>
      <c r="T947" s="12" t="s">
        <v>46</v>
      </c>
      <c r="U947" s="15"/>
      <c r="V947" s="19">
        <v>44610</v>
      </c>
      <c r="W947" s="15" t="s">
        <v>71</v>
      </c>
      <c r="X947" s="13"/>
      <c r="Y947" s="20"/>
      <c r="Z947" s="13"/>
      <c r="AA947" s="13">
        <v>4753684</v>
      </c>
      <c r="AB947" s="13"/>
      <c r="AC947" s="15">
        <v>5532312</v>
      </c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</row>
    <row r="948" spans="1:46" ht="45" customHeight="1">
      <c r="A948" s="50" t="s">
        <v>8480</v>
      </c>
      <c r="B948" s="51" t="s">
        <v>8481</v>
      </c>
      <c r="C948" s="52" t="s">
        <v>8482</v>
      </c>
      <c r="D948" s="53" t="s">
        <v>8483</v>
      </c>
      <c r="E948" s="53" t="s">
        <v>8484</v>
      </c>
      <c r="F948" s="53" t="s">
        <v>8407</v>
      </c>
      <c r="G948" s="53" t="s">
        <v>8485</v>
      </c>
      <c r="H948" s="53"/>
      <c r="I948" s="53" t="s">
        <v>149</v>
      </c>
      <c r="J948" s="53" t="s">
        <v>8485</v>
      </c>
      <c r="K948" s="53"/>
      <c r="L948" s="53" t="s">
        <v>149</v>
      </c>
      <c r="M948" s="68" t="s">
        <v>8486</v>
      </c>
      <c r="N948" s="51" t="s">
        <v>8487</v>
      </c>
      <c r="O948" s="51"/>
      <c r="P948" s="53" t="s">
        <v>44</v>
      </c>
      <c r="Q948" s="191" t="s">
        <v>8488</v>
      </c>
      <c r="R948" s="192">
        <v>543</v>
      </c>
      <c r="S948" s="57">
        <f t="shared" si="5"/>
        <v>87966</v>
      </c>
      <c r="T948" s="50" t="s">
        <v>46</v>
      </c>
      <c r="U948" s="53"/>
      <c r="V948" s="57">
        <v>44610</v>
      </c>
      <c r="W948" s="53"/>
      <c r="X948" s="51"/>
      <c r="Y948" s="58"/>
      <c r="Z948" s="51">
        <v>3903640</v>
      </c>
      <c r="AA948" s="51">
        <v>4736038</v>
      </c>
      <c r="AB948" s="51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</row>
    <row r="949" spans="1:46" ht="45" customHeight="1">
      <c r="A949" s="21" t="s">
        <v>8489</v>
      </c>
      <c r="B949" s="22" t="s">
        <v>8490</v>
      </c>
      <c r="C949" s="23" t="s">
        <v>8491</v>
      </c>
      <c r="D949" s="24" t="s">
        <v>8492</v>
      </c>
      <c r="E949" s="24" t="s">
        <v>8493</v>
      </c>
      <c r="F949" s="24" t="s">
        <v>8493</v>
      </c>
      <c r="G949" s="24" t="s">
        <v>8494</v>
      </c>
      <c r="H949" s="24" t="s">
        <v>8495</v>
      </c>
      <c r="I949" s="24" t="s">
        <v>38</v>
      </c>
      <c r="J949" s="24" t="s">
        <v>8494</v>
      </c>
      <c r="K949" s="24" t="s">
        <v>8495</v>
      </c>
      <c r="L949" s="24" t="s">
        <v>38</v>
      </c>
      <c r="M949" s="25" t="s">
        <v>8496</v>
      </c>
      <c r="N949" s="22">
        <v>2612146909</v>
      </c>
      <c r="O949" s="22"/>
      <c r="P949" s="45" t="s">
        <v>5967</v>
      </c>
      <c r="Q949" s="28" t="s">
        <v>8497</v>
      </c>
      <c r="R949" s="29">
        <v>57591</v>
      </c>
      <c r="S949" s="30">
        <f t="shared" si="5"/>
        <v>9329742</v>
      </c>
      <c r="T949" s="21" t="s">
        <v>70</v>
      </c>
      <c r="U949" s="24"/>
      <c r="V949" s="30">
        <f>S949</f>
        <v>9329742</v>
      </c>
      <c r="W949" s="24" t="s">
        <v>71</v>
      </c>
      <c r="X949" s="22"/>
      <c r="Y949" s="31"/>
      <c r="Z949" s="22">
        <v>3854861</v>
      </c>
      <c r="AA949" s="22">
        <v>4704305</v>
      </c>
      <c r="AB949" s="22"/>
      <c r="AC949" s="24">
        <v>5533782</v>
      </c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</row>
    <row r="950" spans="1:46" ht="45" customHeight="1">
      <c r="A950" s="12" t="s">
        <v>8498</v>
      </c>
      <c r="B950" s="13" t="s">
        <v>8499</v>
      </c>
      <c r="C950" s="14" t="s">
        <v>8500</v>
      </c>
      <c r="D950" s="15" t="s">
        <v>8501</v>
      </c>
      <c r="E950" s="15" t="s">
        <v>8407</v>
      </c>
      <c r="F950" s="15" t="s">
        <v>8502</v>
      </c>
      <c r="G950" s="15" t="s">
        <v>8503</v>
      </c>
      <c r="H950" s="15"/>
      <c r="I950" s="15" t="s">
        <v>41</v>
      </c>
      <c r="J950" s="15" t="s">
        <v>8504</v>
      </c>
      <c r="K950" s="15" t="s">
        <v>2652</v>
      </c>
      <c r="L950" s="15" t="s">
        <v>8505</v>
      </c>
      <c r="M950" s="48" t="s">
        <v>6983</v>
      </c>
      <c r="N950" s="13">
        <v>2604435738</v>
      </c>
      <c r="O950" s="13"/>
      <c r="P950" s="15" t="s">
        <v>44</v>
      </c>
      <c r="Q950" s="17" t="s">
        <v>8506</v>
      </c>
      <c r="R950" s="18">
        <v>179</v>
      </c>
      <c r="S950" s="19">
        <f t="shared" si="5"/>
        <v>28998</v>
      </c>
      <c r="T950" s="12" t="s">
        <v>46</v>
      </c>
      <c r="U950" s="15"/>
      <c r="V950" s="19">
        <v>44610</v>
      </c>
      <c r="W950" s="15"/>
      <c r="X950" s="13"/>
      <c r="Y950" s="20"/>
      <c r="Z950" s="13"/>
      <c r="AA950" s="13">
        <v>4756749</v>
      </c>
      <c r="AB950" s="13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</row>
    <row r="951" spans="1:46" ht="45" customHeight="1">
      <c r="A951" s="12" t="s">
        <v>8507</v>
      </c>
      <c r="B951" s="13" t="s">
        <v>8508</v>
      </c>
      <c r="C951" s="14" t="s">
        <v>8509</v>
      </c>
      <c r="D951" s="15" t="s">
        <v>8510</v>
      </c>
      <c r="E951" s="15" t="s">
        <v>8511</v>
      </c>
      <c r="F951" s="15" t="s">
        <v>8511</v>
      </c>
      <c r="G951" s="15" t="s">
        <v>8512</v>
      </c>
      <c r="H951" s="15"/>
      <c r="I951" s="15" t="s">
        <v>8513</v>
      </c>
      <c r="J951" s="15" t="s">
        <v>8512</v>
      </c>
      <c r="K951" s="15"/>
      <c r="L951" s="15" t="s">
        <v>8513</v>
      </c>
      <c r="M951" s="16" t="s">
        <v>8514</v>
      </c>
      <c r="N951" s="13" t="s">
        <v>8515</v>
      </c>
      <c r="O951" s="73"/>
      <c r="P951" s="15" t="s">
        <v>1381</v>
      </c>
      <c r="Q951" s="17" t="s">
        <v>8497</v>
      </c>
      <c r="R951" s="18">
        <v>550.55999999999995</v>
      </c>
      <c r="S951" s="19">
        <f t="shared" si="5"/>
        <v>89190.719999999987</v>
      </c>
      <c r="T951" s="12" t="s">
        <v>46</v>
      </c>
      <c r="U951" s="15"/>
      <c r="V951" s="19">
        <v>44610</v>
      </c>
      <c r="W951" s="15"/>
      <c r="X951" s="13"/>
      <c r="Y951" s="20"/>
      <c r="Z951" s="13"/>
      <c r="AA951" s="13"/>
      <c r="AB951" s="13">
        <v>4870829</v>
      </c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</row>
    <row r="952" spans="1:46" ht="45" customHeight="1">
      <c r="A952" s="12" t="s">
        <v>8516</v>
      </c>
      <c r="B952" s="13" t="s">
        <v>8517</v>
      </c>
      <c r="C952" s="14" t="s">
        <v>8518</v>
      </c>
      <c r="D952" s="15" t="s">
        <v>6980</v>
      </c>
      <c r="E952" s="15" t="s">
        <v>8407</v>
      </c>
      <c r="F952" s="15" t="s">
        <v>8502</v>
      </c>
      <c r="G952" s="15" t="s">
        <v>8519</v>
      </c>
      <c r="H952" s="15"/>
      <c r="I952" s="15" t="s">
        <v>115</v>
      </c>
      <c r="J952" s="15" t="s">
        <v>8503</v>
      </c>
      <c r="K952" s="15"/>
      <c r="L952" s="15" t="s">
        <v>41</v>
      </c>
      <c r="M952" s="74" t="s">
        <v>6983</v>
      </c>
      <c r="N952" s="13">
        <v>2604436083</v>
      </c>
      <c r="O952" s="13"/>
      <c r="P952" s="15" t="s">
        <v>44</v>
      </c>
      <c r="Q952" s="170" t="s">
        <v>8520</v>
      </c>
      <c r="R952" s="18">
        <v>96</v>
      </c>
      <c r="S952" s="19">
        <f t="shared" si="5"/>
        <v>15552</v>
      </c>
      <c r="T952" s="12" t="s">
        <v>46</v>
      </c>
      <c r="U952" s="15"/>
      <c r="V952" s="19">
        <v>44610</v>
      </c>
      <c r="W952" s="15"/>
      <c r="X952" s="13"/>
      <c r="Y952" s="20"/>
      <c r="Z952" s="13"/>
      <c r="AA952" s="13">
        <v>4756848</v>
      </c>
      <c r="AB952" s="13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</row>
    <row r="953" spans="1:46" ht="45" customHeight="1">
      <c r="A953" s="12" t="s">
        <v>8521</v>
      </c>
      <c r="B953" s="13" t="s">
        <v>8522</v>
      </c>
      <c r="C953" s="14" t="s">
        <v>8523</v>
      </c>
      <c r="D953" s="15" t="s">
        <v>8524</v>
      </c>
      <c r="E953" s="15" t="s">
        <v>8407</v>
      </c>
      <c r="F953" s="15" t="s">
        <v>8525</v>
      </c>
      <c r="G953" s="15" t="s">
        <v>8526</v>
      </c>
      <c r="H953" s="15"/>
      <c r="I953" s="15" t="s">
        <v>149</v>
      </c>
      <c r="J953" s="15" t="s">
        <v>8527</v>
      </c>
      <c r="K953" s="15" t="s">
        <v>2863</v>
      </c>
      <c r="L953" s="15" t="s">
        <v>80</v>
      </c>
      <c r="M953" s="67" t="s">
        <v>8528</v>
      </c>
      <c r="N953" s="13" t="s">
        <v>8529</v>
      </c>
      <c r="O953" s="13"/>
      <c r="P953" s="15" t="s">
        <v>94</v>
      </c>
      <c r="Q953" s="170" t="s">
        <v>8530</v>
      </c>
      <c r="R953" s="18">
        <v>164</v>
      </c>
      <c r="S953" s="19">
        <f t="shared" si="5"/>
        <v>26568</v>
      </c>
      <c r="T953" s="12" t="s">
        <v>46</v>
      </c>
      <c r="U953" s="15"/>
      <c r="V953" s="19">
        <v>44610</v>
      </c>
      <c r="W953" s="15"/>
      <c r="X953" s="193">
        <v>1080617</v>
      </c>
      <c r="Y953" s="20"/>
      <c r="Z953" s="13"/>
      <c r="AA953" s="13"/>
      <c r="AB953" s="13">
        <v>4837508</v>
      </c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</row>
    <row r="954" spans="1:46" ht="45" customHeight="1">
      <c r="A954" s="12" t="s">
        <v>8531</v>
      </c>
      <c r="B954" s="13" t="s">
        <v>8532</v>
      </c>
      <c r="C954" s="14" t="s">
        <v>8533</v>
      </c>
      <c r="D954" s="15" t="s">
        <v>8534</v>
      </c>
      <c r="E954" s="15" t="s">
        <v>8407</v>
      </c>
      <c r="F954" s="15" t="s">
        <v>8225</v>
      </c>
      <c r="G954" s="194">
        <v>36716</v>
      </c>
      <c r="H954" s="15" t="s">
        <v>8535</v>
      </c>
      <c r="I954" s="15" t="s">
        <v>5916</v>
      </c>
      <c r="J954" s="194">
        <v>36716</v>
      </c>
      <c r="K954" s="15" t="s">
        <v>8535</v>
      </c>
      <c r="L954" s="15" t="s">
        <v>5916</v>
      </c>
      <c r="M954" s="16" t="s">
        <v>8536</v>
      </c>
      <c r="N954" s="13">
        <v>2615382288</v>
      </c>
      <c r="O954" s="13"/>
      <c r="P954" s="15" t="s">
        <v>8537</v>
      </c>
      <c r="Q954" s="170" t="s">
        <v>8538</v>
      </c>
      <c r="R954" s="18">
        <v>513</v>
      </c>
      <c r="S954" s="19">
        <f t="shared" si="5"/>
        <v>83106</v>
      </c>
      <c r="T954" s="12" t="s">
        <v>46</v>
      </c>
      <c r="U954" s="15"/>
      <c r="V954" s="19">
        <v>44610</v>
      </c>
      <c r="W954" s="15"/>
      <c r="X954" s="13">
        <v>1162230</v>
      </c>
      <c r="Y954" s="20"/>
      <c r="Z954" s="13"/>
      <c r="AA954" s="13">
        <v>4747317</v>
      </c>
      <c r="AB954" s="13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</row>
    <row r="955" spans="1:46" ht="45" customHeight="1">
      <c r="A955" s="12" t="s">
        <v>8539</v>
      </c>
      <c r="B955" s="13" t="s">
        <v>8540</v>
      </c>
      <c r="C955" s="14" t="s">
        <v>8541</v>
      </c>
      <c r="D955" s="15" t="s">
        <v>8542</v>
      </c>
      <c r="E955" s="15" t="s">
        <v>5734</v>
      </c>
      <c r="F955" s="15" t="s">
        <v>3444</v>
      </c>
      <c r="G955" s="15" t="s">
        <v>8543</v>
      </c>
      <c r="H955" s="15" t="s">
        <v>1078</v>
      </c>
      <c r="I955" s="15" t="s">
        <v>149</v>
      </c>
      <c r="J955" s="15" t="s">
        <v>8543</v>
      </c>
      <c r="K955" s="15" t="s">
        <v>1078</v>
      </c>
      <c r="L955" s="15" t="s">
        <v>149</v>
      </c>
      <c r="M955" s="16" t="s">
        <v>8544</v>
      </c>
      <c r="N955" s="13" t="s">
        <v>8545</v>
      </c>
      <c r="O955" s="13"/>
      <c r="P955" s="15" t="s">
        <v>1381</v>
      </c>
      <c r="Q955" s="17" t="s">
        <v>8546</v>
      </c>
      <c r="R955" s="195">
        <v>238</v>
      </c>
      <c r="S955" s="19">
        <f t="shared" si="5"/>
        <v>38556</v>
      </c>
      <c r="T955" s="12" t="s">
        <v>46</v>
      </c>
      <c r="U955" s="15"/>
      <c r="V955" s="19">
        <v>44610</v>
      </c>
      <c r="W955" s="15"/>
      <c r="X955" s="13">
        <v>711114</v>
      </c>
      <c r="Y955" s="20"/>
      <c r="Z955" s="13"/>
      <c r="AA955" s="13">
        <v>4719698</v>
      </c>
      <c r="AB955" s="13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</row>
    <row r="956" spans="1:46" ht="45" customHeight="1">
      <c r="A956" s="12" t="s">
        <v>8547</v>
      </c>
      <c r="B956" s="13" t="s">
        <v>8548</v>
      </c>
      <c r="C956" s="14" t="s">
        <v>8549</v>
      </c>
      <c r="D956" s="15" t="s">
        <v>8550</v>
      </c>
      <c r="E956" s="15" t="s">
        <v>8407</v>
      </c>
      <c r="F956" s="15" t="s">
        <v>8551</v>
      </c>
      <c r="G956" s="15" t="s">
        <v>8552</v>
      </c>
      <c r="H956" s="15" t="s">
        <v>2863</v>
      </c>
      <c r="I956" s="15" t="s">
        <v>80</v>
      </c>
      <c r="J956" s="15" t="s">
        <v>8553</v>
      </c>
      <c r="K956" s="15" t="s">
        <v>8554</v>
      </c>
      <c r="L956" s="15" t="s">
        <v>115</v>
      </c>
      <c r="M956" s="67" t="s">
        <v>8555</v>
      </c>
      <c r="N956" s="13">
        <v>2614978419</v>
      </c>
      <c r="O956" s="13"/>
      <c r="P956" s="15" t="s">
        <v>94</v>
      </c>
      <c r="Q956" s="170" t="s">
        <v>8556</v>
      </c>
      <c r="R956" s="195">
        <v>261</v>
      </c>
      <c r="S956" s="19">
        <f t="shared" si="5"/>
        <v>42282</v>
      </c>
      <c r="T956" s="12" t="s">
        <v>46</v>
      </c>
      <c r="U956" s="15"/>
      <c r="V956" s="19">
        <v>44610</v>
      </c>
      <c r="W956" s="15" t="s">
        <v>71</v>
      </c>
      <c r="X956" s="13">
        <v>1212594</v>
      </c>
      <c r="Y956" s="20">
        <v>3059979</v>
      </c>
      <c r="Z956" s="13">
        <v>3790207</v>
      </c>
      <c r="AA956" s="13">
        <v>4628356</v>
      </c>
      <c r="AB956" s="13"/>
      <c r="AC956" s="15">
        <v>5493532</v>
      </c>
      <c r="AD956" s="49">
        <v>6479632</v>
      </c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</row>
    <row r="957" spans="1:46" ht="45" customHeight="1">
      <c r="A957" s="50" t="s">
        <v>8557</v>
      </c>
      <c r="B957" s="51" t="s">
        <v>8558</v>
      </c>
      <c r="C957" s="52" t="s">
        <v>8559</v>
      </c>
      <c r="D957" s="53" t="s">
        <v>8560</v>
      </c>
      <c r="E957" s="53" t="s">
        <v>8407</v>
      </c>
      <c r="F957" s="53" t="s">
        <v>8561</v>
      </c>
      <c r="G957" s="53" t="s">
        <v>8562</v>
      </c>
      <c r="H957" s="53" t="s">
        <v>8563</v>
      </c>
      <c r="I957" s="53" t="s">
        <v>80</v>
      </c>
      <c r="J957" s="53" t="s">
        <v>8562</v>
      </c>
      <c r="K957" s="53" t="s">
        <v>8563</v>
      </c>
      <c r="L957" s="53" t="s">
        <v>80</v>
      </c>
      <c r="M957" s="68" t="s">
        <v>8564</v>
      </c>
      <c r="N957" s="51" t="s">
        <v>8565</v>
      </c>
      <c r="O957" s="51"/>
      <c r="P957" s="53" t="s">
        <v>94</v>
      </c>
      <c r="Q957" s="55" t="s">
        <v>8566</v>
      </c>
      <c r="R957" s="56">
        <v>62.07</v>
      </c>
      <c r="S957" s="57">
        <f t="shared" si="5"/>
        <v>10055.34</v>
      </c>
      <c r="T957" s="50" t="s">
        <v>46</v>
      </c>
      <c r="U957" s="53"/>
      <c r="V957" s="57">
        <v>44610</v>
      </c>
      <c r="W957" s="53"/>
      <c r="X957" s="51">
        <v>1226195</v>
      </c>
      <c r="Y957" s="58">
        <v>3113372</v>
      </c>
      <c r="Z957" s="51">
        <v>3840388</v>
      </c>
      <c r="AA957" s="51">
        <v>4721038</v>
      </c>
      <c r="AB957" s="51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</row>
    <row r="958" spans="1:46" ht="45" customHeight="1">
      <c r="A958" s="21" t="s">
        <v>8567</v>
      </c>
      <c r="B958" s="22" t="s">
        <v>8568</v>
      </c>
      <c r="C958" s="23" t="s">
        <v>8569</v>
      </c>
      <c r="D958" s="24" t="s">
        <v>8570</v>
      </c>
      <c r="E958" s="24"/>
      <c r="F958" s="24"/>
      <c r="G958" s="24" t="s">
        <v>8571</v>
      </c>
      <c r="H958" s="24" t="s">
        <v>3380</v>
      </c>
      <c r="I958" s="24" t="s">
        <v>38</v>
      </c>
      <c r="J958" s="24" t="s">
        <v>8571</v>
      </c>
      <c r="K958" s="24" t="s">
        <v>3380</v>
      </c>
      <c r="L958" s="24" t="s">
        <v>38</v>
      </c>
      <c r="M958" s="76" t="s">
        <v>8572</v>
      </c>
      <c r="N958" s="22" t="s">
        <v>8573</v>
      </c>
      <c r="O958" s="22"/>
      <c r="P958" s="24" t="s">
        <v>8574</v>
      </c>
      <c r="Q958" s="28" t="s">
        <v>8575</v>
      </c>
      <c r="R958" s="29">
        <v>662.73</v>
      </c>
      <c r="S958" s="30">
        <f t="shared" si="5"/>
        <v>107362.26000000001</v>
      </c>
      <c r="T958" s="21" t="s">
        <v>252</v>
      </c>
      <c r="U958" s="24"/>
      <c r="V958" s="30">
        <v>123900</v>
      </c>
      <c r="W958" s="45" t="s">
        <v>71</v>
      </c>
      <c r="X958" s="22"/>
      <c r="Y958" s="31">
        <v>3118054</v>
      </c>
      <c r="Z958" s="22">
        <v>3908341</v>
      </c>
      <c r="AA958" s="22">
        <v>4753523</v>
      </c>
      <c r="AB958" s="22"/>
      <c r="AC958" s="45">
        <v>5637431</v>
      </c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</row>
    <row r="959" spans="1:46" ht="45" customHeight="1">
      <c r="A959" s="12" t="s">
        <v>8576</v>
      </c>
      <c r="B959" s="13" t="s">
        <v>8577</v>
      </c>
      <c r="C959" s="66" t="s">
        <v>8578</v>
      </c>
      <c r="D959" s="15" t="s">
        <v>8579</v>
      </c>
      <c r="E959" s="15"/>
      <c r="F959" s="15"/>
      <c r="G959" s="15" t="s">
        <v>8580</v>
      </c>
      <c r="H959" s="15"/>
      <c r="I959" s="15" t="s">
        <v>38</v>
      </c>
      <c r="J959" s="15" t="s">
        <v>8580</v>
      </c>
      <c r="K959" s="15"/>
      <c r="L959" s="15" t="s">
        <v>38</v>
      </c>
      <c r="M959" s="46" t="s">
        <v>8581</v>
      </c>
      <c r="N959" s="13"/>
      <c r="O959" s="13"/>
      <c r="P959" s="15" t="s">
        <v>8574</v>
      </c>
      <c r="Q959" s="170" t="s">
        <v>8582</v>
      </c>
      <c r="R959" s="18" t="s">
        <v>5746</v>
      </c>
      <c r="S959" s="19" t="e">
        <f t="shared" si="5"/>
        <v>#VALUE!</v>
      </c>
      <c r="T959" s="12" t="s">
        <v>5746</v>
      </c>
      <c r="U959" s="15"/>
      <c r="V959" s="19">
        <v>6300</v>
      </c>
      <c r="W959" s="15"/>
      <c r="X959" s="13"/>
      <c r="Y959" s="20"/>
      <c r="Z959" s="13"/>
      <c r="AA959" s="13"/>
      <c r="AB959" s="13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</row>
    <row r="960" spans="1:46" ht="45" customHeight="1">
      <c r="A960" s="21" t="s">
        <v>8583</v>
      </c>
      <c r="B960" s="22" t="s">
        <v>8584</v>
      </c>
      <c r="C960" s="23" t="s">
        <v>8585</v>
      </c>
      <c r="D960" s="24" t="s">
        <v>8586</v>
      </c>
      <c r="E960" s="24"/>
      <c r="F960" s="24"/>
      <c r="G960" s="24" t="s">
        <v>8587</v>
      </c>
      <c r="H960" s="24" t="s">
        <v>4017</v>
      </c>
      <c r="I960" s="24" t="s">
        <v>38</v>
      </c>
      <c r="J960" s="24" t="s">
        <v>8587</v>
      </c>
      <c r="K960" s="24" t="s">
        <v>4017</v>
      </c>
      <c r="L960" s="24" t="s">
        <v>38</v>
      </c>
      <c r="M960" s="25" t="s">
        <v>8588</v>
      </c>
      <c r="N960" s="13" t="s">
        <v>8589</v>
      </c>
      <c r="O960" s="22"/>
      <c r="P960" s="24" t="s">
        <v>8590</v>
      </c>
      <c r="Q960" s="28" t="s">
        <v>8591</v>
      </c>
      <c r="R960" s="29">
        <v>878</v>
      </c>
      <c r="S960" s="30">
        <f t="shared" si="5"/>
        <v>142236</v>
      </c>
      <c r="T960" s="21" t="s">
        <v>252</v>
      </c>
      <c r="U960" s="24"/>
      <c r="V960" s="30">
        <v>123900</v>
      </c>
      <c r="W960" s="24" t="s">
        <v>47</v>
      </c>
      <c r="X960" s="22">
        <v>1366304</v>
      </c>
      <c r="Y960" s="31"/>
      <c r="Z960" s="22"/>
      <c r="AA960" s="22"/>
      <c r="AB960" s="22">
        <v>4861515</v>
      </c>
      <c r="AC960" s="24">
        <v>5570933</v>
      </c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</row>
    <row r="961" spans="1:46" ht="45" customHeight="1">
      <c r="A961" s="12" t="s">
        <v>8592</v>
      </c>
      <c r="B961" s="13" t="s">
        <v>8593</v>
      </c>
      <c r="C961" s="14" t="s">
        <v>8594</v>
      </c>
      <c r="D961" s="15" t="s">
        <v>8595</v>
      </c>
      <c r="E961" s="15"/>
      <c r="F961" s="15"/>
      <c r="G961" s="15" t="s">
        <v>8596</v>
      </c>
      <c r="H961" s="15"/>
      <c r="I961" s="15" t="s">
        <v>115</v>
      </c>
      <c r="J961" s="15" t="s">
        <v>8596</v>
      </c>
      <c r="K961" s="15"/>
      <c r="L961" s="15" t="s">
        <v>115</v>
      </c>
      <c r="M961" s="46" t="s">
        <v>8597</v>
      </c>
      <c r="N961" s="13" t="s">
        <v>8598</v>
      </c>
      <c r="O961" s="13"/>
      <c r="P961" s="15" t="s">
        <v>8574</v>
      </c>
      <c r="Q961" s="17" t="s">
        <v>8599</v>
      </c>
      <c r="R961" s="18">
        <v>136</v>
      </c>
      <c r="S961" s="19">
        <f t="shared" si="5"/>
        <v>22032</v>
      </c>
      <c r="T961" s="12" t="s">
        <v>46</v>
      </c>
      <c r="U961" s="15"/>
      <c r="V961" s="19">
        <v>44610</v>
      </c>
      <c r="W961" s="15"/>
      <c r="X961" s="13"/>
      <c r="Y961" s="20"/>
      <c r="Z961" s="13"/>
      <c r="AA961" s="13">
        <v>4690148</v>
      </c>
      <c r="AB961" s="13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</row>
    <row r="962" spans="1:46" ht="45" customHeight="1">
      <c r="A962" s="12" t="s">
        <v>8600</v>
      </c>
      <c r="B962" s="13" t="s">
        <v>8601</v>
      </c>
      <c r="C962" s="14" t="s">
        <v>8602</v>
      </c>
      <c r="D962" s="15" t="s">
        <v>8603</v>
      </c>
      <c r="E962" s="15"/>
      <c r="F962" s="15"/>
      <c r="G962" s="15" t="s">
        <v>8604</v>
      </c>
      <c r="H962" s="15"/>
      <c r="I962" s="15" t="s">
        <v>115</v>
      </c>
      <c r="J962" s="15" t="s">
        <v>8604</v>
      </c>
      <c r="K962" s="15"/>
      <c r="L962" s="15" t="s">
        <v>115</v>
      </c>
      <c r="M962" s="16" t="s">
        <v>8605</v>
      </c>
      <c r="N962" s="13" t="s">
        <v>8606</v>
      </c>
      <c r="O962" s="13"/>
      <c r="P962" s="15" t="s">
        <v>8607</v>
      </c>
      <c r="Q962" s="17" t="s">
        <v>8608</v>
      </c>
      <c r="R962" s="18">
        <v>96.52</v>
      </c>
      <c r="S962" s="19">
        <f t="shared" si="5"/>
        <v>15636.24</v>
      </c>
      <c r="T962" s="12" t="s">
        <v>46</v>
      </c>
      <c r="U962" s="15"/>
      <c r="V962" s="19">
        <v>44610</v>
      </c>
      <c r="W962" s="49" t="s">
        <v>71</v>
      </c>
      <c r="X962" s="13">
        <v>1360471</v>
      </c>
      <c r="Y962" s="20"/>
      <c r="Z962" s="13"/>
      <c r="AA962" s="13"/>
      <c r="AB962" s="13">
        <v>4891230</v>
      </c>
      <c r="AC962" s="49">
        <v>5628259</v>
      </c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</row>
    <row r="963" spans="1:46" ht="45" customHeight="1">
      <c r="A963" s="12" t="s">
        <v>8609</v>
      </c>
      <c r="B963" s="13" t="s">
        <v>8610</v>
      </c>
      <c r="C963" s="66" t="s">
        <v>8611</v>
      </c>
      <c r="D963" s="15" t="s">
        <v>8612</v>
      </c>
      <c r="E963" s="15"/>
      <c r="F963" s="15"/>
      <c r="G963" s="15" t="s">
        <v>8613</v>
      </c>
      <c r="H963" s="15"/>
      <c r="I963" s="15" t="s">
        <v>80</v>
      </c>
      <c r="J963" s="15" t="s">
        <v>8613</v>
      </c>
      <c r="K963" s="15"/>
      <c r="L963" s="15" t="s">
        <v>80</v>
      </c>
      <c r="M963" s="46" t="s">
        <v>8614</v>
      </c>
      <c r="N963" s="13">
        <v>2614978100</v>
      </c>
      <c r="O963" s="13"/>
      <c r="P963" s="15" t="s">
        <v>8615</v>
      </c>
      <c r="Q963" s="170" t="s">
        <v>8616</v>
      </c>
      <c r="R963" s="18" t="s">
        <v>5746</v>
      </c>
      <c r="S963" s="19" t="e">
        <f t="shared" si="5"/>
        <v>#VALUE!</v>
      </c>
      <c r="T963" s="12" t="s">
        <v>5746</v>
      </c>
      <c r="U963" s="15"/>
      <c r="V963" s="19">
        <v>6300</v>
      </c>
      <c r="W963" s="15"/>
      <c r="X963" s="13"/>
      <c r="Y963" s="20"/>
      <c r="Z963" s="13"/>
      <c r="AA963" s="13"/>
      <c r="AB963" s="13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</row>
    <row r="964" spans="1:46" ht="45" customHeight="1">
      <c r="A964" s="12" t="s">
        <v>8617</v>
      </c>
      <c r="B964" s="13" t="s">
        <v>8618</v>
      </c>
      <c r="C964" s="14" t="s">
        <v>8619</v>
      </c>
      <c r="D964" s="15" t="s">
        <v>8620</v>
      </c>
      <c r="E964" s="15" t="s">
        <v>8178</v>
      </c>
      <c r="F964" s="15" t="s">
        <v>8178</v>
      </c>
      <c r="G964" s="15" t="s">
        <v>8621</v>
      </c>
      <c r="H964" s="15"/>
      <c r="I964" s="15" t="s">
        <v>38</v>
      </c>
      <c r="J964" s="15" t="s">
        <v>8621</v>
      </c>
      <c r="K964" s="15"/>
      <c r="L964" s="15" t="s">
        <v>38</v>
      </c>
      <c r="M964" s="16" t="s">
        <v>8622</v>
      </c>
      <c r="N964" s="13">
        <v>2612579991</v>
      </c>
      <c r="O964" s="13"/>
      <c r="P964" s="15" t="s">
        <v>8574</v>
      </c>
      <c r="Q964" s="17" t="s">
        <v>8623</v>
      </c>
      <c r="R964" s="18">
        <v>24</v>
      </c>
      <c r="S964" s="19">
        <f t="shared" si="5"/>
        <v>3888</v>
      </c>
      <c r="T964" s="12" t="s">
        <v>46</v>
      </c>
      <c r="U964" s="15"/>
      <c r="V964" s="19">
        <v>44610</v>
      </c>
      <c r="W964" s="15"/>
      <c r="X964" s="13"/>
      <c r="Y964" s="20"/>
      <c r="Z964" s="13">
        <v>3850363</v>
      </c>
      <c r="AA964" s="13">
        <v>4740914</v>
      </c>
      <c r="AB964" s="13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</row>
    <row r="965" spans="1:46" ht="45" customHeight="1">
      <c r="A965" s="12" t="s">
        <v>8624</v>
      </c>
      <c r="B965" s="13" t="s">
        <v>8625</v>
      </c>
      <c r="C965" s="66" t="s">
        <v>8626</v>
      </c>
      <c r="D965" s="15" t="s">
        <v>8627</v>
      </c>
      <c r="E965" s="15"/>
      <c r="F965" s="15"/>
      <c r="G965" s="15" t="s">
        <v>8628</v>
      </c>
      <c r="H965" s="15" t="s">
        <v>5915</v>
      </c>
      <c r="I965" s="15" t="s">
        <v>115</v>
      </c>
      <c r="J965" s="15" t="s">
        <v>8628</v>
      </c>
      <c r="K965" s="15" t="s">
        <v>5915</v>
      </c>
      <c r="L965" s="15" t="s">
        <v>115</v>
      </c>
      <c r="M965" s="46" t="s">
        <v>8629</v>
      </c>
      <c r="N965" s="13">
        <v>2615113865</v>
      </c>
      <c r="O965" s="13"/>
      <c r="P965" s="15" t="s">
        <v>8630</v>
      </c>
      <c r="Q965" s="17" t="s">
        <v>8631</v>
      </c>
      <c r="R965" s="18" t="s">
        <v>5746</v>
      </c>
      <c r="S965" s="19" t="e">
        <f t="shared" si="5"/>
        <v>#VALUE!</v>
      </c>
      <c r="T965" s="12" t="s">
        <v>5746</v>
      </c>
      <c r="U965" s="15"/>
      <c r="V965" s="19">
        <v>6300</v>
      </c>
      <c r="W965" s="15"/>
      <c r="X965" s="13"/>
      <c r="Y965" s="20"/>
      <c r="Z965" s="13"/>
      <c r="AA965" s="13"/>
      <c r="AB965" s="13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</row>
    <row r="966" spans="1:46" ht="45" customHeight="1">
      <c r="A966" s="12" t="s">
        <v>8632</v>
      </c>
      <c r="B966" s="13" t="s">
        <v>8633</v>
      </c>
      <c r="C966" s="14" t="s">
        <v>8634</v>
      </c>
      <c r="D966" s="15" t="s">
        <v>8635</v>
      </c>
      <c r="E966" s="15"/>
      <c r="F966" s="15"/>
      <c r="G966" s="15" t="s">
        <v>8636</v>
      </c>
      <c r="H966" s="15"/>
      <c r="I966" s="15" t="s">
        <v>80</v>
      </c>
      <c r="J966" s="15" t="s">
        <v>8636</v>
      </c>
      <c r="K966" s="15"/>
      <c r="L966" s="15" t="s">
        <v>80</v>
      </c>
      <c r="M966" s="16" t="s">
        <v>8637</v>
      </c>
      <c r="N966" s="13">
        <v>2615551843</v>
      </c>
      <c r="O966" s="13"/>
      <c r="P966" s="15" t="s">
        <v>8574</v>
      </c>
      <c r="Q966" s="17" t="s">
        <v>8638</v>
      </c>
      <c r="R966" s="18">
        <v>521.62</v>
      </c>
      <c r="S966" s="19">
        <f t="shared" si="5"/>
        <v>84502.44</v>
      </c>
      <c r="T966" s="12" t="s">
        <v>46</v>
      </c>
      <c r="U966" s="15"/>
      <c r="V966" s="19">
        <v>44610</v>
      </c>
      <c r="W966" s="15" t="s">
        <v>71</v>
      </c>
      <c r="X966" s="13">
        <v>1390500</v>
      </c>
      <c r="Y966" s="20"/>
      <c r="Z966" s="13">
        <v>3907577</v>
      </c>
      <c r="AA966" s="13">
        <v>4749620</v>
      </c>
      <c r="AB966" s="13"/>
      <c r="AC966" s="15">
        <v>5596648</v>
      </c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</row>
    <row r="967" spans="1:46" ht="45" customHeight="1">
      <c r="A967" s="12" t="s">
        <v>8639</v>
      </c>
      <c r="B967" s="13" t="s">
        <v>8640</v>
      </c>
      <c r="C967" s="14" t="s">
        <v>8641</v>
      </c>
      <c r="D967" s="15" t="s">
        <v>8642</v>
      </c>
      <c r="E967" s="15" t="s">
        <v>3315</v>
      </c>
      <c r="F967" s="15" t="s">
        <v>3315</v>
      </c>
      <c r="G967" s="15" t="s">
        <v>8643</v>
      </c>
      <c r="H967" s="15"/>
      <c r="I967" s="15" t="s">
        <v>321</v>
      </c>
      <c r="J967" s="15" t="s">
        <v>8643</v>
      </c>
      <c r="K967" s="15"/>
      <c r="L967" s="15" t="s">
        <v>321</v>
      </c>
      <c r="M967" s="16" t="s">
        <v>8644</v>
      </c>
      <c r="N967" s="13">
        <v>2613053115</v>
      </c>
      <c r="O967" s="13"/>
      <c r="P967" s="15" t="s">
        <v>8377</v>
      </c>
      <c r="Q967" s="17" t="s">
        <v>8645</v>
      </c>
      <c r="R967" s="18">
        <v>293</v>
      </c>
      <c r="S967" s="19">
        <f t="shared" si="5"/>
        <v>47466</v>
      </c>
      <c r="T967" s="12" t="s">
        <v>46</v>
      </c>
      <c r="U967" s="15"/>
      <c r="V967" s="19">
        <v>44610</v>
      </c>
      <c r="W967" s="15" t="s">
        <v>71</v>
      </c>
      <c r="X967" s="13">
        <v>1389605</v>
      </c>
      <c r="Y967" s="20">
        <v>3100064</v>
      </c>
      <c r="Z967" s="13">
        <v>3880974</v>
      </c>
      <c r="AA967" s="13">
        <v>4745221</v>
      </c>
      <c r="AB967" s="13"/>
      <c r="AC967" s="15">
        <v>5606478</v>
      </c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</row>
    <row r="968" spans="1:46" ht="45" customHeight="1">
      <c r="A968" s="21" t="s">
        <v>8646</v>
      </c>
      <c r="B968" s="22" t="s">
        <v>8647</v>
      </c>
      <c r="C968" s="23" t="s">
        <v>8648</v>
      </c>
      <c r="D968" s="24" t="s">
        <v>1568</v>
      </c>
      <c r="E968" s="24" t="s">
        <v>8225</v>
      </c>
      <c r="F968" s="24" t="s">
        <v>8225</v>
      </c>
      <c r="G968" s="24" t="s">
        <v>8649</v>
      </c>
      <c r="H968" s="24" t="s">
        <v>3380</v>
      </c>
      <c r="I968" s="24" t="s">
        <v>38</v>
      </c>
      <c r="J968" s="24" t="s">
        <v>8649</v>
      </c>
      <c r="K968" s="24" t="s">
        <v>3380</v>
      </c>
      <c r="L968" s="24" t="s">
        <v>38</v>
      </c>
      <c r="M968" s="25" t="s">
        <v>8650</v>
      </c>
      <c r="N968" s="22">
        <v>2615715084</v>
      </c>
      <c r="O968" s="22"/>
      <c r="P968" s="24" t="s">
        <v>2111</v>
      </c>
      <c r="Q968" s="28" t="s">
        <v>8651</v>
      </c>
      <c r="R968" s="29">
        <v>650</v>
      </c>
      <c r="S968" s="30">
        <f t="shared" si="5"/>
        <v>105300</v>
      </c>
      <c r="T968" s="21" t="s">
        <v>252</v>
      </c>
      <c r="U968" s="24"/>
      <c r="V968" s="44">
        <v>123900</v>
      </c>
      <c r="W968" s="24" t="s">
        <v>71</v>
      </c>
      <c r="X968" s="22"/>
      <c r="Y968" s="31"/>
      <c r="Z968" s="22">
        <v>3865134</v>
      </c>
      <c r="AA968" s="22">
        <v>4745990</v>
      </c>
      <c r="AB968" s="22"/>
      <c r="AC968" s="24">
        <v>5609057</v>
      </c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</row>
    <row r="969" spans="1:46" ht="45" customHeight="1">
      <c r="A969" s="12" t="s">
        <v>8652</v>
      </c>
      <c r="B969" s="13" t="s">
        <v>8653</v>
      </c>
      <c r="C969" s="14" t="s">
        <v>8654</v>
      </c>
      <c r="D969" s="15" t="s">
        <v>8655</v>
      </c>
      <c r="E969" s="15"/>
      <c r="F969" s="15"/>
      <c r="G969" s="15" t="s">
        <v>8656</v>
      </c>
      <c r="H969" s="15" t="s">
        <v>3380</v>
      </c>
      <c r="I969" s="15" t="s">
        <v>38</v>
      </c>
      <c r="J969" s="15" t="s">
        <v>8656</v>
      </c>
      <c r="K969" s="15" t="s">
        <v>3380</v>
      </c>
      <c r="L969" s="15" t="s">
        <v>38</v>
      </c>
      <c r="M969" s="46" t="s">
        <v>8657</v>
      </c>
      <c r="N969" s="13"/>
      <c r="O969" s="13"/>
      <c r="P969" s="15" t="s">
        <v>8574</v>
      </c>
      <c r="Q969" s="17" t="s">
        <v>8658</v>
      </c>
      <c r="R969" s="18">
        <v>442</v>
      </c>
      <c r="S969" s="19">
        <f t="shared" si="5"/>
        <v>71604</v>
      </c>
      <c r="T969" s="12" t="s">
        <v>46</v>
      </c>
      <c r="U969" s="15"/>
      <c r="V969" s="19">
        <v>44610</v>
      </c>
      <c r="W969" s="15"/>
      <c r="X969" s="13">
        <v>1392331</v>
      </c>
      <c r="Y969" s="20"/>
      <c r="Z969" s="13"/>
      <c r="AA969" s="13">
        <v>4744582</v>
      </c>
      <c r="AB969" s="13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</row>
    <row r="970" spans="1:46" ht="45" customHeight="1">
      <c r="A970" s="12" t="s">
        <v>8659</v>
      </c>
      <c r="B970" s="13" t="s">
        <v>8660</v>
      </c>
      <c r="C970" s="66" t="s">
        <v>8661</v>
      </c>
      <c r="D970" s="15" t="s">
        <v>8662</v>
      </c>
      <c r="E970" s="15"/>
      <c r="F970" s="15"/>
      <c r="G970" s="15" t="s">
        <v>8663</v>
      </c>
      <c r="H970" s="15"/>
      <c r="I970" s="15" t="s">
        <v>38</v>
      </c>
      <c r="J970" s="15" t="s">
        <v>8663</v>
      </c>
      <c r="K970" s="15"/>
      <c r="L970" s="15" t="s">
        <v>38</v>
      </c>
      <c r="M970" s="46" t="s">
        <v>8664</v>
      </c>
      <c r="N970" s="13"/>
      <c r="O970" s="13"/>
      <c r="P970" s="15" t="s">
        <v>8665</v>
      </c>
      <c r="Q970" s="17" t="s">
        <v>8666</v>
      </c>
      <c r="R970" s="18" t="s">
        <v>5746</v>
      </c>
      <c r="S970" s="19" t="e">
        <f t="shared" si="5"/>
        <v>#VALUE!</v>
      </c>
      <c r="T970" s="12" t="s">
        <v>5746</v>
      </c>
      <c r="U970" s="15"/>
      <c r="V970" s="19">
        <v>6300</v>
      </c>
      <c r="W970" s="15"/>
      <c r="X970" s="13"/>
      <c r="Y970" s="20"/>
      <c r="Z970" s="13"/>
      <c r="AA970" s="13"/>
      <c r="AB970" s="13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</row>
    <row r="971" spans="1:46" ht="45" customHeight="1">
      <c r="A971" s="12" t="s">
        <v>8667</v>
      </c>
      <c r="B971" s="13" t="s">
        <v>8668</v>
      </c>
      <c r="C971" s="14" t="s">
        <v>8669</v>
      </c>
      <c r="D971" s="15" t="s">
        <v>8670</v>
      </c>
      <c r="E971" s="15"/>
      <c r="F971" s="15"/>
      <c r="G971" s="15" t="s">
        <v>8671</v>
      </c>
      <c r="H971" s="15"/>
      <c r="I971" s="15" t="s">
        <v>149</v>
      </c>
      <c r="J971" s="15" t="s">
        <v>8672</v>
      </c>
      <c r="K971" s="15" t="s">
        <v>3380</v>
      </c>
      <c r="L971" s="15" t="s">
        <v>38</v>
      </c>
      <c r="M971" s="114" t="s">
        <v>8673</v>
      </c>
      <c r="N971" s="13">
        <v>2614545211</v>
      </c>
      <c r="O971" s="13"/>
      <c r="P971" s="15" t="s">
        <v>8393</v>
      </c>
      <c r="Q971" s="17" t="s">
        <v>8674</v>
      </c>
      <c r="R971" s="18">
        <v>345</v>
      </c>
      <c r="S971" s="19">
        <f t="shared" si="5"/>
        <v>55890</v>
      </c>
      <c r="T971" s="12" t="s">
        <v>46</v>
      </c>
      <c r="U971" s="15"/>
      <c r="V971" s="19">
        <v>44610</v>
      </c>
      <c r="W971" s="49" t="s">
        <v>71</v>
      </c>
      <c r="X971" s="13">
        <v>1460169</v>
      </c>
      <c r="Y971" s="20"/>
      <c r="Z971" s="13">
        <v>3899669</v>
      </c>
      <c r="AA971" s="13">
        <v>4902030</v>
      </c>
      <c r="AB971" s="13"/>
      <c r="AC971" s="49">
        <v>5623119</v>
      </c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</row>
    <row r="972" spans="1:46" ht="45" customHeight="1">
      <c r="A972" s="12" t="s">
        <v>8675</v>
      </c>
      <c r="B972" s="13" t="s">
        <v>8676</v>
      </c>
      <c r="C972" s="66" t="s">
        <v>8677</v>
      </c>
      <c r="D972" s="15" t="s">
        <v>8678</v>
      </c>
      <c r="E972" s="15"/>
      <c r="F972" s="15"/>
      <c r="G972" s="15" t="s">
        <v>8679</v>
      </c>
      <c r="H972" s="15"/>
      <c r="I972" s="15" t="s">
        <v>38</v>
      </c>
      <c r="J972" s="15" t="s">
        <v>8679</v>
      </c>
      <c r="K972" s="15"/>
      <c r="L972" s="15" t="s">
        <v>38</v>
      </c>
      <c r="M972" s="46" t="s">
        <v>8680</v>
      </c>
      <c r="N972" s="13"/>
      <c r="O972" s="13"/>
      <c r="P972" s="15" t="s">
        <v>8681</v>
      </c>
      <c r="Q972" s="17" t="s">
        <v>8682</v>
      </c>
      <c r="R972" s="18" t="s">
        <v>5746</v>
      </c>
      <c r="S972" s="19" t="e">
        <f t="shared" si="5"/>
        <v>#VALUE!</v>
      </c>
      <c r="T972" s="12" t="s">
        <v>5746</v>
      </c>
      <c r="U972" s="15"/>
      <c r="V972" s="19">
        <v>6300</v>
      </c>
      <c r="W972" s="15"/>
      <c r="X972" s="13"/>
      <c r="Y972" s="20"/>
      <c r="Z972" s="13"/>
      <c r="AA972" s="13"/>
      <c r="AB972" s="13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</row>
    <row r="973" spans="1:46" ht="45" customHeight="1">
      <c r="A973" s="12" t="s">
        <v>8683</v>
      </c>
      <c r="B973" s="13" t="s">
        <v>8684</v>
      </c>
      <c r="C973" s="14" t="s">
        <v>8685</v>
      </c>
      <c r="D973" s="15" t="s">
        <v>8686</v>
      </c>
      <c r="E973" s="15"/>
      <c r="F973" s="15"/>
      <c r="G973" s="15" t="s">
        <v>8687</v>
      </c>
      <c r="H973" s="15" t="s">
        <v>4017</v>
      </c>
      <c r="I973" s="15" t="s">
        <v>38</v>
      </c>
      <c r="J973" s="15" t="s">
        <v>8687</v>
      </c>
      <c r="K973" s="15" t="s">
        <v>4017</v>
      </c>
      <c r="L973" s="15" t="s">
        <v>38</v>
      </c>
      <c r="M973" s="16" t="s">
        <v>8688</v>
      </c>
      <c r="N973" s="13" t="s">
        <v>8689</v>
      </c>
      <c r="O973" s="13"/>
      <c r="P973" s="15" t="s">
        <v>8615</v>
      </c>
      <c r="Q973" s="17" t="s">
        <v>8690</v>
      </c>
      <c r="R973" s="18">
        <v>326</v>
      </c>
      <c r="S973" s="19">
        <f t="shared" si="5"/>
        <v>52812</v>
      </c>
      <c r="T973" s="12" t="s">
        <v>46</v>
      </c>
      <c r="U973" s="15"/>
      <c r="V973" s="19">
        <v>44610</v>
      </c>
      <c r="W973" s="49" t="s">
        <v>71</v>
      </c>
      <c r="X973" s="13"/>
      <c r="Y973" s="20"/>
      <c r="Z973" s="13">
        <v>3883015</v>
      </c>
      <c r="AA973" s="13"/>
      <c r="AB973" s="13">
        <v>4869168</v>
      </c>
      <c r="AC973" s="49">
        <v>5637363</v>
      </c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</row>
    <row r="974" spans="1:46" ht="45" customHeight="1">
      <c r="A974" s="21" t="s">
        <v>8691</v>
      </c>
      <c r="B974" s="22" t="s">
        <v>8692</v>
      </c>
      <c r="C974" s="23" t="s">
        <v>8693</v>
      </c>
      <c r="D974" s="24" t="s">
        <v>8694</v>
      </c>
      <c r="E974" s="24"/>
      <c r="F974" s="24"/>
      <c r="G974" s="24" t="s">
        <v>8695</v>
      </c>
      <c r="H974" s="24"/>
      <c r="I974" s="24" t="s">
        <v>115</v>
      </c>
      <c r="J974" s="24" t="s">
        <v>8695</v>
      </c>
      <c r="K974" s="24"/>
      <c r="L974" s="24" t="s">
        <v>115</v>
      </c>
      <c r="M974" s="25" t="s">
        <v>8696</v>
      </c>
      <c r="N974" s="22" t="s">
        <v>8697</v>
      </c>
      <c r="O974" s="22"/>
      <c r="P974" s="24" t="s">
        <v>8574</v>
      </c>
      <c r="Q974" s="28" t="s">
        <v>8698</v>
      </c>
      <c r="R974" s="29">
        <v>669</v>
      </c>
      <c r="S974" s="30">
        <f t="shared" si="5"/>
        <v>108378</v>
      </c>
      <c r="T974" s="21" t="s">
        <v>252</v>
      </c>
      <c r="U974" s="24"/>
      <c r="V974" s="30">
        <v>123900</v>
      </c>
      <c r="W974" s="45" t="s">
        <v>47</v>
      </c>
      <c r="X974" s="22"/>
      <c r="Y974" s="31"/>
      <c r="Z974" s="22"/>
      <c r="AA974" s="22">
        <v>4753584</v>
      </c>
      <c r="AB974" s="22"/>
      <c r="AC974" s="45">
        <v>5637506</v>
      </c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</row>
    <row r="975" spans="1:46" ht="45" customHeight="1">
      <c r="A975" s="12" t="s">
        <v>8699</v>
      </c>
      <c r="B975" s="13" t="s">
        <v>8700</v>
      </c>
      <c r="C975" s="66" t="s">
        <v>8701</v>
      </c>
      <c r="D975" s="15" t="s">
        <v>8702</v>
      </c>
      <c r="E975" s="15"/>
      <c r="F975" s="15"/>
      <c r="G975" s="15" t="s">
        <v>8703</v>
      </c>
      <c r="H975" s="15"/>
      <c r="I975" s="15" t="s">
        <v>6584</v>
      </c>
      <c r="J975" s="15" t="s">
        <v>8703</v>
      </c>
      <c r="K975" s="15"/>
      <c r="L975" s="15" t="s">
        <v>6584</v>
      </c>
      <c r="M975" s="46" t="s">
        <v>8704</v>
      </c>
      <c r="N975" s="13">
        <v>4880292</v>
      </c>
      <c r="O975" s="13"/>
      <c r="P975" s="15" t="s">
        <v>8615</v>
      </c>
      <c r="Q975" s="17" t="s">
        <v>8705</v>
      </c>
      <c r="R975" s="18" t="s">
        <v>5746</v>
      </c>
      <c r="S975" s="19" t="e">
        <f t="shared" si="5"/>
        <v>#VALUE!</v>
      </c>
      <c r="T975" s="12" t="s">
        <v>5746</v>
      </c>
      <c r="U975" s="15"/>
      <c r="V975" s="19">
        <v>6300</v>
      </c>
      <c r="W975" s="15"/>
      <c r="X975" s="13"/>
      <c r="Y975" s="20"/>
      <c r="Z975" s="13"/>
      <c r="AA975" s="13"/>
      <c r="AB975" s="13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</row>
    <row r="976" spans="1:46" ht="45" customHeight="1">
      <c r="A976" s="21" t="s">
        <v>8706</v>
      </c>
      <c r="B976" s="22" t="s">
        <v>8707</v>
      </c>
      <c r="C976" s="23" t="s">
        <v>8708</v>
      </c>
      <c r="D976" s="24" t="s">
        <v>8709</v>
      </c>
      <c r="E976" s="24"/>
      <c r="F976" s="24"/>
      <c r="G976" s="24" t="s">
        <v>8710</v>
      </c>
      <c r="H976" s="24"/>
      <c r="I976" s="24" t="s">
        <v>65</v>
      </c>
      <c r="J976" s="24" t="s">
        <v>8710</v>
      </c>
      <c r="K976" s="24"/>
      <c r="L976" s="24" t="s">
        <v>65</v>
      </c>
      <c r="M976" s="70" t="s">
        <v>8711</v>
      </c>
      <c r="N976" s="22" t="s">
        <v>8712</v>
      </c>
      <c r="O976" s="22"/>
      <c r="P976" s="24" t="s">
        <v>8713</v>
      </c>
      <c r="Q976" s="28" t="s">
        <v>8714</v>
      </c>
      <c r="R976" s="29">
        <v>617.54999999999995</v>
      </c>
      <c r="S976" s="30">
        <f t="shared" si="5"/>
        <v>100043.09999999999</v>
      </c>
      <c r="T976" s="21" t="s">
        <v>252</v>
      </c>
      <c r="U976" s="24"/>
      <c r="V976" s="30">
        <v>123900</v>
      </c>
      <c r="W976" s="24"/>
      <c r="X976" s="22"/>
      <c r="Y976" s="31">
        <v>3114412</v>
      </c>
      <c r="Z976" s="22"/>
      <c r="AA976" s="22"/>
      <c r="AB976" s="22">
        <v>4889417</v>
      </c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</row>
    <row r="977" spans="1:46" ht="45" customHeight="1">
      <c r="A977" s="12" t="s">
        <v>8715</v>
      </c>
      <c r="B977" s="13" t="s">
        <v>8716</v>
      </c>
      <c r="C977" s="66" t="s">
        <v>8717</v>
      </c>
      <c r="D977" s="15" t="s">
        <v>8718</v>
      </c>
      <c r="E977" s="15"/>
      <c r="F977" s="15"/>
      <c r="G977" s="15" t="s">
        <v>8719</v>
      </c>
      <c r="H977" s="15"/>
      <c r="I977" s="15" t="s">
        <v>38</v>
      </c>
      <c r="J977" s="15" t="s">
        <v>8719</v>
      </c>
      <c r="K977" s="15"/>
      <c r="L977" s="15" t="s">
        <v>38</v>
      </c>
      <c r="M977" s="46" t="s">
        <v>8720</v>
      </c>
      <c r="N977" s="13"/>
      <c r="O977" s="13"/>
      <c r="P977" s="15" t="s">
        <v>8721</v>
      </c>
      <c r="Q977" s="17" t="s">
        <v>8722</v>
      </c>
      <c r="R977" s="18" t="s">
        <v>5746</v>
      </c>
      <c r="S977" s="19" t="e">
        <f t="shared" si="5"/>
        <v>#VALUE!</v>
      </c>
      <c r="T977" s="12" t="s">
        <v>5746</v>
      </c>
      <c r="U977" s="15"/>
      <c r="V977" s="19">
        <v>6300</v>
      </c>
      <c r="W977" s="15"/>
      <c r="X977" s="13"/>
      <c r="Y977" s="20"/>
      <c r="Z977" s="13"/>
      <c r="AA977" s="13"/>
      <c r="AB977" s="13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</row>
    <row r="978" spans="1:46" ht="45" customHeight="1">
      <c r="A978" s="12" t="s">
        <v>8723</v>
      </c>
      <c r="B978" s="13" t="s">
        <v>8724</v>
      </c>
      <c r="C978" s="66" t="s">
        <v>8725</v>
      </c>
      <c r="D978" s="15" t="s">
        <v>8726</v>
      </c>
      <c r="E978" s="15"/>
      <c r="F978" s="15"/>
      <c r="G978" s="15" t="s">
        <v>8727</v>
      </c>
      <c r="H978" s="15"/>
      <c r="I978" s="15" t="s">
        <v>41</v>
      </c>
      <c r="J978" s="15" t="s">
        <v>8727</v>
      </c>
      <c r="K978" s="15"/>
      <c r="L978" s="15" t="s">
        <v>41</v>
      </c>
      <c r="M978" s="16" t="s">
        <v>8728</v>
      </c>
      <c r="N978" s="13"/>
      <c r="O978" s="13"/>
      <c r="P978" s="15" t="s">
        <v>8574</v>
      </c>
      <c r="Q978" s="17" t="s">
        <v>8729</v>
      </c>
      <c r="R978" s="18" t="s">
        <v>5746</v>
      </c>
      <c r="S978" s="19" t="e">
        <f t="shared" si="5"/>
        <v>#VALUE!</v>
      </c>
      <c r="T978" s="12" t="s">
        <v>5746</v>
      </c>
      <c r="U978" s="15"/>
      <c r="V978" s="19">
        <v>6300</v>
      </c>
      <c r="W978" s="15"/>
      <c r="X978" s="13"/>
      <c r="Y978" s="20"/>
      <c r="Z978" s="13"/>
      <c r="AA978" s="13"/>
      <c r="AB978" s="13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</row>
    <row r="979" spans="1:46" ht="45" customHeight="1">
      <c r="A979" s="12" t="s">
        <v>8730</v>
      </c>
      <c r="B979" s="13" t="s">
        <v>8731</v>
      </c>
      <c r="C979" s="14" t="s">
        <v>8732</v>
      </c>
      <c r="D979" s="15" t="s">
        <v>8733</v>
      </c>
      <c r="E979" s="15"/>
      <c r="F979" s="15"/>
      <c r="G979" s="15" t="s">
        <v>8734</v>
      </c>
      <c r="H979" s="15"/>
      <c r="I979" s="15" t="s">
        <v>115</v>
      </c>
      <c r="J979" s="15" t="s">
        <v>8734</v>
      </c>
      <c r="K979" s="15"/>
      <c r="L979" s="15" t="s">
        <v>115</v>
      </c>
      <c r="M979" s="16" t="s">
        <v>8735</v>
      </c>
      <c r="N979" s="13">
        <v>2615469135</v>
      </c>
      <c r="O979" s="13"/>
      <c r="P979" s="15" t="s">
        <v>8607</v>
      </c>
      <c r="Q979" s="17" t="s">
        <v>8736</v>
      </c>
      <c r="R979" s="18">
        <v>81</v>
      </c>
      <c r="S979" s="19">
        <f t="shared" si="5"/>
        <v>13122</v>
      </c>
      <c r="T979" s="12" t="s">
        <v>46</v>
      </c>
      <c r="U979" s="15"/>
      <c r="V979" s="19">
        <v>44610</v>
      </c>
      <c r="W979" s="49" t="s">
        <v>71</v>
      </c>
      <c r="X979" s="13"/>
      <c r="Y979" s="20"/>
      <c r="Z979" s="13"/>
      <c r="AA979" s="13">
        <v>4732328</v>
      </c>
      <c r="AB979" s="13"/>
      <c r="AC979" s="49">
        <v>5628321</v>
      </c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</row>
    <row r="980" spans="1:46" ht="45" customHeight="1">
      <c r="A980" s="12" t="s">
        <v>8737</v>
      </c>
      <c r="B980" s="13" t="s">
        <v>8738</v>
      </c>
      <c r="C980" s="14" t="s">
        <v>8739</v>
      </c>
      <c r="D980" s="15" t="s">
        <v>8740</v>
      </c>
      <c r="E980" s="15" t="s">
        <v>8741</v>
      </c>
      <c r="F980" s="15" t="s">
        <v>7991</v>
      </c>
      <c r="G980" s="15" t="s">
        <v>8742</v>
      </c>
      <c r="H980" s="15"/>
      <c r="I980" s="15" t="s">
        <v>6584</v>
      </c>
      <c r="J980" s="15" t="s">
        <v>8742</v>
      </c>
      <c r="K980" s="15"/>
      <c r="L980" s="15" t="s">
        <v>6584</v>
      </c>
      <c r="M980" s="16" t="s">
        <v>8743</v>
      </c>
      <c r="N980" s="13">
        <v>2614252365</v>
      </c>
      <c r="O980" s="13"/>
      <c r="P980" s="15" t="s">
        <v>8377</v>
      </c>
      <c r="Q980" s="17" t="s">
        <v>8744</v>
      </c>
      <c r="R980" s="18">
        <v>360</v>
      </c>
      <c r="S980" s="19">
        <f t="shared" si="5"/>
        <v>58320</v>
      </c>
      <c r="T980" s="12" t="s">
        <v>46</v>
      </c>
      <c r="U980" s="15"/>
      <c r="V980" s="19">
        <v>44610</v>
      </c>
      <c r="W980" s="15" t="s">
        <v>47</v>
      </c>
      <c r="X980" s="13">
        <v>1397832</v>
      </c>
      <c r="Y980" s="20">
        <v>3099970</v>
      </c>
      <c r="Z980" s="13">
        <v>3879547</v>
      </c>
      <c r="AA980" s="13">
        <v>4745267</v>
      </c>
      <c r="AB980" s="13"/>
      <c r="AC980" s="15">
        <v>5606454</v>
      </c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</row>
    <row r="981" spans="1:46" ht="45" customHeight="1">
      <c r="A981" s="12" t="s">
        <v>8745</v>
      </c>
      <c r="B981" s="13" t="s">
        <v>8746</v>
      </c>
      <c r="C981" s="14" t="s">
        <v>8747</v>
      </c>
      <c r="D981" s="15" t="s">
        <v>8748</v>
      </c>
      <c r="E981" s="15"/>
      <c r="F981" s="15"/>
      <c r="G981" s="15" t="s">
        <v>8749</v>
      </c>
      <c r="H981" s="15"/>
      <c r="I981" s="15" t="s">
        <v>80</v>
      </c>
      <c r="J981" s="15" t="s">
        <v>8749</v>
      </c>
      <c r="K981" s="15"/>
      <c r="L981" s="15" t="s">
        <v>80</v>
      </c>
      <c r="M981" s="46" t="s">
        <v>8750</v>
      </c>
      <c r="N981" s="13" t="s">
        <v>8751</v>
      </c>
      <c r="O981" s="13"/>
      <c r="P981" s="15" t="s">
        <v>8574</v>
      </c>
      <c r="Q981" s="17" t="s">
        <v>8752</v>
      </c>
      <c r="R981" s="18">
        <v>458</v>
      </c>
      <c r="S981" s="19">
        <f t="shared" si="5"/>
        <v>74196</v>
      </c>
      <c r="T981" s="12" t="s">
        <v>46</v>
      </c>
      <c r="U981" s="15"/>
      <c r="V981" s="19">
        <v>44610</v>
      </c>
      <c r="W981" s="15"/>
      <c r="X981" s="13"/>
      <c r="Y981" s="20"/>
      <c r="Z981" s="13"/>
      <c r="AA981" s="13"/>
      <c r="AB981" s="13">
        <v>4852975</v>
      </c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</row>
    <row r="982" spans="1:46" ht="45" customHeight="1">
      <c r="A982" s="50" t="s">
        <v>8753</v>
      </c>
      <c r="B982" s="51" t="s">
        <v>8754</v>
      </c>
      <c r="C982" s="52" t="s">
        <v>8755</v>
      </c>
      <c r="D982" s="53" t="s">
        <v>8756</v>
      </c>
      <c r="E982" s="53"/>
      <c r="F982" s="53"/>
      <c r="G982" s="53" t="s">
        <v>8757</v>
      </c>
      <c r="H982" s="53"/>
      <c r="I982" s="53" t="s">
        <v>6584</v>
      </c>
      <c r="J982" s="53" t="s">
        <v>8757</v>
      </c>
      <c r="K982" s="53"/>
      <c r="L982" s="53" t="s">
        <v>6584</v>
      </c>
      <c r="M982" s="68" t="s">
        <v>8758</v>
      </c>
      <c r="N982" s="51"/>
      <c r="O982" s="51"/>
      <c r="P982" s="53" t="s">
        <v>8377</v>
      </c>
      <c r="Q982" s="55" t="s">
        <v>8759</v>
      </c>
      <c r="R982" s="56" t="s">
        <v>5746</v>
      </c>
      <c r="S982" s="57" t="e">
        <f t="shared" si="5"/>
        <v>#VALUE!</v>
      </c>
      <c r="T982" s="50" t="s">
        <v>5746</v>
      </c>
      <c r="U982" s="53"/>
      <c r="V982" s="57">
        <v>6300</v>
      </c>
      <c r="W982" s="53"/>
      <c r="X982" s="51"/>
      <c r="Y982" s="58"/>
      <c r="Z982" s="51"/>
      <c r="AA982" s="51"/>
      <c r="AB982" s="51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</row>
    <row r="983" spans="1:46" ht="45" customHeight="1">
      <c r="A983" s="21" t="s">
        <v>8760</v>
      </c>
      <c r="B983" s="22" t="s">
        <v>8761</v>
      </c>
      <c r="C983" s="23" t="s">
        <v>8762</v>
      </c>
      <c r="D983" s="24" t="s">
        <v>8763</v>
      </c>
      <c r="E983" s="24"/>
      <c r="F983" s="24"/>
      <c r="G983" s="24" t="s">
        <v>8764</v>
      </c>
      <c r="H983" s="24" t="s">
        <v>8765</v>
      </c>
      <c r="I983" s="24" t="s">
        <v>115</v>
      </c>
      <c r="J983" s="24" t="s">
        <v>8764</v>
      </c>
      <c r="K983" s="24" t="s">
        <v>8765</v>
      </c>
      <c r="L983" s="24" t="s">
        <v>115</v>
      </c>
      <c r="M983" s="196" t="s">
        <v>8766</v>
      </c>
      <c r="N983" s="22">
        <v>2616523955</v>
      </c>
      <c r="O983" s="22"/>
      <c r="P983" s="24" t="s">
        <v>8615</v>
      </c>
      <c r="Q983" s="28" t="s">
        <v>8767</v>
      </c>
      <c r="R983" s="29">
        <v>1079</v>
      </c>
      <c r="S983" s="30">
        <f t="shared" si="5"/>
        <v>174798</v>
      </c>
      <c r="T983" s="21" t="s">
        <v>198</v>
      </c>
      <c r="U983" s="24"/>
      <c r="V983" s="30">
        <v>215940</v>
      </c>
      <c r="W983" s="24" t="s">
        <v>47</v>
      </c>
      <c r="X983" s="22">
        <v>1399755</v>
      </c>
      <c r="Y983" s="31">
        <v>3111004</v>
      </c>
      <c r="Z983" s="22">
        <v>3888260</v>
      </c>
      <c r="AA983" s="22">
        <v>4657458</v>
      </c>
      <c r="AB983" s="22"/>
      <c r="AC983" s="24">
        <v>5484705</v>
      </c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</row>
    <row r="984" spans="1:46" ht="45" customHeight="1">
      <c r="A984" s="12" t="s">
        <v>8768</v>
      </c>
      <c r="B984" s="13" t="s">
        <v>8769</v>
      </c>
      <c r="C984" s="14" t="s">
        <v>8770</v>
      </c>
      <c r="D984" s="15" t="s">
        <v>8771</v>
      </c>
      <c r="E984" s="15"/>
      <c r="F984" s="15"/>
      <c r="G984" s="15" t="s">
        <v>8772</v>
      </c>
      <c r="H984" s="15" t="s">
        <v>2234</v>
      </c>
      <c r="I984" s="15" t="s">
        <v>149</v>
      </c>
      <c r="J984" s="15" t="s">
        <v>8772</v>
      </c>
      <c r="K984" s="15" t="s">
        <v>2234</v>
      </c>
      <c r="L984" s="15" t="s">
        <v>149</v>
      </c>
      <c r="M984" s="74" t="s">
        <v>8773</v>
      </c>
      <c r="N984" s="13">
        <v>2615087827</v>
      </c>
      <c r="O984" s="13"/>
      <c r="P984" s="15" t="s">
        <v>8574</v>
      </c>
      <c r="Q984" s="17" t="s">
        <v>8774</v>
      </c>
      <c r="R984" s="18">
        <v>13</v>
      </c>
      <c r="S984" s="19">
        <f t="shared" si="5"/>
        <v>2106</v>
      </c>
      <c r="T984" s="12" t="s">
        <v>46</v>
      </c>
      <c r="U984" s="15"/>
      <c r="V984" s="19">
        <v>44610</v>
      </c>
      <c r="W984" s="15"/>
      <c r="X984" s="13">
        <v>1446189</v>
      </c>
      <c r="Y984" s="20"/>
      <c r="Z984" s="13"/>
      <c r="AA984" s="13"/>
      <c r="AB984" s="13">
        <v>4842095</v>
      </c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</row>
    <row r="985" spans="1:46" ht="45" customHeight="1">
      <c r="A985" s="12" t="s">
        <v>8775</v>
      </c>
      <c r="B985" s="13" t="s">
        <v>8776</v>
      </c>
      <c r="C985" s="14" t="s">
        <v>8777</v>
      </c>
      <c r="D985" s="15" t="s">
        <v>8670</v>
      </c>
      <c r="E985" s="15"/>
      <c r="F985" s="15"/>
      <c r="G985" s="15" t="s">
        <v>8671</v>
      </c>
      <c r="H985" s="15"/>
      <c r="I985" s="15" t="s">
        <v>149</v>
      </c>
      <c r="J985" s="15" t="s">
        <v>8671</v>
      </c>
      <c r="K985" s="15"/>
      <c r="L985" s="15" t="s">
        <v>149</v>
      </c>
      <c r="M985" s="16" t="s">
        <v>8778</v>
      </c>
      <c r="N985" s="13" t="s">
        <v>8779</v>
      </c>
      <c r="O985" s="13"/>
      <c r="P985" s="15" t="s">
        <v>8393</v>
      </c>
      <c r="Q985" s="17" t="s">
        <v>8780</v>
      </c>
      <c r="R985" s="18">
        <v>262</v>
      </c>
      <c r="S985" s="19">
        <f t="shared" si="5"/>
        <v>42444</v>
      </c>
      <c r="T985" s="12" t="s">
        <v>46</v>
      </c>
      <c r="U985" s="15"/>
      <c r="V985" s="19">
        <v>44610</v>
      </c>
      <c r="W985" s="15" t="s">
        <v>71</v>
      </c>
      <c r="X985" s="13">
        <v>1460666</v>
      </c>
      <c r="Y985" s="20"/>
      <c r="Z985" s="13">
        <v>3892145</v>
      </c>
      <c r="AA985" s="13">
        <v>4901965</v>
      </c>
      <c r="AB985" s="13"/>
      <c r="AC985" s="15">
        <v>5550660</v>
      </c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</row>
    <row r="986" spans="1:46" ht="45" customHeight="1">
      <c r="A986" s="12" t="s">
        <v>8781</v>
      </c>
      <c r="B986" s="13" t="s">
        <v>8782</v>
      </c>
      <c r="C986" s="14" t="s">
        <v>8783</v>
      </c>
      <c r="D986" s="15" t="s">
        <v>8670</v>
      </c>
      <c r="E986" s="15"/>
      <c r="F986" s="15"/>
      <c r="G986" s="15" t="s">
        <v>8671</v>
      </c>
      <c r="H986" s="15"/>
      <c r="I986" s="15" t="s">
        <v>149</v>
      </c>
      <c r="J986" s="15" t="s">
        <v>8784</v>
      </c>
      <c r="K986" s="15"/>
      <c r="L986" s="15" t="s">
        <v>80</v>
      </c>
      <c r="M986" s="74" t="s">
        <v>8785</v>
      </c>
      <c r="N986" s="13">
        <v>2614545211</v>
      </c>
      <c r="O986" s="13"/>
      <c r="P986" s="15" t="s">
        <v>8393</v>
      </c>
      <c r="Q986" s="17" t="s">
        <v>8786</v>
      </c>
      <c r="R986" s="18">
        <v>218</v>
      </c>
      <c r="S986" s="19">
        <f t="shared" si="5"/>
        <v>35316</v>
      </c>
      <c r="T986" s="12" t="s">
        <v>46</v>
      </c>
      <c r="U986" s="15"/>
      <c r="V986" s="19">
        <v>44610</v>
      </c>
      <c r="W986" s="49" t="s">
        <v>71</v>
      </c>
      <c r="X986" s="13">
        <v>1461058</v>
      </c>
      <c r="Y986" s="20"/>
      <c r="Z986" s="13">
        <v>3899667</v>
      </c>
      <c r="AA986" s="13">
        <v>4902000</v>
      </c>
      <c r="AB986" s="13"/>
      <c r="AC986" s="49">
        <v>5623103</v>
      </c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</row>
    <row r="987" spans="1:46" ht="45" customHeight="1">
      <c r="A987" s="21" t="s">
        <v>8787</v>
      </c>
      <c r="B987" s="22" t="s">
        <v>8788</v>
      </c>
      <c r="C987" s="147" t="s">
        <v>8789</v>
      </c>
      <c r="D987" s="24" t="s">
        <v>8790</v>
      </c>
      <c r="E987" s="24"/>
      <c r="F987" s="24"/>
      <c r="G987" s="24" t="s">
        <v>8791</v>
      </c>
      <c r="H987" s="24"/>
      <c r="I987" s="24" t="s">
        <v>4143</v>
      </c>
      <c r="J987" s="24" t="s">
        <v>8791</v>
      </c>
      <c r="K987" s="24"/>
      <c r="L987" s="24" t="s">
        <v>4143</v>
      </c>
      <c r="M987" s="59" t="s">
        <v>8792</v>
      </c>
      <c r="N987" s="22">
        <v>1169756260</v>
      </c>
      <c r="O987" s="22"/>
      <c r="P987" s="24" t="s">
        <v>8793</v>
      </c>
      <c r="Q987" s="28" t="s">
        <v>8794</v>
      </c>
      <c r="R987" s="29">
        <v>617</v>
      </c>
      <c r="S987" s="30">
        <f t="shared" si="5"/>
        <v>99954</v>
      </c>
      <c r="T987" s="21" t="s">
        <v>252</v>
      </c>
      <c r="U987" s="24"/>
      <c r="V987" s="30">
        <v>123900</v>
      </c>
      <c r="W987" s="24"/>
      <c r="X987" s="22">
        <v>1472361</v>
      </c>
      <c r="Y987" s="31"/>
      <c r="Z987" s="22"/>
      <c r="AA987" s="22"/>
      <c r="AB987" s="22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</row>
    <row r="988" spans="1:46" ht="45" customHeight="1">
      <c r="A988" s="12" t="s">
        <v>8795</v>
      </c>
      <c r="B988" s="13" t="s">
        <v>8796</v>
      </c>
      <c r="C988" s="66" t="s">
        <v>8797</v>
      </c>
      <c r="D988" s="15" t="s">
        <v>8798</v>
      </c>
      <c r="E988" s="15"/>
      <c r="F988" s="15"/>
      <c r="G988" s="15" t="s">
        <v>8799</v>
      </c>
      <c r="H988" s="15" t="s">
        <v>8800</v>
      </c>
      <c r="I988" s="15" t="s">
        <v>38</v>
      </c>
      <c r="J988" s="15" t="s">
        <v>8799</v>
      </c>
      <c r="K988" s="15" t="s">
        <v>8800</v>
      </c>
      <c r="L988" s="15" t="s">
        <v>38</v>
      </c>
      <c r="M988" s="46" t="s">
        <v>8801</v>
      </c>
      <c r="N988" s="13">
        <v>2616127290</v>
      </c>
      <c r="O988" s="13"/>
      <c r="P988" s="15" t="s">
        <v>8377</v>
      </c>
      <c r="Q988" s="17" t="s">
        <v>8802</v>
      </c>
      <c r="R988" s="18">
        <v>123</v>
      </c>
      <c r="S988" s="19">
        <f t="shared" si="5"/>
        <v>19926</v>
      </c>
      <c r="T988" s="12" t="s">
        <v>46</v>
      </c>
      <c r="U988" s="15"/>
      <c r="V988" s="19">
        <v>44610</v>
      </c>
      <c r="W988" s="15"/>
      <c r="X988" s="13">
        <v>1477079</v>
      </c>
      <c r="Y988" s="20"/>
      <c r="Z988" s="13"/>
      <c r="AA988" s="13"/>
      <c r="AB988" s="13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</row>
    <row r="989" spans="1:46" ht="45" customHeight="1">
      <c r="A989" s="12" t="s">
        <v>8803</v>
      </c>
      <c r="B989" s="13" t="s">
        <v>8804</v>
      </c>
      <c r="C989" s="14" t="s">
        <v>8805</v>
      </c>
      <c r="D989" s="15" t="s">
        <v>8806</v>
      </c>
      <c r="E989" s="15"/>
      <c r="F989" s="15"/>
      <c r="G989" s="15" t="s">
        <v>8807</v>
      </c>
      <c r="H989" s="15" t="s">
        <v>6345</v>
      </c>
      <c r="I989" s="15" t="s">
        <v>149</v>
      </c>
      <c r="J989" s="15" t="s">
        <v>8807</v>
      </c>
      <c r="K989" s="15" t="s">
        <v>6345</v>
      </c>
      <c r="L989" s="15" t="s">
        <v>149</v>
      </c>
      <c r="M989" s="16" t="s">
        <v>8808</v>
      </c>
      <c r="N989" s="13" t="s">
        <v>8809</v>
      </c>
      <c r="O989" s="13"/>
      <c r="P989" s="15" t="s">
        <v>305</v>
      </c>
      <c r="Q989" s="17" t="s">
        <v>8810</v>
      </c>
      <c r="R989" s="18">
        <v>10.39</v>
      </c>
      <c r="S989" s="19">
        <f t="shared" si="5"/>
        <v>1683.18</v>
      </c>
      <c r="T989" s="12" t="s">
        <v>46</v>
      </c>
      <c r="U989" s="15"/>
      <c r="V989" s="19">
        <v>44610</v>
      </c>
      <c r="W989" s="49" t="s">
        <v>71</v>
      </c>
      <c r="X989" s="13">
        <v>1509234</v>
      </c>
      <c r="Y989" s="20"/>
      <c r="Z989" s="13"/>
      <c r="AA989" s="13"/>
      <c r="AB989" s="13">
        <v>4896721</v>
      </c>
      <c r="AC989" s="49">
        <v>5633458</v>
      </c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</row>
    <row r="990" spans="1:46" ht="45" customHeight="1">
      <c r="A990" s="21" t="s">
        <v>8811</v>
      </c>
      <c r="B990" s="22" t="s">
        <v>8812</v>
      </c>
      <c r="C990" s="23" t="s">
        <v>8813</v>
      </c>
      <c r="D990" s="24" t="s">
        <v>8814</v>
      </c>
      <c r="E990" s="24"/>
      <c r="F990" s="24"/>
      <c r="G990" s="24" t="s">
        <v>8815</v>
      </c>
      <c r="H990" s="24" t="s">
        <v>1212</v>
      </c>
      <c r="I990" s="24" t="s">
        <v>8816</v>
      </c>
      <c r="J990" s="24" t="s">
        <v>8817</v>
      </c>
      <c r="K990" s="24"/>
      <c r="L990" s="24" t="s">
        <v>7704</v>
      </c>
      <c r="M990" s="70" t="s">
        <v>8818</v>
      </c>
      <c r="N990" s="22" t="s">
        <v>8819</v>
      </c>
      <c r="O990" s="22"/>
      <c r="P990" s="24" t="s">
        <v>8393</v>
      </c>
      <c r="Q990" s="28" t="s">
        <v>8820</v>
      </c>
      <c r="R990" s="29">
        <v>817</v>
      </c>
      <c r="S990" s="30">
        <f t="shared" si="5"/>
        <v>132354</v>
      </c>
      <c r="T990" s="21" t="s">
        <v>252</v>
      </c>
      <c r="U990" s="24"/>
      <c r="V990" s="30">
        <v>123900</v>
      </c>
      <c r="W990" s="24"/>
      <c r="X990" s="22">
        <v>1517519</v>
      </c>
      <c r="Y990" s="31"/>
      <c r="Z990" s="22"/>
      <c r="AA990" s="22"/>
      <c r="AB990" s="22">
        <v>4906326</v>
      </c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</row>
    <row r="991" spans="1:46" ht="45" customHeight="1">
      <c r="A991" s="12" t="s">
        <v>8821</v>
      </c>
      <c r="B991" s="13" t="s">
        <v>8822</v>
      </c>
      <c r="C991" s="14" t="s">
        <v>8823</v>
      </c>
      <c r="D991" s="15" t="s">
        <v>8824</v>
      </c>
      <c r="E991" s="15" t="s">
        <v>8825</v>
      </c>
      <c r="F991" s="15" t="s">
        <v>8825</v>
      </c>
      <c r="G991" s="15" t="s">
        <v>8826</v>
      </c>
      <c r="H991" s="15"/>
      <c r="I991" s="15" t="s">
        <v>38</v>
      </c>
      <c r="J991" s="15" t="s">
        <v>8826</v>
      </c>
      <c r="K991" s="15"/>
      <c r="L991" s="15" t="s">
        <v>38</v>
      </c>
      <c r="M991" s="46" t="s">
        <v>8827</v>
      </c>
      <c r="N991" s="13">
        <v>2615340841</v>
      </c>
      <c r="O991" s="73">
        <v>46223</v>
      </c>
      <c r="P991" s="15" t="s">
        <v>8393</v>
      </c>
      <c r="Q991" s="17" t="s">
        <v>8828</v>
      </c>
      <c r="R991" s="18">
        <v>480</v>
      </c>
      <c r="S991" s="19">
        <f t="shared" si="5"/>
        <v>77760</v>
      </c>
      <c r="T991" s="12" t="s">
        <v>46</v>
      </c>
      <c r="U991" s="15"/>
      <c r="V991" s="19">
        <v>44610</v>
      </c>
      <c r="W991" s="15" t="s">
        <v>71</v>
      </c>
      <c r="X991" s="13">
        <v>1140561</v>
      </c>
      <c r="Y991" s="20">
        <v>3110649</v>
      </c>
      <c r="Z991" s="13">
        <v>3876552</v>
      </c>
      <c r="AA991" s="13">
        <v>4690212</v>
      </c>
      <c r="AB991" s="13"/>
      <c r="AC991" s="15">
        <v>5598246</v>
      </c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</row>
    <row r="992" spans="1:46" ht="45" customHeight="1">
      <c r="A992" s="12" t="s">
        <v>8829</v>
      </c>
      <c r="B992" s="13" t="s">
        <v>8830</v>
      </c>
      <c r="C992" s="66" t="s">
        <v>8831</v>
      </c>
      <c r="D992" s="15" t="s">
        <v>8832</v>
      </c>
      <c r="E992" s="15"/>
      <c r="F992" s="15"/>
      <c r="G992" s="15" t="s">
        <v>8833</v>
      </c>
      <c r="H992" s="15"/>
      <c r="I992" s="15" t="s">
        <v>149</v>
      </c>
      <c r="J992" s="15" t="s">
        <v>8833</v>
      </c>
      <c r="K992" s="15"/>
      <c r="L992" s="15" t="s">
        <v>149</v>
      </c>
      <c r="M992" s="46" t="s">
        <v>8834</v>
      </c>
      <c r="N992" s="13">
        <v>2613909471</v>
      </c>
      <c r="O992" s="13"/>
      <c r="P992" s="15" t="s">
        <v>8835</v>
      </c>
      <c r="Q992" s="17" t="s">
        <v>8836</v>
      </c>
      <c r="R992" s="18">
        <v>44</v>
      </c>
      <c r="S992" s="19">
        <f t="shared" si="5"/>
        <v>7128</v>
      </c>
      <c r="T992" s="12" t="s">
        <v>46</v>
      </c>
      <c r="U992" s="15"/>
      <c r="V992" s="19">
        <v>44610</v>
      </c>
      <c r="W992" s="15"/>
      <c r="X992" s="13">
        <v>1541267</v>
      </c>
      <c r="Y992" s="20"/>
      <c r="Z992" s="13"/>
      <c r="AA992" s="13"/>
      <c r="AB992" s="13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</row>
    <row r="993" spans="1:46" ht="45" customHeight="1">
      <c r="A993" s="12" t="s">
        <v>8837</v>
      </c>
      <c r="B993" s="13" t="s">
        <v>8838</v>
      </c>
      <c r="C993" s="14" t="s">
        <v>8839</v>
      </c>
      <c r="D993" s="15" t="s">
        <v>8840</v>
      </c>
      <c r="E993" s="15"/>
      <c r="F993" s="15"/>
      <c r="G993" s="15" t="s">
        <v>8841</v>
      </c>
      <c r="H993" s="15" t="s">
        <v>331</v>
      </c>
      <c r="I993" s="15" t="s">
        <v>53</v>
      </c>
      <c r="J993" s="15" t="s">
        <v>8842</v>
      </c>
      <c r="K993" s="15"/>
      <c r="L993" s="15" t="s">
        <v>8843</v>
      </c>
      <c r="M993" s="16" t="s">
        <v>8844</v>
      </c>
      <c r="N993" s="13" t="s">
        <v>8845</v>
      </c>
      <c r="O993" s="13"/>
      <c r="P993" s="15" t="s">
        <v>8377</v>
      </c>
      <c r="Q993" s="17" t="s">
        <v>8846</v>
      </c>
      <c r="R993" s="18">
        <v>140</v>
      </c>
      <c r="S993" s="19">
        <f t="shared" si="5"/>
        <v>22680</v>
      </c>
      <c r="T993" s="12" t="s">
        <v>46</v>
      </c>
      <c r="U993" s="15"/>
      <c r="V993" s="19">
        <v>44610</v>
      </c>
      <c r="W993" s="15" t="s">
        <v>47</v>
      </c>
      <c r="X993" s="13"/>
      <c r="Y993" s="20"/>
      <c r="Z993" s="13">
        <v>3907579</v>
      </c>
      <c r="AA993" s="13">
        <v>4738660</v>
      </c>
      <c r="AB993" s="13"/>
      <c r="AC993" s="15">
        <v>5550179</v>
      </c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</row>
    <row r="994" spans="1:46" ht="45" customHeight="1">
      <c r="A994" s="12" t="s">
        <v>8847</v>
      </c>
      <c r="B994" s="13" t="s">
        <v>8848</v>
      </c>
      <c r="C994" s="66" t="s">
        <v>8849</v>
      </c>
      <c r="D994" s="15" t="s">
        <v>8850</v>
      </c>
      <c r="E994" s="15"/>
      <c r="F994" s="15"/>
      <c r="G994" s="15" t="s">
        <v>8851</v>
      </c>
      <c r="H994" s="15"/>
      <c r="I994" s="15" t="s">
        <v>115</v>
      </c>
      <c r="J994" s="15" t="s">
        <v>8851</v>
      </c>
      <c r="K994" s="15"/>
      <c r="L994" s="15" t="s">
        <v>115</v>
      </c>
      <c r="M994" s="16" t="s">
        <v>8852</v>
      </c>
      <c r="N994" s="13">
        <v>4314753</v>
      </c>
      <c r="O994" s="13"/>
      <c r="P994" s="15" t="s">
        <v>8607</v>
      </c>
      <c r="Q994" s="17" t="s">
        <v>8853</v>
      </c>
      <c r="R994" s="18" t="s">
        <v>5746</v>
      </c>
      <c r="S994" s="19" t="e">
        <f t="shared" si="5"/>
        <v>#VALUE!</v>
      </c>
      <c r="T994" s="12" t="s">
        <v>5746</v>
      </c>
      <c r="U994" s="15"/>
      <c r="V994" s="19">
        <v>6300</v>
      </c>
      <c r="W994" s="15"/>
      <c r="X994" s="13"/>
      <c r="Y994" s="20"/>
      <c r="Z994" s="13"/>
      <c r="AA994" s="13"/>
      <c r="AB994" s="13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</row>
    <row r="995" spans="1:46" ht="45" customHeight="1">
      <c r="A995" s="12" t="s">
        <v>8854</v>
      </c>
      <c r="B995" s="13" t="s">
        <v>8855</v>
      </c>
      <c r="C995" s="66" t="s">
        <v>8856</v>
      </c>
      <c r="D995" s="15" t="s">
        <v>8857</v>
      </c>
      <c r="E995" s="15"/>
      <c r="F995" s="15"/>
      <c r="G995" s="15" t="s">
        <v>8858</v>
      </c>
      <c r="H995" s="15"/>
      <c r="I995" s="15" t="s">
        <v>383</v>
      </c>
      <c r="J995" s="15" t="s">
        <v>8858</v>
      </c>
      <c r="K995" s="15"/>
      <c r="L995" s="15" t="s">
        <v>383</v>
      </c>
      <c r="M995" s="16" t="s">
        <v>8859</v>
      </c>
      <c r="N995" s="13"/>
      <c r="O995" s="13"/>
      <c r="P995" s="15" t="s">
        <v>8630</v>
      </c>
      <c r="Q995" s="17" t="s">
        <v>8860</v>
      </c>
      <c r="R995" s="18" t="s">
        <v>5746</v>
      </c>
      <c r="S995" s="19" t="e">
        <f t="shared" si="5"/>
        <v>#VALUE!</v>
      </c>
      <c r="T995" s="12" t="s">
        <v>5746</v>
      </c>
      <c r="U995" s="15"/>
      <c r="V995" s="19">
        <v>6300</v>
      </c>
      <c r="W995" s="15"/>
      <c r="X995" s="13"/>
      <c r="Y995" s="20"/>
      <c r="Z995" s="13"/>
      <c r="AA995" s="13"/>
      <c r="AB995" s="13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</row>
    <row r="996" spans="1:46" ht="45" customHeight="1">
      <c r="A996" s="12" t="s">
        <v>8861</v>
      </c>
      <c r="B996" s="13" t="s">
        <v>8862</v>
      </c>
      <c r="C996" s="14" t="s">
        <v>8863</v>
      </c>
      <c r="D996" s="15" t="s">
        <v>8864</v>
      </c>
      <c r="E996" s="15"/>
      <c r="F996" s="15"/>
      <c r="G996" s="15" t="s">
        <v>8865</v>
      </c>
      <c r="H996" s="15"/>
      <c r="I996" s="15" t="s">
        <v>6584</v>
      </c>
      <c r="J996" s="15" t="s">
        <v>8865</v>
      </c>
      <c r="K996" s="15"/>
      <c r="L996" s="15" t="s">
        <v>6584</v>
      </c>
      <c r="M996" s="46" t="s">
        <v>3487</v>
      </c>
      <c r="N996" s="13">
        <v>2613050927</v>
      </c>
      <c r="O996" s="13"/>
      <c r="P996" s="15" t="s">
        <v>8377</v>
      </c>
      <c r="Q996" s="17" t="s">
        <v>8866</v>
      </c>
      <c r="R996" s="18">
        <v>353.65499999999997</v>
      </c>
      <c r="S996" s="19">
        <f t="shared" si="5"/>
        <v>57292.109999999993</v>
      </c>
      <c r="T996" s="12" t="s">
        <v>46</v>
      </c>
      <c r="U996" s="15"/>
      <c r="V996" s="19">
        <v>44610</v>
      </c>
      <c r="W996" s="15" t="s">
        <v>71</v>
      </c>
      <c r="X996" s="13">
        <v>1590985</v>
      </c>
      <c r="Y996" s="20">
        <v>3094684</v>
      </c>
      <c r="Z996" s="13">
        <v>3887705</v>
      </c>
      <c r="AA996" s="13">
        <v>4694281</v>
      </c>
      <c r="AB996" s="13"/>
      <c r="AC996" s="15">
        <v>5531927</v>
      </c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</row>
    <row r="997" spans="1:46" ht="45" customHeight="1">
      <c r="A997" s="12" t="s">
        <v>8867</v>
      </c>
      <c r="B997" s="13" t="s">
        <v>8868</v>
      </c>
      <c r="C997" s="66" t="s">
        <v>8869</v>
      </c>
      <c r="D997" s="15" t="s">
        <v>8870</v>
      </c>
      <c r="E997" s="15"/>
      <c r="F997" s="15"/>
      <c r="G997" s="15" t="s">
        <v>8871</v>
      </c>
      <c r="H997" s="15" t="s">
        <v>8872</v>
      </c>
      <c r="I997" s="15" t="s">
        <v>149</v>
      </c>
      <c r="J997" s="15" t="s">
        <v>8871</v>
      </c>
      <c r="K997" s="15" t="s">
        <v>8872</v>
      </c>
      <c r="L997" s="15" t="s">
        <v>149</v>
      </c>
      <c r="M997" s="16" t="s">
        <v>8873</v>
      </c>
      <c r="N997" s="13" t="s">
        <v>8874</v>
      </c>
      <c r="O997" s="13"/>
      <c r="P997" s="15" t="s">
        <v>8875</v>
      </c>
      <c r="Q997" s="17" t="s">
        <v>8876</v>
      </c>
      <c r="R997" s="18">
        <v>88.55</v>
      </c>
      <c r="S997" s="19">
        <f t="shared" si="5"/>
        <v>14345.1</v>
      </c>
      <c r="T997" s="12" t="s">
        <v>46</v>
      </c>
      <c r="U997" s="15"/>
      <c r="V997" s="19">
        <v>44610</v>
      </c>
      <c r="W997" s="15" t="s">
        <v>71</v>
      </c>
      <c r="X997" s="13">
        <v>1594412</v>
      </c>
      <c r="Y997" s="20">
        <v>3121898</v>
      </c>
      <c r="Z997" s="13">
        <v>3888020</v>
      </c>
      <c r="AA997" s="13">
        <v>4757953</v>
      </c>
      <c r="AB997" s="13"/>
      <c r="AC997" s="15">
        <v>5527658</v>
      </c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</row>
    <row r="998" spans="1:46" ht="45" customHeight="1">
      <c r="A998" s="12" t="s">
        <v>8877</v>
      </c>
      <c r="B998" s="13" t="s">
        <v>8878</v>
      </c>
      <c r="C998" s="66" t="s">
        <v>8879</v>
      </c>
      <c r="D998" s="15" t="s">
        <v>8880</v>
      </c>
      <c r="E998" s="15"/>
      <c r="F998" s="15"/>
      <c r="G998" s="15" t="s">
        <v>8881</v>
      </c>
      <c r="H998" s="15"/>
      <c r="I998" s="15" t="s">
        <v>149</v>
      </c>
      <c r="J998" s="15" t="s">
        <v>8881</v>
      </c>
      <c r="K998" s="15"/>
      <c r="L998" s="15" t="s">
        <v>149</v>
      </c>
      <c r="M998" s="46" t="s">
        <v>8882</v>
      </c>
      <c r="N998" s="94" t="s">
        <v>8883</v>
      </c>
      <c r="O998" s="13"/>
      <c r="P998" s="15" t="s">
        <v>8607</v>
      </c>
      <c r="Q998" s="17" t="s">
        <v>8884</v>
      </c>
      <c r="R998" s="18">
        <v>36.924999999999997</v>
      </c>
      <c r="S998" s="19">
        <f t="shared" si="5"/>
        <v>5981.8499999999995</v>
      </c>
      <c r="T998" s="12" t="s">
        <v>46</v>
      </c>
      <c r="U998" s="15"/>
      <c r="V998" s="19">
        <v>44610</v>
      </c>
      <c r="W998" s="15"/>
      <c r="X998" s="13">
        <v>1603170</v>
      </c>
      <c r="Y998" s="20">
        <v>3115500</v>
      </c>
      <c r="Z998" s="13">
        <v>3891169</v>
      </c>
      <c r="AA998" s="13"/>
      <c r="AB998" s="13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</row>
    <row r="999" spans="1:46" ht="45" customHeight="1">
      <c r="A999" s="12" t="s">
        <v>8885</v>
      </c>
      <c r="B999" s="13" t="s">
        <v>8886</v>
      </c>
      <c r="C999" s="66" t="s">
        <v>8887</v>
      </c>
      <c r="D999" s="15" t="s">
        <v>8888</v>
      </c>
      <c r="E999" s="15"/>
      <c r="F999" s="15"/>
      <c r="G999" s="15" t="s">
        <v>8889</v>
      </c>
      <c r="H999" s="15" t="s">
        <v>52</v>
      </c>
      <c r="I999" s="15" t="s">
        <v>53</v>
      </c>
      <c r="J999" s="15" t="s">
        <v>8890</v>
      </c>
      <c r="K999" s="15"/>
      <c r="L999" s="15" t="s">
        <v>7704</v>
      </c>
      <c r="M999" s="16" t="s">
        <v>8891</v>
      </c>
      <c r="N999" s="13" t="s">
        <v>8892</v>
      </c>
      <c r="O999" s="13"/>
      <c r="P999" s="15" t="s">
        <v>94</v>
      </c>
      <c r="Q999" s="17" t="s">
        <v>8893</v>
      </c>
      <c r="R999" s="18">
        <v>153.761</v>
      </c>
      <c r="S999" s="19">
        <f t="shared" si="5"/>
        <v>24909.281999999999</v>
      </c>
      <c r="T999" s="12" t="s">
        <v>46</v>
      </c>
      <c r="U999" s="15" t="s">
        <v>8894</v>
      </c>
      <c r="V999" s="19">
        <v>44610</v>
      </c>
      <c r="W999" s="15" t="s">
        <v>71</v>
      </c>
      <c r="X999" s="13">
        <v>1695818</v>
      </c>
      <c r="Y999" s="20">
        <v>3109585</v>
      </c>
      <c r="Z999" s="13">
        <v>3891198</v>
      </c>
      <c r="AA999" s="13">
        <v>4708985</v>
      </c>
      <c r="AB999" s="13"/>
      <c r="AC999" s="15">
        <v>5581328</v>
      </c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</row>
    <row r="1000" spans="1:46" ht="45" customHeight="1">
      <c r="A1000" s="21" t="s">
        <v>8895</v>
      </c>
      <c r="B1000" s="22" t="s">
        <v>8896</v>
      </c>
      <c r="C1000" s="66" t="s">
        <v>8897</v>
      </c>
      <c r="D1000" s="15" t="s">
        <v>8898</v>
      </c>
      <c r="E1000" s="24"/>
      <c r="F1000" s="24"/>
      <c r="G1000" s="15" t="s">
        <v>8899</v>
      </c>
      <c r="H1000" s="15"/>
      <c r="I1000" s="15" t="s">
        <v>332</v>
      </c>
      <c r="J1000" s="15" t="s">
        <v>8899</v>
      </c>
      <c r="K1000" s="15"/>
      <c r="L1000" s="15" t="s">
        <v>332</v>
      </c>
      <c r="M1000" s="25" t="s">
        <v>8900</v>
      </c>
      <c r="N1000" s="94">
        <v>2604277564</v>
      </c>
      <c r="O1000" s="22"/>
      <c r="P1000" s="24" t="s">
        <v>8901</v>
      </c>
      <c r="Q1000" s="28" t="s">
        <v>8902</v>
      </c>
      <c r="R1000" s="29">
        <v>894.3</v>
      </c>
      <c r="S1000" s="30">
        <f t="shared" si="5"/>
        <v>144876.6</v>
      </c>
      <c r="T1000" s="21" t="s">
        <v>252</v>
      </c>
      <c r="U1000" s="24" t="s">
        <v>8903</v>
      </c>
      <c r="V1000" s="30">
        <v>123900</v>
      </c>
      <c r="W1000" s="24" t="s">
        <v>71</v>
      </c>
      <c r="X1000" s="22">
        <v>1671496</v>
      </c>
      <c r="Y1000" s="31"/>
      <c r="Z1000" s="22"/>
      <c r="AA1000" s="22"/>
      <c r="AB1000" s="22">
        <v>4837058</v>
      </c>
      <c r="AC1000" s="24">
        <v>5579086</v>
      </c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</row>
    <row r="1001" spans="1:46" ht="45" customHeight="1">
      <c r="A1001" s="21" t="s">
        <v>8904</v>
      </c>
      <c r="B1001" s="22"/>
      <c r="C1001" s="23"/>
      <c r="D1001" s="24"/>
      <c r="E1001" s="24"/>
      <c r="F1001" s="24"/>
      <c r="G1001" s="24"/>
      <c r="H1001" s="24"/>
      <c r="I1001" s="24"/>
      <c r="J1001" s="24"/>
      <c r="K1001" s="24"/>
      <c r="L1001" s="24"/>
      <c r="M1001" s="25"/>
      <c r="N1001" s="22"/>
      <c r="O1001" s="22"/>
      <c r="P1001" s="24"/>
      <c r="Q1001" s="28"/>
      <c r="R1001" s="29"/>
      <c r="S1001" s="30">
        <f t="shared" si="5"/>
        <v>0</v>
      </c>
      <c r="T1001" s="21"/>
      <c r="U1001" s="24"/>
      <c r="V1001" s="30"/>
      <c r="W1001" s="24"/>
      <c r="X1001" s="22"/>
      <c r="Y1001" s="31"/>
      <c r="Z1001" s="22"/>
      <c r="AA1001" s="22"/>
      <c r="AB1001" s="22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</row>
    <row r="1002" spans="1:46" ht="45" customHeight="1">
      <c r="A1002" s="12" t="s">
        <v>8905</v>
      </c>
      <c r="B1002" s="13" t="s">
        <v>8906</v>
      </c>
      <c r="C1002" s="14" t="s">
        <v>8907</v>
      </c>
      <c r="D1002" s="15" t="s">
        <v>6302</v>
      </c>
      <c r="E1002" s="15"/>
      <c r="F1002" s="15"/>
      <c r="G1002" s="15" t="s">
        <v>8908</v>
      </c>
      <c r="H1002" s="15" t="s">
        <v>8909</v>
      </c>
      <c r="I1002" s="15" t="s">
        <v>8910</v>
      </c>
      <c r="J1002" s="15" t="s">
        <v>8908</v>
      </c>
      <c r="K1002" s="15" t="s">
        <v>8909</v>
      </c>
      <c r="L1002" s="15" t="s">
        <v>8910</v>
      </c>
      <c r="M1002" s="46" t="s">
        <v>3487</v>
      </c>
      <c r="N1002" s="13">
        <v>2613050927</v>
      </c>
      <c r="O1002" s="13"/>
      <c r="P1002" s="15" t="s">
        <v>8377</v>
      </c>
      <c r="Q1002" s="17" t="s">
        <v>8911</v>
      </c>
      <c r="R1002" s="18">
        <v>436</v>
      </c>
      <c r="S1002" s="19">
        <f t="shared" si="5"/>
        <v>70632</v>
      </c>
      <c r="T1002" s="12" t="s">
        <v>46</v>
      </c>
      <c r="U1002" s="15"/>
      <c r="V1002" s="19">
        <v>44610</v>
      </c>
      <c r="W1002" s="15" t="s">
        <v>47</v>
      </c>
      <c r="X1002" s="13"/>
      <c r="Y1002" s="20"/>
      <c r="Z1002" s="13">
        <v>3907678</v>
      </c>
      <c r="AA1002" s="13">
        <v>4726464</v>
      </c>
      <c r="AB1002" s="13"/>
      <c r="AC1002" s="15">
        <v>5532124</v>
      </c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</row>
    <row r="1003" spans="1:46" ht="45" customHeight="1">
      <c r="A1003" s="21" t="s">
        <v>8912</v>
      </c>
      <c r="B1003" s="22" t="s">
        <v>8913</v>
      </c>
      <c r="C1003" s="147" t="s">
        <v>8914</v>
      </c>
      <c r="D1003" s="24" t="s">
        <v>8915</v>
      </c>
      <c r="E1003" s="24"/>
      <c r="F1003" s="24"/>
      <c r="G1003" s="24" t="s">
        <v>8916</v>
      </c>
      <c r="H1003" s="24"/>
      <c r="I1003" s="24" t="s">
        <v>8917</v>
      </c>
      <c r="J1003" s="24" t="s">
        <v>8916</v>
      </c>
      <c r="K1003" s="24"/>
      <c r="L1003" s="24" t="s">
        <v>8917</v>
      </c>
      <c r="M1003" s="25"/>
      <c r="N1003" s="22">
        <v>4263888</v>
      </c>
      <c r="O1003" s="22"/>
      <c r="P1003" s="24" t="s">
        <v>8918</v>
      </c>
      <c r="Q1003" s="28" t="s">
        <v>8919</v>
      </c>
      <c r="R1003" s="29" t="s">
        <v>5746</v>
      </c>
      <c r="S1003" s="30" t="e">
        <f t="shared" si="5"/>
        <v>#VALUE!</v>
      </c>
      <c r="T1003" s="21" t="s">
        <v>5746</v>
      </c>
      <c r="U1003" s="24"/>
      <c r="V1003" s="30">
        <v>6300</v>
      </c>
      <c r="W1003" s="24"/>
      <c r="X1003" s="22"/>
      <c r="Y1003" s="31"/>
      <c r="Z1003" s="22"/>
      <c r="AA1003" s="22"/>
      <c r="AB1003" s="22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</row>
    <row r="1004" spans="1:46" ht="45" customHeight="1">
      <c r="A1004" s="12" t="s">
        <v>8920</v>
      </c>
      <c r="B1004" s="13" t="s">
        <v>8921</v>
      </c>
      <c r="C1004" s="14" t="s">
        <v>8922</v>
      </c>
      <c r="D1004" s="15" t="s">
        <v>8923</v>
      </c>
      <c r="E1004" s="15"/>
      <c r="F1004" s="15"/>
      <c r="G1004" s="15" t="s">
        <v>8924</v>
      </c>
      <c r="H1004" s="15"/>
      <c r="I1004" s="15" t="s">
        <v>149</v>
      </c>
      <c r="J1004" s="15" t="s">
        <v>8924</v>
      </c>
      <c r="K1004" s="15"/>
      <c r="L1004" s="15" t="s">
        <v>149</v>
      </c>
      <c r="M1004" s="16" t="s">
        <v>8925</v>
      </c>
      <c r="N1004" s="13" t="s">
        <v>8926</v>
      </c>
      <c r="O1004" s="13"/>
      <c r="P1004" s="15" t="s">
        <v>8377</v>
      </c>
      <c r="Q1004" s="17" t="s">
        <v>8927</v>
      </c>
      <c r="R1004" s="18">
        <v>51</v>
      </c>
      <c r="S1004" s="19">
        <f t="shared" si="5"/>
        <v>8262</v>
      </c>
      <c r="T1004" s="12" t="s">
        <v>46</v>
      </c>
      <c r="U1004" s="15"/>
      <c r="V1004" s="19">
        <v>44610</v>
      </c>
      <c r="W1004" s="15" t="s">
        <v>71</v>
      </c>
      <c r="X1004" s="13"/>
      <c r="Y1004" s="20"/>
      <c r="Z1004" s="13">
        <v>3908288</v>
      </c>
      <c r="AA1004" s="13">
        <v>4650870</v>
      </c>
      <c r="AB1004" s="13"/>
      <c r="AC1004" s="15">
        <v>5596391</v>
      </c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</row>
    <row r="1005" spans="1:46" ht="45" customHeight="1">
      <c r="A1005" s="21" t="s">
        <v>8928</v>
      </c>
      <c r="B1005" s="22" t="s">
        <v>8929</v>
      </c>
      <c r="C1005" s="23" t="s">
        <v>8930</v>
      </c>
      <c r="D1005" s="24" t="s">
        <v>8931</v>
      </c>
      <c r="E1005" s="24" t="s">
        <v>8932</v>
      </c>
      <c r="F1005" s="24" t="s">
        <v>8225</v>
      </c>
      <c r="G1005" s="24" t="s">
        <v>8933</v>
      </c>
      <c r="H1005" s="24" t="s">
        <v>6086</v>
      </c>
      <c r="I1005" s="24" t="s">
        <v>8934</v>
      </c>
      <c r="J1005" s="24" t="s">
        <v>8933</v>
      </c>
      <c r="K1005" s="24" t="s">
        <v>6086</v>
      </c>
      <c r="L1005" s="24" t="s">
        <v>8934</v>
      </c>
      <c r="M1005" s="25" t="s">
        <v>8935</v>
      </c>
      <c r="N1005" s="22" t="s">
        <v>8936</v>
      </c>
      <c r="O1005" s="22"/>
      <c r="P1005" s="24" t="s">
        <v>8422</v>
      </c>
      <c r="Q1005" s="28" t="s">
        <v>8937</v>
      </c>
      <c r="R1005" s="29">
        <v>2563.41</v>
      </c>
      <c r="S1005" s="30">
        <f t="shared" si="5"/>
        <v>415272.42</v>
      </c>
      <c r="T1005" s="21" t="s">
        <v>96</v>
      </c>
      <c r="U1005" s="24"/>
      <c r="V1005" s="30">
        <v>368160</v>
      </c>
      <c r="W1005" s="24" t="s">
        <v>71</v>
      </c>
      <c r="X1005" s="22">
        <v>1781425</v>
      </c>
      <c r="Y1005" s="31"/>
      <c r="Z1005" s="22">
        <v>3852395</v>
      </c>
      <c r="AA1005" s="22">
        <v>4757491</v>
      </c>
      <c r="AB1005" s="22"/>
      <c r="AC1005" s="24">
        <v>5614654</v>
      </c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</row>
    <row r="1006" spans="1:46" ht="45" customHeight="1">
      <c r="A1006" s="12" t="s">
        <v>8938</v>
      </c>
      <c r="B1006" s="13" t="s">
        <v>8939</v>
      </c>
      <c r="C1006" s="14" t="s">
        <v>8940</v>
      </c>
      <c r="D1006" s="15" t="s">
        <v>8941</v>
      </c>
      <c r="E1006" s="15" t="s">
        <v>8942</v>
      </c>
      <c r="F1006" s="15" t="s">
        <v>8551</v>
      </c>
      <c r="G1006" s="15" t="s">
        <v>8943</v>
      </c>
      <c r="H1006" s="15" t="s">
        <v>2792</v>
      </c>
      <c r="I1006" s="15" t="s">
        <v>8944</v>
      </c>
      <c r="J1006" s="15" t="s">
        <v>8945</v>
      </c>
      <c r="K1006" s="15"/>
      <c r="L1006" s="15" t="s">
        <v>1279</v>
      </c>
      <c r="M1006" s="16" t="s">
        <v>8946</v>
      </c>
      <c r="N1006" s="13" t="s">
        <v>8947</v>
      </c>
      <c r="O1006" s="13"/>
      <c r="P1006" s="15" t="s">
        <v>8377</v>
      </c>
      <c r="Q1006" s="17" t="s">
        <v>8948</v>
      </c>
      <c r="R1006" s="18">
        <v>177.71</v>
      </c>
      <c r="S1006" s="19">
        <f t="shared" si="5"/>
        <v>28789.02</v>
      </c>
      <c r="T1006" s="12" t="s">
        <v>46</v>
      </c>
      <c r="U1006" s="15"/>
      <c r="V1006" s="19">
        <v>44610</v>
      </c>
      <c r="W1006" s="15" t="s">
        <v>71</v>
      </c>
      <c r="X1006" s="13">
        <v>2481019</v>
      </c>
      <c r="Y1006" s="20">
        <v>3061232</v>
      </c>
      <c r="Z1006" s="13">
        <v>3793253</v>
      </c>
      <c r="AA1006" s="13">
        <v>4628263</v>
      </c>
      <c r="AB1006" s="13"/>
      <c r="AC1006" s="15">
        <v>5493540</v>
      </c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</row>
    <row r="1007" spans="1:46" ht="45" customHeight="1">
      <c r="A1007" s="12" t="s">
        <v>8949</v>
      </c>
      <c r="B1007" s="13" t="s">
        <v>8950</v>
      </c>
      <c r="C1007" s="14" t="s">
        <v>8951</v>
      </c>
      <c r="D1007" s="15" t="s">
        <v>8952</v>
      </c>
      <c r="E1007" s="15" t="s">
        <v>8953</v>
      </c>
      <c r="F1007" s="15" t="s">
        <v>8954</v>
      </c>
      <c r="G1007" s="15" t="s">
        <v>8955</v>
      </c>
      <c r="H1007" s="15"/>
      <c r="I1007" s="15" t="s">
        <v>8956</v>
      </c>
      <c r="J1007" s="15" t="s">
        <v>8955</v>
      </c>
      <c r="K1007" s="15"/>
      <c r="L1007" s="15" t="s">
        <v>8956</v>
      </c>
      <c r="M1007" s="16" t="s">
        <v>8957</v>
      </c>
      <c r="N1007" s="13">
        <v>2613014558</v>
      </c>
      <c r="O1007" s="13"/>
      <c r="P1007" s="15" t="s">
        <v>8607</v>
      </c>
      <c r="Q1007" s="17" t="s">
        <v>8958</v>
      </c>
      <c r="R1007" s="18">
        <v>51</v>
      </c>
      <c r="S1007" s="19">
        <f t="shared" si="5"/>
        <v>8262</v>
      </c>
      <c r="T1007" s="12" t="s">
        <v>46</v>
      </c>
      <c r="U1007" s="15"/>
      <c r="V1007" s="19">
        <v>44610</v>
      </c>
      <c r="W1007" s="15"/>
      <c r="X1007" s="13"/>
      <c r="Y1007" s="20"/>
      <c r="Z1007" s="13"/>
      <c r="AA1007" s="13"/>
      <c r="AB1007" s="13">
        <v>4837927</v>
      </c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</row>
    <row r="1008" spans="1:46" ht="45" customHeight="1">
      <c r="A1008" s="79" t="s">
        <v>8959</v>
      </c>
      <c r="B1008" s="80" t="s">
        <v>8960</v>
      </c>
      <c r="C1008" s="81" t="s">
        <v>8961</v>
      </c>
      <c r="D1008" s="82" t="s">
        <v>7599</v>
      </c>
      <c r="E1008" s="82" t="s">
        <v>8962</v>
      </c>
      <c r="F1008" s="82" t="s">
        <v>8962</v>
      </c>
      <c r="G1008" s="82" t="s">
        <v>8963</v>
      </c>
      <c r="H1008" s="82" t="s">
        <v>6345</v>
      </c>
      <c r="I1008" s="82" t="s">
        <v>149</v>
      </c>
      <c r="J1008" s="82" t="s">
        <v>8963</v>
      </c>
      <c r="K1008" s="82" t="s">
        <v>6345</v>
      </c>
      <c r="L1008" s="82" t="s">
        <v>149</v>
      </c>
      <c r="M1008" s="175" t="s">
        <v>8964</v>
      </c>
      <c r="N1008" s="80" t="s">
        <v>8965</v>
      </c>
      <c r="O1008" s="80"/>
      <c r="P1008" s="82" t="s">
        <v>8966</v>
      </c>
      <c r="Q1008" s="84" t="s">
        <v>8967</v>
      </c>
      <c r="R1008" s="85" t="s">
        <v>770</v>
      </c>
      <c r="S1008" s="86" t="e">
        <f t="shared" si="5"/>
        <v>#VALUE!</v>
      </c>
      <c r="T1008" s="87" t="s">
        <v>770</v>
      </c>
      <c r="U1008" s="82"/>
      <c r="V1008" s="86">
        <v>0</v>
      </c>
      <c r="W1008" s="82"/>
      <c r="X1008" s="80">
        <v>1974404</v>
      </c>
      <c r="Y1008" s="88"/>
      <c r="Z1008" s="80">
        <v>3907424</v>
      </c>
      <c r="AA1008" s="80"/>
      <c r="AB1008" s="80"/>
      <c r="AC1008" s="82"/>
      <c r="AD1008" s="82"/>
      <c r="AE1008" s="82"/>
      <c r="AF1008" s="82"/>
      <c r="AG1008" s="82"/>
      <c r="AH1008" s="82"/>
      <c r="AI1008" s="82"/>
      <c r="AJ1008" s="82"/>
      <c r="AK1008" s="82"/>
      <c r="AL1008" s="82"/>
      <c r="AM1008" s="82"/>
      <c r="AN1008" s="82"/>
      <c r="AO1008" s="82"/>
      <c r="AP1008" s="82"/>
      <c r="AQ1008" s="82"/>
      <c r="AR1008" s="82"/>
      <c r="AS1008" s="82"/>
      <c r="AT1008" s="82"/>
    </row>
    <row r="1009" spans="1:46" ht="45" customHeight="1">
      <c r="A1009" s="12" t="s">
        <v>8968</v>
      </c>
      <c r="B1009" s="13" t="s">
        <v>8969</v>
      </c>
      <c r="C1009" s="66" t="s">
        <v>8970</v>
      </c>
      <c r="D1009" s="15" t="s">
        <v>4609</v>
      </c>
      <c r="E1009" s="15" t="s">
        <v>8971</v>
      </c>
      <c r="F1009" s="15" t="s">
        <v>8971</v>
      </c>
      <c r="G1009" s="15" t="s">
        <v>8972</v>
      </c>
      <c r="H1009" s="15" t="s">
        <v>2243</v>
      </c>
      <c r="I1009" s="15" t="s">
        <v>8973</v>
      </c>
      <c r="J1009" s="15" t="s">
        <v>8974</v>
      </c>
      <c r="K1009" s="15"/>
      <c r="L1009" s="15" t="s">
        <v>383</v>
      </c>
      <c r="M1009" s="16" t="s">
        <v>4612</v>
      </c>
      <c r="N1009" s="94">
        <v>2616631257</v>
      </c>
      <c r="O1009" s="13"/>
      <c r="P1009" s="15" t="s">
        <v>1381</v>
      </c>
      <c r="Q1009" s="17" t="s">
        <v>8975</v>
      </c>
      <c r="R1009" s="18">
        <v>101.43</v>
      </c>
      <c r="S1009" s="19">
        <f t="shared" si="5"/>
        <v>16431.66</v>
      </c>
      <c r="T1009" s="12" t="s">
        <v>46</v>
      </c>
      <c r="U1009" s="15"/>
      <c r="V1009" s="19">
        <v>44610</v>
      </c>
      <c r="W1009" s="15" t="s">
        <v>47</v>
      </c>
      <c r="X1009" s="13">
        <v>2031825</v>
      </c>
      <c r="Y1009" s="20">
        <v>3118387</v>
      </c>
      <c r="Z1009" s="13">
        <v>3835344</v>
      </c>
      <c r="AA1009" s="13">
        <v>4709424</v>
      </c>
      <c r="AB1009" s="13"/>
      <c r="AC1009" s="15">
        <v>5591579</v>
      </c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</row>
    <row r="1010" spans="1:46" ht="45" customHeight="1">
      <c r="A1010" s="79" t="s">
        <v>8976</v>
      </c>
      <c r="B1010" s="80" t="s">
        <v>8977</v>
      </c>
      <c r="C1010" s="81" t="s">
        <v>8978</v>
      </c>
      <c r="D1010" s="82" t="s">
        <v>8979</v>
      </c>
      <c r="E1010" s="82" t="s">
        <v>8980</v>
      </c>
      <c r="F1010" s="82" t="s">
        <v>8981</v>
      </c>
      <c r="G1010" s="82" t="s">
        <v>8982</v>
      </c>
      <c r="H1010" s="82" t="s">
        <v>6086</v>
      </c>
      <c r="I1010" s="82" t="s">
        <v>38</v>
      </c>
      <c r="J1010" s="82" t="s">
        <v>8982</v>
      </c>
      <c r="K1010" s="82" t="s">
        <v>6086</v>
      </c>
      <c r="L1010" s="82" t="s">
        <v>38</v>
      </c>
      <c r="M1010" s="91" t="s">
        <v>8983</v>
      </c>
      <c r="N1010" s="80" t="s">
        <v>8984</v>
      </c>
      <c r="O1010" s="80"/>
      <c r="P1010" s="82" t="s">
        <v>8985</v>
      </c>
      <c r="Q1010" s="84" t="s">
        <v>8986</v>
      </c>
      <c r="R1010" s="85" t="s">
        <v>770</v>
      </c>
      <c r="S1010" s="86" t="e">
        <f t="shared" si="5"/>
        <v>#VALUE!</v>
      </c>
      <c r="T1010" s="87" t="s">
        <v>770</v>
      </c>
      <c r="U1010" s="82"/>
      <c r="V1010" s="86">
        <v>0</v>
      </c>
      <c r="W1010" s="82" t="s">
        <v>47</v>
      </c>
      <c r="X1010" s="80"/>
      <c r="Y1010" s="88">
        <v>3113773</v>
      </c>
      <c r="Z1010" s="80">
        <v>3785658</v>
      </c>
      <c r="AA1010" s="80">
        <v>4753595</v>
      </c>
      <c r="AB1010" s="80"/>
      <c r="AC1010" s="82">
        <v>5593016</v>
      </c>
      <c r="AD1010" s="82"/>
      <c r="AE1010" s="82"/>
      <c r="AF1010" s="82"/>
      <c r="AG1010" s="82"/>
      <c r="AH1010" s="82"/>
      <c r="AI1010" s="82"/>
      <c r="AJ1010" s="82"/>
      <c r="AK1010" s="82"/>
      <c r="AL1010" s="82"/>
      <c r="AM1010" s="82"/>
      <c r="AN1010" s="82"/>
      <c r="AO1010" s="82"/>
      <c r="AP1010" s="82"/>
      <c r="AQ1010" s="82"/>
      <c r="AR1010" s="82"/>
      <c r="AS1010" s="82"/>
      <c r="AT1010" s="82"/>
    </row>
    <row r="1011" spans="1:46" ht="45" customHeight="1">
      <c r="A1011" s="79" t="s">
        <v>8987</v>
      </c>
      <c r="B1011" s="80" t="s">
        <v>8988</v>
      </c>
      <c r="C1011" s="81" t="s">
        <v>8989</v>
      </c>
      <c r="D1011" s="82" t="s">
        <v>8990</v>
      </c>
      <c r="E1011" s="82" t="s">
        <v>8991</v>
      </c>
      <c r="F1011" s="82" t="s">
        <v>8991</v>
      </c>
      <c r="G1011" s="82" t="s">
        <v>8992</v>
      </c>
      <c r="H1011" s="82"/>
      <c r="I1011" s="82" t="s">
        <v>149</v>
      </c>
      <c r="J1011" s="82" t="s">
        <v>8993</v>
      </c>
      <c r="K1011" s="82"/>
      <c r="L1011" s="82" t="s">
        <v>149</v>
      </c>
      <c r="M1011" s="91" t="s">
        <v>8994</v>
      </c>
      <c r="N1011" s="80" t="s">
        <v>8995</v>
      </c>
      <c r="O1011" s="80"/>
      <c r="P1011" s="82" t="s">
        <v>8630</v>
      </c>
      <c r="Q1011" s="84" t="s">
        <v>8996</v>
      </c>
      <c r="R1011" s="85" t="s">
        <v>770</v>
      </c>
      <c r="S1011" s="86" t="e">
        <f t="shared" si="5"/>
        <v>#VALUE!</v>
      </c>
      <c r="T1011" s="87" t="s">
        <v>770</v>
      </c>
      <c r="U1011" s="82"/>
      <c r="V1011" s="86">
        <v>0</v>
      </c>
      <c r="W1011" s="82"/>
      <c r="X1011" s="80"/>
      <c r="Y1011" s="88"/>
      <c r="Z1011" s="80">
        <v>3785658</v>
      </c>
      <c r="AA1011" s="80"/>
      <c r="AB1011" s="80"/>
      <c r="AC1011" s="82"/>
      <c r="AD1011" s="82"/>
      <c r="AE1011" s="82"/>
      <c r="AF1011" s="82"/>
      <c r="AG1011" s="82"/>
      <c r="AH1011" s="82"/>
      <c r="AI1011" s="82"/>
      <c r="AJ1011" s="82"/>
      <c r="AK1011" s="82"/>
      <c r="AL1011" s="82"/>
      <c r="AM1011" s="82"/>
      <c r="AN1011" s="82"/>
      <c r="AO1011" s="82"/>
      <c r="AP1011" s="82"/>
      <c r="AQ1011" s="82"/>
      <c r="AR1011" s="82"/>
      <c r="AS1011" s="82"/>
      <c r="AT1011" s="82"/>
    </row>
    <row r="1012" spans="1:46" ht="45" customHeight="1">
      <c r="A1012" s="12" t="s">
        <v>8997</v>
      </c>
      <c r="B1012" s="13" t="s">
        <v>8998</v>
      </c>
      <c r="C1012" s="66" t="s">
        <v>8999</v>
      </c>
      <c r="D1012" s="15" t="s">
        <v>9000</v>
      </c>
      <c r="E1012" s="15" t="s">
        <v>9001</v>
      </c>
      <c r="F1012" s="15" t="s">
        <v>3315</v>
      </c>
      <c r="G1012" s="15" t="s">
        <v>9002</v>
      </c>
      <c r="H1012" s="15"/>
      <c r="I1012" s="15" t="s">
        <v>6584</v>
      </c>
      <c r="J1012" s="15" t="s">
        <v>9002</v>
      </c>
      <c r="K1012" s="15"/>
      <c r="L1012" s="15" t="s">
        <v>6584</v>
      </c>
      <c r="M1012" s="114" t="s">
        <v>9003</v>
      </c>
      <c r="N1012" s="13" t="s">
        <v>9004</v>
      </c>
      <c r="O1012" s="13"/>
      <c r="P1012" s="15" t="s">
        <v>8377</v>
      </c>
      <c r="Q1012" s="17" t="s">
        <v>9005</v>
      </c>
      <c r="R1012" s="18">
        <v>182.25</v>
      </c>
      <c r="S1012" s="19">
        <f t="shared" si="5"/>
        <v>29524.5</v>
      </c>
      <c r="T1012" s="12" t="s">
        <v>46</v>
      </c>
      <c r="U1012" s="15"/>
      <c r="V1012" s="19">
        <v>44610</v>
      </c>
      <c r="W1012" s="15"/>
      <c r="X1012" s="13">
        <v>1844804</v>
      </c>
      <c r="Y1012" s="20"/>
      <c r="Z1012" s="13"/>
      <c r="AA1012" s="13"/>
      <c r="AB1012" s="13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</row>
    <row r="1013" spans="1:46" ht="45" customHeight="1">
      <c r="A1013" s="12" t="s">
        <v>9006</v>
      </c>
      <c r="B1013" s="13" t="s">
        <v>9007</v>
      </c>
      <c r="C1013" s="66" t="s">
        <v>9008</v>
      </c>
      <c r="D1013" s="15" t="s">
        <v>9009</v>
      </c>
      <c r="E1013" s="15" t="s">
        <v>9010</v>
      </c>
      <c r="F1013" s="15" t="s">
        <v>9010</v>
      </c>
      <c r="G1013" s="15" t="s">
        <v>9011</v>
      </c>
      <c r="H1013" s="15" t="s">
        <v>6345</v>
      </c>
      <c r="I1013" s="15" t="s">
        <v>149</v>
      </c>
      <c r="J1013" s="15" t="s">
        <v>9011</v>
      </c>
      <c r="K1013" s="15" t="s">
        <v>6345</v>
      </c>
      <c r="L1013" s="15" t="s">
        <v>149</v>
      </c>
      <c r="M1013" s="46" t="s">
        <v>9012</v>
      </c>
      <c r="N1013" s="13" t="s">
        <v>9013</v>
      </c>
      <c r="O1013" s="13"/>
      <c r="P1013" s="15" t="s">
        <v>8574</v>
      </c>
      <c r="Q1013" s="17" t="s">
        <v>9014</v>
      </c>
      <c r="R1013" s="18">
        <v>91.714200000000005</v>
      </c>
      <c r="S1013" s="19">
        <f t="shared" si="5"/>
        <v>14857.700400000002</v>
      </c>
      <c r="T1013" s="12" t="s">
        <v>46</v>
      </c>
      <c r="U1013" s="15"/>
      <c r="V1013" s="19">
        <v>44610</v>
      </c>
      <c r="W1013" s="15"/>
      <c r="X1013" s="13">
        <v>1967306</v>
      </c>
      <c r="Y1013" s="20"/>
      <c r="Z1013" s="13"/>
      <c r="AA1013" s="13"/>
      <c r="AB1013" s="13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</row>
    <row r="1014" spans="1:46" ht="45" customHeight="1">
      <c r="A1014" s="79" t="s">
        <v>9015</v>
      </c>
      <c r="B1014" s="88" t="s">
        <v>9016</v>
      </c>
      <c r="C1014" s="81" t="s">
        <v>9017</v>
      </c>
      <c r="D1014" s="82" t="s">
        <v>9018</v>
      </c>
      <c r="E1014" s="82" t="s">
        <v>8991</v>
      </c>
      <c r="F1014" s="82" t="s">
        <v>8991</v>
      </c>
      <c r="G1014" s="82" t="s">
        <v>9019</v>
      </c>
      <c r="H1014" s="82" t="s">
        <v>5915</v>
      </c>
      <c r="I1014" s="82" t="s">
        <v>115</v>
      </c>
      <c r="J1014" s="82" t="s">
        <v>9020</v>
      </c>
      <c r="K1014" s="82"/>
      <c r="L1014" s="82" t="s">
        <v>115</v>
      </c>
      <c r="M1014" s="91" t="s">
        <v>9021</v>
      </c>
      <c r="N1014" s="80" t="s">
        <v>9022</v>
      </c>
      <c r="O1014" s="80"/>
      <c r="P1014" s="82" t="s">
        <v>8681</v>
      </c>
      <c r="Q1014" s="84" t="s">
        <v>9023</v>
      </c>
      <c r="R1014" s="85" t="s">
        <v>770</v>
      </c>
      <c r="S1014" s="86" t="e">
        <f t="shared" si="5"/>
        <v>#VALUE!</v>
      </c>
      <c r="T1014" s="87" t="s">
        <v>770</v>
      </c>
      <c r="U1014" s="82"/>
      <c r="V1014" s="86">
        <v>0</v>
      </c>
      <c r="W1014" s="82"/>
      <c r="X1014" s="80">
        <v>2286983</v>
      </c>
      <c r="Y1014" s="88">
        <v>3079504</v>
      </c>
      <c r="Z1014" s="80">
        <v>3876922</v>
      </c>
      <c r="AA1014" s="80"/>
      <c r="AB1014" s="80"/>
      <c r="AC1014" s="82"/>
      <c r="AD1014" s="82"/>
      <c r="AE1014" s="82"/>
      <c r="AF1014" s="82"/>
      <c r="AG1014" s="82"/>
      <c r="AH1014" s="82"/>
      <c r="AI1014" s="82"/>
      <c r="AJ1014" s="82"/>
      <c r="AK1014" s="82"/>
      <c r="AL1014" s="82"/>
      <c r="AM1014" s="82"/>
      <c r="AN1014" s="82"/>
      <c r="AO1014" s="82"/>
      <c r="AP1014" s="82"/>
      <c r="AQ1014" s="82"/>
      <c r="AR1014" s="82"/>
      <c r="AS1014" s="82"/>
      <c r="AT1014" s="82"/>
    </row>
    <row r="1015" spans="1:46" ht="45" customHeight="1">
      <c r="A1015" s="12" t="s">
        <v>9024</v>
      </c>
      <c r="B1015" s="13" t="s">
        <v>9025</v>
      </c>
      <c r="C1015" s="14" t="s">
        <v>9026</v>
      </c>
      <c r="D1015" s="15" t="s">
        <v>9027</v>
      </c>
      <c r="E1015" s="15" t="s">
        <v>7485</v>
      </c>
      <c r="F1015" s="15" t="s">
        <v>7485</v>
      </c>
      <c r="G1015" s="15" t="s">
        <v>9028</v>
      </c>
      <c r="H1015" s="15" t="s">
        <v>9029</v>
      </c>
      <c r="I1015" s="15" t="s">
        <v>149</v>
      </c>
      <c r="J1015" s="15" t="s">
        <v>9030</v>
      </c>
      <c r="K1015" s="15"/>
      <c r="L1015" s="15" t="s">
        <v>149</v>
      </c>
      <c r="M1015" s="46" t="s">
        <v>5900</v>
      </c>
      <c r="N1015" s="13">
        <v>2615787314</v>
      </c>
      <c r="O1015" s="13"/>
      <c r="P1015" s="15" t="s">
        <v>8377</v>
      </c>
      <c r="Q1015" s="17" t="s">
        <v>9031</v>
      </c>
      <c r="R1015" s="18">
        <v>546.65599999999995</v>
      </c>
      <c r="S1015" s="19">
        <f t="shared" si="5"/>
        <v>88558.271999999997</v>
      </c>
      <c r="T1015" s="12" t="s">
        <v>46</v>
      </c>
      <c r="U1015" s="15"/>
      <c r="V1015" s="19">
        <v>44610</v>
      </c>
      <c r="W1015" s="15" t="s">
        <v>71</v>
      </c>
      <c r="X1015" s="13">
        <v>2038780</v>
      </c>
      <c r="Y1015" s="20"/>
      <c r="Z1015" s="13"/>
      <c r="AA1015" s="13">
        <v>4650237</v>
      </c>
      <c r="AB1015" s="13"/>
      <c r="AC1015" s="15">
        <v>5596936</v>
      </c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</row>
    <row r="1016" spans="1:46" ht="45" customHeight="1">
      <c r="A1016" s="12" t="s">
        <v>9032</v>
      </c>
      <c r="B1016" s="13" t="s">
        <v>9033</v>
      </c>
      <c r="C1016" s="66" t="s">
        <v>9034</v>
      </c>
      <c r="D1016" s="15" t="s">
        <v>9035</v>
      </c>
      <c r="E1016" s="15" t="s">
        <v>8054</v>
      </c>
      <c r="F1016" s="15" t="s">
        <v>8054</v>
      </c>
      <c r="G1016" s="15" t="s">
        <v>9036</v>
      </c>
      <c r="H1016" s="15"/>
      <c r="I1016" s="15" t="s">
        <v>7704</v>
      </c>
      <c r="J1016" s="15" t="s">
        <v>9036</v>
      </c>
      <c r="K1016" s="15"/>
      <c r="L1016" s="15" t="s">
        <v>7704</v>
      </c>
      <c r="M1016" s="16" t="s">
        <v>9037</v>
      </c>
      <c r="N1016" s="13" t="s">
        <v>9038</v>
      </c>
      <c r="O1016" s="13"/>
      <c r="P1016" s="15" t="s">
        <v>8377</v>
      </c>
      <c r="Q1016" s="17" t="s">
        <v>9039</v>
      </c>
      <c r="R1016" s="18">
        <v>99.7453</v>
      </c>
      <c r="S1016" s="19">
        <f t="shared" si="5"/>
        <v>16158.738600000001</v>
      </c>
      <c r="T1016" s="12" t="s">
        <v>46</v>
      </c>
      <c r="U1016" s="15"/>
      <c r="V1016" s="19">
        <v>44610</v>
      </c>
      <c r="W1016" s="15" t="s">
        <v>71</v>
      </c>
      <c r="X1016" s="13">
        <v>2111241</v>
      </c>
      <c r="Y1016" s="20">
        <v>3121088</v>
      </c>
      <c r="Z1016" s="13">
        <v>3858618</v>
      </c>
      <c r="AA1016" s="13">
        <v>4726849</v>
      </c>
      <c r="AB1016" s="13"/>
      <c r="AC1016" s="15">
        <v>5613696</v>
      </c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</row>
    <row r="1017" spans="1:46" ht="45" customHeight="1">
      <c r="A1017" s="12" t="s">
        <v>9040</v>
      </c>
      <c r="B1017" s="13" t="s">
        <v>9041</v>
      </c>
      <c r="C1017" s="66" t="s">
        <v>9042</v>
      </c>
      <c r="D1017" s="15" t="s">
        <v>9043</v>
      </c>
      <c r="E1017" s="15" t="s">
        <v>9044</v>
      </c>
      <c r="F1017" s="15" t="s">
        <v>9044</v>
      </c>
      <c r="G1017" s="15" t="s">
        <v>9045</v>
      </c>
      <c r="H1017" s="15" t="s">
        <v>1181</v>
      </c>
      <c r="I1017" s="15" t="s">
        <v>80</v>
      </c>
      <c r="J1017" s="15" t="s">
        <v>9046</v>
      </c>
      <c r="K1017" s="15" t="s">
        <v>2652</v>
      </c>
      <c r="L1017" s="15" t="s">
        <v>53</v>
      </c>
      <c r="M1017" s="145" t="s">
        <v>9047</v>
      </c>
      <c r="N1017" s="13" t="s">
        <v>9048</v>
      </c>
      <c r="O1017" s="13"/>
      <c r="P1017" s="15" t="s">
        <v>8574</v>
      </c>
      <c r="Q1017" s="17" t="s">
        <v>9049</v>
      </c>
      <c r="R1017" s="18">
        <v>37.076000000000001</v>
      </c>
      <c r="S1017" s="19">
        <f t="shared" si="5"/>
        <v>6006.3119999999999</v>
      </c>
      <c r="T1017" s="12" t="s">
        <v>46</v>
      </c>
      <c r="U1017" s="15"/>
      <c r="V1017" s="19">
        <v>44610</v>
      </c>
      <c r="W1017" s="15"/>
      <c r="X1017" s="13">
        <v>2131279</v>
      </c>
      <c r="Y1017" s="20"/>
      <c r="Z1017" s="13"/>
      <c r="AA1017" s="13"/>
      <c r="AB1017" s="13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</row>
    <row r="1018" spans="1:46" ht="45" customHeight="1">
      <c r="A1018" s="12" t="s">
        <v>9050</v>
      </c>
      <c r="B1018" s="13" t="s">
        <v>9051</v>
      </c>
      <c r="C1018" s="197" t="s">
        <v>9052</v>
      </c>
      <c r="D1018" s="15" t="s">
        <v>713</v>
      </c>
      <c r="E1018" s="15" t="s">
        <v>9053</v>
      </c>
      <c r="F1018" s="15" t="s">
        <v>9054</v>
      </c>
      <c r="G1018" s="15" t="s">
        <v>9055</v>
      </c>
      <c r="H1018" s="15"/>
      <c r="I1018" s="15" t="s">
        <v>115</v>
      </c>
      <c r="J1018" s="15" t="s">
        <v>9055</v>
      </c>
      <c r="K1018" s="15"/>
      <c r="L1018" s="15" t="s">
        <v>115</v>
      </c>
      <c r="M1018" s="67" t="s">
        <v>9056</v>
      </c>
      <c r="N1018" s="13" t="s">
        <v>9057</v>
      </c>
      <c r="O1018" s="13"/>
      <c r="P1018" s="49" t="s">
        <v>9058</v>
      </c>
      <c r="Q1018" s="17" t="s">
        <v>9059</v>
      </c>
      <c r="R1018" s="18">
        <v>7734.41</v>
      </c>
      <c r="S1018" s="30">
        <f t="shared" si="5"/>
        <v>1252974.42</v>
      </c>
      <c r="T1018" s="12" t="s">
        <v>70</v>
      </c>
      <c r="U1018" s="15"/>
      <c r="V1018" s="19">
        <f>S1018</f>
        <v>1252974.42</v>
      </c>
      <c r="W1018" s="15" t="s">
        <v>47</v>
      </c>
      <c r="X1018" s="13"/>
      <c r="Y1018" s="20"/>
      <c r="Z1018" s="13"/>
      <c r="AA1018" s="13"/>
      <c r="AB1018" s="13"/>
      <c r="AC1018" s="15">
        <v>5590605</v>
      </c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</row>
    <row r="1019" spans="1:46" ht="45" customHeight="1">
      <c r="A1019" s="12" t="s">
        <v>9060</v>
      </c>
      <c r="B1019" s="13" t="s">
        <v>9061</v>
      </c>
      <c r="C1019" s="14" t="s">
        <v>9062</v>
      </c>
      <c r="D1019" s="15" t="s">
        <v>7999</v>
      </c>
      <c r="E1019" s="15" t="s">
        <v>9063</v>
      </c>
      <c r="F1019" s="15" t="s">
        <v>9063</v>
      </c>
      <c r="G1019" s="15" t="s">
        <v>9064</v>
      </c>
      <c r="H1019" s="15"/>
      <c r="I1019" s="15" t="s">
        <v>115</v>
      </c>
      <c r="J1019" s="15" t="s">
        <v>9064</v>
      </c>
      <c r="K1019" s="15"/>
      <c r="L1019" s="15" t="s">
        <v>115</v>
      </c>
      <c r="M1019" s="46" t="s">
        <v>1147</v>
      </c>
      <c r="N1019" s="13" t="s">
        <v>9065</v>
      </c>
      <c r="O1019" s="13"/>
      <c r="P1019" s="15" t="s">
        <v>8574</v>
      </c>
      <c r="Q1019" s="17" t="s">
        <v>9066</v>
      </c>
      <c r="R1019" s="18">
        <v>31.0669</v>
      </c>
      <c r="S1019" s="19">
        <f t="shared" si="5"/>
        <v>5032.8378000000002</v>
      </c>
      <c r="T1019" s="12" t="s">
        <v>46</v>
      </c>
      <c r="U1019" s="15"/>
      <c r="V1019" s="19">
        <v>44610</v>
      </c>
      <c r="W1019" s="15"/>
      <c r="X1019" s="13">
        <v>2346942</v>
      </c>
      <c r="Y1019" s="20"/>
      <c r="Z1019" s="13">
        <v>3908291</v>
      </c>
      <c r="AA1019" s="13">
        <v>4753640</v>
      </c>
      <c r="AB1019" s="13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</row>
    <row r="1020" spans="1:46" ht="45" customHeight="1">
      <c r="A1020" s="50" t="s">
        <v>9067</v>
      </c>
      <c r="B1020" s="51" t="s">
        <v>9068</v>
      </c>
      <c r="C1020" s="52" t="s">
        <v>9069</v>
      </c>
      <c r="D1020" s="53" t="s">
        <v>9070</v>
      </c>
      <c r="E1020" s="53" t="s">
        <v>9071</v>
      </c>
      <c r="F1020" s="53" t="s">
        <v>9071</v>
      </c>
      <c r="G1020" s="53" t="s">
        <v>9072</v>
      </c>
      <c r="H1020" s="53"/>
      <c r="I1020" s="53" t="s">
        <v>321</v>
      </c>
      <c r="J1020" s="53" t="s">
        <v>9072</v>
      </c>
      <c r="K1020" s="53"/>
      <c r="L1020" s="53" t="s">
        <v>321</v>
      </c>
      <c r="M1020" s="68" t="s">
        <v>9073</v>
      </c>
      <c r="N1020" s="51" t="s">
        <v>9074</v>
      </c>
      <c r="O1020" s="51"/>
      <c r="P1020" s="53" t="s">
        <v>8377</v>
      </c>
      <c r="Q1020" s="55"/>
      <c r="R1020" s="56">
        <v>74.52</v>
      </c>
      <c r="S1020" s="57">
        <f t="shared" si="5"/>
        <v>12072.24</v>
      </c>
      <c r="T1020" s="50" t="s">
        <v>46</v>
      </c>
      <c r="U1020" s="53"/>
      <c r="V1020" s="57">
        <v>44610</v>
      </c>
      <c r="W1020" s="53"/>
      <c r="X1020" s="51">
        <v>2370631</v>
      </c>
      <c r="Y1020" s="58"/>
      <c r="Z1020" s="51"/>
      <c r="AA1020" s="51"/>
      <c r="AB1020" s="51"/>
      <c r="AC1020" s="53"/>
      <c r="AD1020" s="53"/>
      <c r="AE1020" s="53"/>
      <c r="AF1020" s="53"/>
      <c r="AG1020" s="53"/>
      <c r="AH1020" s="53"/>
      <c r="AI1020" s="53"/>
      <c r="AJ1020" s="53"/>
      <c r="AK1020" s="53"/>
      <c r="AL1020" s="53"/>
      <c r="AM1020" s="53"/>
      <c r="AN1020" s="53"/>
      <c r="AO1020" s="53"/>
      <c r="AP1020" s="53"/>
      <c r="AQ1020" s="53"/>
      <c r="AR1020" s="53"/>
      <c r="AS1020" s="53"/>
      <c r="AT1020" s="53"/>
    </row>
    <row r="1021" spans="1:46" ht="45" customHeight="1">
      <c r="A1021" s="12" t="s">
        <v>9075</v>
      </c>
      <c r="B1021" s="13" t="s">
        <v>9076</v>
      </c>
      <c r="C1021" s="14" t="s">
        <v>9077</v>
      </c>
      <c r="D1021" s="15" t="s">
        <v>9078</v>
      </c>
      <c r="E1021" s="15" t="s">
        <v>9079</v>
      </c>
      <c r="F1021" s="15" t="s">
        <v>9079</v>
      </c>
      <c r="G1021" s="15" t="s">
        <v>9080</v>
      </c>
      <c r="H1021" s="15"/>
      <c r="I1021" s="15" t="s">
        <v>80</v>
      </c>
      <c r="J1021" s="15" t="s">
        <v>9080</v>
      </c>
      <c r="K1021" s="15"/>
      <c r="L1021" s="15" t="s">
        <v>80</v>
      </c>
      <c r="M1021" s="16" t="s">
        <v>9081</v>
      </c>
      <c r="N1021" s="13" t="s">
        <v>9082</v>
      </c>
      <c r="O1021" s="13"/>
      <c r="P1021" s="15" t="s">
        <v>9083</v>
      </c>
      <c r="Q1021" s="17" t="s">
        <v>9084</v>
      </c>
      <c r="R1021" s="18">
        <v>113.39</v>
      </c>
      <c r="S1021" s="19">
        <f t="shared" si="5"/>
        <v>18369.18</v>
      </c>
      <c r="T1021" s="12" t="s">
        <v>46</v>
      </c>
      <c r="U1021" s="15"/>
      <c r="V1021" s="19">
        <v>44610</v>
      </c>
      <c r="W1021" s="15" t="s">
        <v>47</v>
      </c>
      <c r="X1021" s="13">
        <v>2417752</v>
      </c>
      <c r="Y1021" s="20">
        <v>3115676</v>
      </c>
      <c r="Z1021" s="13"/>
      <c r="AA1021" s="13"/>
      <c r="AB1021" s="13">
        <v>4879830</v>
      </c>
      <c r="AC1021" s="15">
        <v>5603565</v>
      </c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</row>
    <row r="1022" spans="1:46" ht="45" customHeight="1">
      <c r="A1022" s="12" t="s">
        <v>9085</v>
      </c>
      <c r="B1022" s="13" t="s">
        <v>9086</v>
      </c>
      <c r="C1022" s="14" t="s">
        <v>9087</v>
      </c>
      <c r="D1022" s="15" t="s">
        <v>9088</v>
      </c>
      <c r="E1022" s="15" t="s">
        <v>9089</v>
      </c>
      <c r="F1022" s="15" t="s">
        <v>9089</v>
      </c>
      <c r="G1022" s="15" t="s">
        <v>9090</v>
      </c>
      <c r="H1022" s="15" t="s">
        <v>8800</v>
      </c>
      <c r="I1022" s="15" t="s">
        <v>38</v>
      </c>
      <c r="J1022" s="15" t="s">
        <v>9090</v>
      </c>
      <c r="K1022" s="15" t="s">
        <v>8800</v>
      </c>
      <c r="L1022" s="15" t="s">
        <v>38</v>
      </c>
      <c r="M1022" s="16" t="s">
        <v>9091</v>
      </c>
      <c r="N1022" s="13" t="s">
        <v>9092</v>
      </c>
      <c r="O1022" s="13"/>
      <c r="P1022" s="15" t="s">
        <v>9093</v>
      </c>
      <c r="Q1022" s="17" t="s">
        <v>9094</v>
      </c>
      <c r="R1022" s="18">
        <v>178.589</v>
      </c>
      <c r="S1022" s="19">
        <f t="shared" si="5"/>
        <v>28931.418000000001</v>
      </c>
      <c r="T1022" s="12" t="s">
        <v>46</v>
      </c>
      <c r="U1022" s="15"/>
      <c r="V1022" s="19">
        <v>44610</v>
      </c>
      <c r="W1022" s="15" t="s">
        <v>71</v>
      </c>
      <c r="X1022" s="13">
        <v>2437141</v>
      </c>
      <c r="Y1022" s="20"/>
      <c r="Z1022" s="13">
        <v>3891948</v>
      </c>
      <c r="AA1022" s="13">
        <v>4729787</v>
      </c>
      <c r="AB1022" s="13"/>
      <c r="AC1022" s="15">
        <v>5586338</v>
      </c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</row>
    <row r="1023" spans="1:46" ht="45" customHeight="1">
      <c r="A1023" s="12" t="s">
        <v>9095</v>
      </c>
      <c r="B1023" s="13" t="s">
        <v>9096</v>
      </c>
      <c r="C1023" s="14" t="s">
        <v>9097</v>
      </c>
      <c r="D1023" s="15" t="s">
        <v>9098</v>
      </c>
      <c r="E1023" s="15" t="s">
        <v>9099</v>
      </c>
      <c r="F1023" s="15" t="s">
        <v>2395</v>
      </c>
      <c r="G1023" s="15" t="s">
        <v>9100</v>
      </c>
      <c r="H1023" s="15" t="s">
        <v>52</v>
      </c>
      <c r="I1023" s="15" t="s">
        <v>53</v>
      </c>
      <c r="J1023" s="15" t="s">
        <v>9101</v>
      </c>
      <c r="K1023" s="15"/>
      <c r="L1023" s="15" t="s">
        <v>1279</v>
      </c>
      <c r="M1023" s="16" t="s">
        <v>9102</v>
      </c>
      <c r="N1023" s="13" t="s">
        <v>9103</v>
      </c>
      <c r="O1023" s="13"/>
      <c r="P1023" s="15" t="s">
        <v>8377</v>
      </c>
      <c r="Q1023" s="17" t="s">
        <v>9104</v>
      </c>
      <c r="R1023" s="18">
        <v>466.762</v>
      </c>
      <c r="S1023" s="19">
        <f t="shared" si="5"/>
        <v>75615.444000000003</v>
      </c>
      <c r="T1023" s="12" t="s">
        <v>46</v>
      </c>
      <c r="U1023" s="15"/>
      <c r="V1023" s="19">
        <v>44610</v>
      </c>
      <c r="W1023" s="15"/>
      <c r="X1023" s="13">
        <v>2411282</v>
      </c>
      <c r="Y1023" s="20"/>
      <c r="Z1023" s="13">
        <v>3902801</v>
      </c>
      <c r="AA1023" s="13">
        <v>4719925</v>
      </c>
      <c r="AB1023" s="13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</row>
    <row r="1024" spans="1:46" ht="45" customHeight="1">
      <c r="A1024" s="21" t="s">
        <v>9105</v>
      </c>
      <c r="B1024" s="22" t="s">
        <v>9106</v>
      </c>
      <c r="C1024" s="23" t="s">
        <v>9107</v>
      </c>
      <c r="D1024" s="24" t="s">
        <v>9108</v>
      </c>
      <c r="E1024" s="24" t="s">
        <v>9109</v>
      </c>
      <c r="F1024" s="24" t="s">
        <v>8225</v>
      </c>
      <c r="G1024" s="24" t="s">
        <v>9110</v>
      </c>
      <c r="H1024" s="24" t="s">
        <v>1190</v>
      </c>
      <c r="I1024" s="24" t="s">
        <v>38</v>
      </c>
      <c r="J1024" s="24" t="s">
        <v>9110</v>
      </c>
      <c r="K1024" s="24" t="s">
        <v>1190</v>
      </c>
      <c r="L1024" s="24" t="s">
        <v>38</v>
      </c>
      <c r="M1024" s="25" t="s">
        <v>9111</v>
      </c>
      <c r="N1024" s="22" t="s">
        <v>9112</v>
      </c>
      <c r="O1024" s="22"/>
      <c r="P1024" s="24" t="s">
        <v>1466</v>
      </c>
      <c r="Q1024" s="28" t="s">
        <v>9113</v>
      </c>
      <c r="R1024" s="29">
        <v>1555.49</v>
      </c>
      <c r="S1024" s="30">
        <f t="shared" si="5"/>
        <v>251989.38</v>
      </c>
      <c r="T1024" s="21" t="s">
        <v>198</v>
      </c>
      <c r="U1024" s="24"/>
      <c r="V1024" s="30">
        <v>215940</v>
      </c>
      <c r="W1024" s="45" t="s">
        <v>71</v>
      </c>
      <c r="X1024" s="22">
        <v>2440518</v>
      </c>
      <c r="Y1024" s="31">
        <v>3117942</v>
      </c>
      <c r="Z1024" s="22">
        <v>3827961</v>
      </c>
      <c r="AA1024" s="22">
        <v>4753368</v>
      </c>
      <c r="AB1024" s="22"/>
      <c r="AC1024" s="45">
        <v>5631966</v>
      </c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</row>
    <row r="1025" spans="1:46" ht="45" customHeight="1">
      <c r="A1025" s="12" t="s">
        <v>9114</v>
      </c>
      <c r="B1025" s="13" t="s">
        <v>9115</v>
      </c>
      <c r="C1025" s="66" t="s">
        <v>9116</v>
      </c>
      <c r="D1025" s="15" t="s">
        <v>9117</v>
      </c>
      <c r="E1025" s="15" t="s">
        <v>9118</v>
      </c>
      <c r="F1025" s="15" t="s">
        <v>9118</v>
      </c>
      <c r="G1025" s="15" t="s">
        <v>9119</v>
      </c>
      <c r="H1025" s="15" t="s">
        <v>9120</v>
      </c>
      <c r="I1025" s="15" t="s">
        <v>149</v>
      </c>
      <c r="J1025" s="15" t="s">
        <v>9119</v>
      </c>
      <c r="K1025" s="15" t="s">
        <v>9120</v>
      </c>
      <c r="L1025" s="15" t="s">
        <v>149</v>
      </c>
      <c r="M1025" s="16" t="s">
        <v>9121</v>
      </c>
      <c r="N1025" s="13" t="s">
        <v>9122</v>
      </c>
      <c r="O1025" s="13"/>
      <c r="P1025" s="15" t="s">
        <v>9123</v>
      </c>
      <c r="Q1025" s="17" t="s">
        <v>9124</v>
      </c>
      <c r="R1025" s="18">
        <v>691</v>
      </c>
      <c r="S1025" s="19">
        <f t="shared" si="5"/>
        <v>111942</v>
      </c>
      <c r="T1025" s="12" t="s">
        <v>252</v>
      </c>
      <c r="U1025" s="15"/>
      <c r="V1025" s="19">
        <v>123900</v>
      </c>
      <c r="W1025" s="15"/>
      <c r="X1025" s="13">
        <v>2443818</v>
      </c>
      <c r="Y1025" s="20"/>
      <c r="Z1025" s="13"/>
      <c r="AA1025" s="13"/>
      <c r="AB1025" s="13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</row>
    <row r="1026" spans="1:46" ht="45" customHeight="1">
      <c r="A1026" s="12" t="s">
        <v>9125</v>
      </c>
      <c r="B1026" s="13" t="s">
        <v>9126</v>
      </c>
      <c r="C1026" s="14" t="s">
        <v>9127</v>
      </c>
      <c r="D1026" s="15" t="s">
        <v>9128</v>
      </c>
      <c r="E1026" s="15" t="s">
        <v>9129</v>
      </c>
      <c r="F1026" s="15" t="s">
        <v>9129</v>
      </c>
      <c r="G1026" s="15" t="s">
        <v>9130</v>
      </c>
      <c r="H1026" s="15" t="s">
        <v>9131</v>
      </c>
      <c r="I1026" s="15" t="s">
        <v>41</v>
      </c>
      <c r="J1026" s="15" t="s">
        <v>9132</v>
      </c>
      <c r="K1026" s="15" t="s">
        <v>9131</v>
      </c>
      <c r="L1026" s="15" t="s">
        <v>41</v>
      </c>
      <c r="M1026" s="16" t="s">
        <v>9133</v>
      </c>
      <c r="N1026" s="13" t="s">
        <v>9134</v>
      </c>
      <c r="O1026" s="13"/>
      <c r="P1026" s="15" t="s">
        <v>8377</v>
      </c>
      <c r="Q1026" s="17" t="s">
        <v>9135</v>
      </c>
      <c r="R1026" s="18">
        <v>42</v>
      </c>
      <c r="S1026" s="19">
        <f t="shared" si="5"/>
        <v>6804</v>
      </c>
      <c r="T1026" s="12" t="s">
        <v>46</v>
      </c>
      <c r="U1026" s="15"/>
      <c r="V1026" s="19">
        <v>44610</v>
      </c>
      <c r="W1026" s="15" t="s">
        <v>71</v>
      </c>
      <c r="X1026" s="13">
        <v>2444066</v>
      </c>
      <c r="Y1026" s="20"/>
      <c r="Z1026" s="13">
        <v>3843600</v>
      </c>
      <c r="AA1026" s="13">
        <v>4721092</v>
      </c>
      <c r="AB1026" s="13"/>
      <c r="AC1026" s="15">
        <v>5591333</v>
      </c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</row>
    <row r="1027" spans="1:46" ht="45" customHeight="1">
      <c r="A1027" s="12" t="s">
        <v>9136</v>
      </c>
      <c r="B1027" s="13" t="s">
        <v>9137</v>
      </c>
      <c r="C1027" s="14" t="s">
        <v>9138</v>
      </c>
      <c r="D1027" s="15" t="s">
        <v>9139</v>
      </c>
      <c r="E1027" s="15" t="s">
        <v>9140</v>
      </c>
      <c r="F1027" s="15" t="s">
        <v>9140</v>
      </c>
      <c r="G1027" s="15" t="s">
        <v>9141</v>
      </c>
      <c r="H1027" s="15" t="s">
        <v>4398</v>
      </c>
      <c r="I1027" s="15" t="s">
        <v>80</v>
      </c>
      <c r="J1027" s="15" t="s">
        <v>9141</v>
      </c>
      <c r="K1027" s="15" t="s">
        <v>4398</v>
      </c>
      <c r="L1027" s="15" t="s">
        <v>80</v>
      </c>
      <c r="M1027" s="16" t="s">
        <v>9142</v>
      </c>
      <c r="N1027" s="13" t="s">
        <v>9143</v>
      </c>
      <c r="O1027" s="13"/>
      <c r="P1027" s="15" t="s">
        <v>9144</v>
      </c>
      <c r="Q1027" s="17" t="s">
        <v>9145</v>
      </c>
      <c r="R1027" s="18">
        <v>168.77</v>
      </c>
      <c r="S1027" s="19">
        <f t="shared" si="5"/>
        <v>27340.74</v>
      </c>
      <c r="T1027" s="12" t="s">
        <v>46</v>
      </c>
      <c r="U1027" s="15"/>
      <c r="V1027" s="19">
        <v>44610</v>
      </c>
      <c r="W1027" s="15" t="s">
        <v>71</v>
      </c>
      <c r="X1027" s="13">
        <v>1030437</v>
      </c>
      <c r="Y1027" s="20"/>
      <c r="Z1027" s="13">
        <v>3873561</v>
      </c>
      <c r="AA1027" s="13">
        <v>4752776</v>
      </c>
      <c r="AB1027" s="13"/>
      <c r="AC1027" s="15">
        <v>5567899</v>
      </c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</row>
    <row r="1028" spans="1:46" ht="45" customHeight="1">
      <c r="A1028" s="12" t="s">
        <v>9146</v>
      </c>
      <c r="B1028" s="13" t="s">
        <v>9147</v>
      </c>
      <c r="C1028" s="66" t="s">
        <v>9148</v>
      </c>
      <c r="D1028" s="15" t="s">
        <v>9149</v>
      </c>
      <c r="E1028" s="15" t="s">
        <v>9150</v>
      </c>
      <c r="F1028" s="15" t="s">
        <v>9150</v>
      </c>
      <c r="G1028" s="15" t="s">
        <v>9151</v>
      </c>
      <c r="H1028" s="15"/>
      <c r="I1028" s="15" t="s">
        <v>9152</v>
      </c>
      <c r="J1028" s="15" t="s">
        <v>9153</v>
      </c>
      <c r="K1028" s="15"/>
      <c r="L1028" s="15" t="s">
        <v>9152</v>
      </c>
      <c r="M1028" s="16" t="s">
        <v>9154</v>
      </c>
      <c r="N1028" s="13">
        <v>2616673180</v>
      </c>
      <c r="O1028" s="13"/>
      <c r="P1028" s="15" t="s">
        <v>8574</v>
      </c>
      <c r="Q1028" s="17" t="s">
        <v>9155</v>
      </c>
      <c r="R1028" s="18">
        <v>62.37</v>
      </c>
      <c r="S1028" s="19">
        <f t="shared" si="5"/>
        <v>10103.939999999999</v>
      </c>
      <c r="T1028" s="12" t="s">
        <v>46</v>
      </c>
      <c r="U1028" s="15"/>
      <c r="V1028" s="19">
        <v>44610</v>
      </c>
      <c r="W1028" s="15"/>
      <c r="X1028" s="13">
        <v>2467932</v>
      </c>
      <c r="Y1028" s="20"/>
      <c r="Z1028" s="13"/>
      <c r="AA1028" s="13"/>
      <c r="AB1028" s="13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</row>
    <row r="1029" spans="1:46" ht="45" customHeight="1">
      <c r="A1029" s="21" t="s">
        <v>9156</v>
      </c>
      <c r="B1029" s="22" t="s">
        <v>9157</v>
      </c>
      <c r="C1029" s="23" t="s">
        <v>9158</v>
      </c>
      <c r="D1029" s="24" t="s">
        <v>9108</v>
      </c>
      <c r="E1029" s="24" t="s">
        <v>9109</v>
      </c>
      <c r="F1029" s="24" t="s">
        <v>9109</v>
      </c>
      <c r="G1029" s="24" t="s">
        <v>9159</v>
      </c>
      <c r="H1029" s="24" t="s">
        <v>1190</v>
      </c>
      <c r="I1029" s="24" t="s">
        <v>38</v>
      </c>
      <c r="J1029" s="24" t="s">
        <v>9160</v>
      </c>
      <c r="K1029" s="24"/>
      <c r="L1029" s="24" t="s">
        <v>9161</v>
      </c>
      <c r="M1029" s="25" t="s">
        <v>9111</v>
      </c>
      <c r="N1029" s="22" t="s">
        <v>9162</v>
      </c>
      <c r="O1029" s="22"/>
      <c r="P1029" s="24" t="s">
        <v>8793</v>
      </c>
      <c r="Q1029" s="28" t="s">
        <v>9163</v>
      </c>
      <c r="R1029" s="29">
        <v>860</v>
      </c>
      <c r="S1029" s="30">
        <f t="shared" si="5"/>
        <v>139320</v>
      </c>
      <c r="T1029" s="21" t="s">
        <v>252</v>
      </c>
      <c r="U1029" s="24"/>
      <c r="V1029" s="30">
        <v>123900</v>
      </c>
      <c r="W1029" s="45" t="s">
        <v>71</v>
      </c>
      <c r="X1029" s="22">
        <v>2497492</v>
      </c>
      <c r="Y1029" s="31">
        <v>3118765</v>
      </c>
      <c r="Z1029" s="22">
        <v>3828266</v>
      </c>
      <c r="AA1029" s="22">
        <v>4751549</v>
      </c>
      <c r="AB1029" s="22"/>
      <c r="AC1029" s="45">
        <v>5632065</v>
      </c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</row>
    <row r="1030" spans="1:46" ht="45" customHeight="1">
      <c r="A1030" s="50" t="s">
        <v>9164</v>
      </c>
      <c r="B1030" s="51" t="s">
        <v>9165</v>
      </c>
      <c r="C1030" s="52" t="s">
        <v>9166</v>
      </c>
      <c r="D1030" s="53" t="s">
        <v>9167</v>
      </c>
      <c r="E1030" s="53" t="s">
        <v>9168</v>
      </c>
      <c r="F1030" s="53" t="s">
        <v>9168</v>
      </c>
      <c r="G1030" s="53" t="s">
        <v>9169</v>
      </c>
      <c r="H1030" s="53"/>
      <c r="I1030" s="53" t="s">
        <v>7249</v>
      </c>
      <c r="J1030" s="53" t="s">
        <v>9169</v>
      </c>
      <c r="K1030" s="53"/>
      <c r="L1030" s="53" t="s">
        <v>7249</v>
      </c>
      <c r="M1030" s="68" t="s">
        <v>9170</v>
      </c>
      <c r="N1030" s="51" t="s">
        <v>9171</v>
      </c>
      <c r="O1030" s="51"/>
      <c r="P1030" s="53" t="s">
        <v>8615</v>
      </c>
      <c r="Q1030" s="55" t="s">
        <v>9172</v>
      </c>
      <c r="R1030" s="56">
        <v>387</v>
      </c>
      <c r="S1030" s="57">
        <f t="shared" si="5"/>
        <v>62694</v>
      </c>
      <c r="T1030" s="50" t="s">
        <v>46</v>
      </c>
      <c r="U1030" s="53"/>
      <c r="V1030" s="57">
        <v>44610</v>
      </c>
      <c r="W1030" s="53"/>
      <c r="X1030" s="51">
        <v>2497365</v>
      </c>
      <c r="Y1030" s="58"/>
      <c r="Z1030" s="51"/>
      <c r="AA1030" s="51">
        <v>4757609</v>
      </c>
      <c r="AB1030" s="51"/>
      <c r="AC1030" s="53"/>
      <c r="AD1030" s="53"/>
      <c r="AE1030" s="53"/>
      <c r="AF1030" s="53"/>
      <c r="AG1030" s="53"/>
      <c r="AH1030" s="53"/>
      <c r="AI1030" s="53"/>
      <c r="AJ1030" s="53"/>
      <c r="AK1030" s="53"/>
      <c r="AL1030" s="53"/>
      <c r="AM1030" s="53"/>
      <c r="AN1030" s="53"/>
      <c r="AO1030" s="53"/>
      <c r="AP1030" s="53"/>
      <c r="AQ1030" s="53"/>
      <c r="AR1030" s="53"/>
      <c r="AS1030" s="53"/>
      <c r="AT1030" s="53"/>
    </row>
    <row r="1031" spans="1:46" ht="45" customHeight="1">
      <c r="A1031" s="12" t="s">
        <v>9173</v>
      </c>
      <c r="B1031" s="13" t="s">
        <v>9174</v>
      </c>
      <c r="C1031" s="14" t="s">
        <v>9175</v>
      </c>
      <c r="D1031" s="15" t="s">
        <v>9176</v>
      </c>
      <c r="E1031" s="15" t="s">
        <v>9177</v>
      </c>
      <c r="F1031" s="15" t="s">
        <v>9177</v>
      </c>
      <c r="G1031" s="15" t="s">
        <v>9178</v>
      </c>
      <c r="H1031" s="15" t="s">
        <v>8765</v>
      </c>
      <c r="I1031" s="15" t="s">
        <v>115</v>
      </c>
      <c r="J1031" s="15" t="s">
        <v>9179</v>
      </c>
      <c r="K1031" s="15"/>
      <c r="L1031" s="15" t="s">
        <v>9180</v>
      </c>
      <c r="M1031" s="16" t="s">
        <v>9181</v>
      </c>
      <c r="N1031" s="13" t="s">
        <v>9182</v>
      </c>
      <c r="O1031" s="13"/>
      <c r="P1031" s="15" t="s">
        <v>9144</v>
      </c>
      <c r="Q1031" s="17" t="s">
        <v>9183</v>
      </c>
      <c r="R1031" s="18">
        <v>41</v>
      </c>
      <c r="S1031" s="19">
        <f t="shared" si="5"/>
        <v>6642</v>
      </c>
      <c r="T1031" s="12" t="s">
        <v>46</v>
      </c>
      <c r="U1031" s="15"/>
      <c r="V1031" s="19">
        <v>44610</v>
      </c>
      <c r="W1031" s="15" t="s">
        <v>71</v>
      </c>
      <c r="X1031" s="13">
        <v>2501942</v>
      </c>
      <c r="Y1031" s="20"/>
      <c r="Z1031" s="13">
        <v>3888023</v>
      </c>
      <c r="AA1031" s="13">
        <v>4757940</v>
      </c>
      <c r="AB1031" s="13"/>
      <c r="AC1031" s="15">
        <v>5528144</v>
      </c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</row>
    <row r="1032" spans="1:46" ht="45" customHeight="1">
      <c r="A1032" s="12" t="s">
        <v>9184</v>
      </c>
      <c r="B1032" s="13" t="s">
        <v>9185</v>
      </c>
      <c r="C1032" s="66" t="s">
        <v>9186</v>
      </c>
      <c r="D1032" s="15" t="s">
        <v>9187</v>
      </c>
      <c r="E1032" s="15"/>
      <c r="F1032" s="15"/>
      <c r="G1032" s="15" t="s">
        <v>9188</v>
      </c>
      <c r="H1032" s="15" t="s">
        <v>9189</v>
      </c>
      <c r="I1032" s="15" t="s">
        <v>8513</v>
      </c>
      <c r="J1032" s="15" t="s">
        <v>9188</v>
      </c>
      <c r="K1032" s="15" t="s">
        <v>9189</v>
      </c>
      <c r="L1032" s="15" t="s">
        <v>8513</v>
      </c>
      <c r="M1032" s="46" t="s">
        <v>9190</v>
      </c>
      <c r="N1032" s="13"/>
      <c r="O1032" s="13"/>
      <c r="P1032" s="15" t="s">
        <v>8574</v>
      </c>
      <c r="Q1032" s="17" t="s">
        <v>9191</v>
      </c>
      <c r="R1032" s="18" t="s">
        <v>5746</v>
      </c>
      <c r="S1032" s="19" t="e">
        <f t="shared" si="5"/>
        <v>#VALUE!</v>
      </c>
      <c r="T1032" s="12" t="s">
        <v>5746</v>
      </c>
      <c r="U1032" s="15"/>
      <c r="V1032" s="19">
        <v>6300</v>
      </c>
      <c r="W1032" s="15"/>
      <c r="X1032" s="13"/>
      <c r="Y1032" s="20"/>
      <c r="Z1032" s="13"/>
      <c r="AA1032" s="13"/>
      <c r="AB1032" s="13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</row>
    <row r="1033" spans="1:46" ht="45" customHeight="1">
      <c r="A1033" s="12" t="s">
        <v>9192</v>
      </c>
      <c r="B1033" s="13" t="s">
        <v>9193</v>
      </c>
      <c r="C1033" s="14" t="s">
        <v>9194</v>
      </c>
      <c r="D1033" s="15" t="s">
        <v>5265</v>
      </c>
      <c r="E1033" s="15" t="s">
        <v>9195</v>
      </c>
      <c r="F1033" s="15" t="s">
        <v>9195</v>
      </c>
      <c r="G1033" s="15" t="s">
        <v>9196</v>
      </c>
      <c r="H1033" s="15" t="s">
        <v>8765</v>
      </c>
      <c r="I1033" s="15" t="s">
        <v>115</v>
      </c>
      <c r="J1033" s="15" t="s">
        <v>9197</v>
      </c>
      <c r="K1033" s="15" t="s">
        <v>9198</v>
      </c>
      <c r="L1033" s="15" t="s">
        <v>8513</v>
      </c>
      <c r="M1033" s="16" t="s">
        <v>5268</v>
      </c>
      <c r="N1033" s="13" t="s">
        <v>9199</v>
      </c>
      <c r="O1033" s="13"/>
      <c r="P1033" s="15" t="s">
        <v>3192</v>
      </c>
      <c r="Q1033" s="17" t="s">
        <v>9200</v>
      </c>
      <c r="R1033" s="18">
        <v>142</v>
      </c>
      <c r="S1033" s="19">
        <f t="shared" si="5"/>
        <v>23004</v>
      </c>
      <c r="T1033" s="12" t="s">
        <v>46</v>
      </c>
      <c r="U1033" s="15"/>
      <c r="V1033" s="19">
        <v>44610</v>
      </c>
      <c r="W1033" s="15" t="s">
        <v>71</v>
      </c>
      <c r="X1033" s="13">
        <v>2510240</v>
      </c>
      <c r="Y1033" s="20">
        <v>3091025</v>
      </c>
      <c r="Z1033" s="13">
        <v>3856508</v>
      </c>
      <c r="AA1033" s="13">
        <v>4671559</v>
      </c>
      <c r="AB1033" s="13"/>
      <c r="AC1033" s="15">
        <v>5521111</v>
      </c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</row>
    <row r="1034" spans="1:46" ht="45" customHeight="1">
      <c r="A1034" s="21" t="s">
        <v>9201</v>
      </c>
      <c r="B1034" s="22" t="s">
        <v>9202</v>
      </c>
      <c r="C1034" s="23" t="s">
        <v>9203</v>
      </c>
      <c r="D1034" s="24" t="s">
        <v>9204</v>
      </c>
      <c r="E1034" s="24" t="s">
        <v>4113</v>
      </c>
      <c r="F1034" s="24" t="s">
        <v>4113</v>
      </c>
      <c r="G1034" s="24" t="s">
        <v>9205</v>
      </c>
      <c r="H1034" s="24" t="s">
        <v>4398</v>
      </c>
      <c r="I1034" s="24" t="s">
        <v>80</v>
      </c>
      <c r="J1034" s="24" t="s">
        <v>9205</v>
      </c>
      <c r="K1034" s="24" t="s">
        <v>4398</v>
      </c>
      <c r="L1034" s="24" t="s">
        <v>80</v>
      </c>
      <c r="M1034" s="25" t="s">
        <v>9206</v>
      </c>
      <c r="N1034" s="77" t="s">
        <v>9207</v>
      </c>
      <c r="O1034" s="22"/>
      <c r="P1034" s="24" t="s">
        <v>9208</v>
      </c>
      <c r="Q1034" s="28" t="s">
        <v>9209</v>
      </c>
      <c r="R1034" s="29">
        <v>2277</v>
      </c>
      <c r="S1034" s="30">
        <f t="shared" si="5"/>
        <v>368874</v>
      </c>
      <c r="T1034" s="21" t="s">
        <v>96</v>
      </c>
      <c r="U1034" s="24"/>
      <c r="V1034" s="30">
        <v>368160</v>
      </c>
      <c r="W1034" s="24" t="s">
        <v>71</v>
      </c>
      <c r="X1034" s="22">
        <v>2514814</v>
      </c>
      <c r="Y1034" s="31">
        <v>3120946</v>
      </c>
      <c r="Z1034" s="22">
        <v>3902862</v>
      </c>
      <c r="AA1034" s="22">
        <v>4901860</v>
      </c>
      <c r="AB1034" s="22"/>
      <c r="AC1034" s="24">
        <v>5605662</v>
      </c>
      <c r="AD1034" s="45">
        <v>6476847</v>
      </c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</row>
    <row r="1035" spans="1:46" ht="45" customHeight="1">
      <c r="A1035" s="12" t="s">
        <v>9210</v>
      </c>
      <c r="B1035" s="13" t="s">
        <v>9211</v>
      </c>
      <c r="C1035" s="14" t="s">
        <v>9212</v>
      </c>
      <c r="D1035" s="15" t="s">
        <v>9213</v>
      </c>
      <c r="E1035" s="15" t="s">
        <v>524</v>
      </c>
      <c r="F1035" s="15" t="s">
        <v>524</v>
      </c>
      <c r="G1035" s="15" t="s">
        <v>9214</v>
      </c>
      <c r="H1035" s="15"/>
      <c r="I1035" s="15" t="s">
        <v>6104</v>
      </c>
      <c r="J1035" s="15" t="s">
        <v>9215</v>
      </c>
      <c r="K1035" s="15"/>
      <c r="L1035" s="15" t="s">
        <v>6104</v>
      </c>
      <c r="M1035" s="46" t="s">
        <v>9216</v>
      </c>
      <c r="N1035" s="13">
        <v>2622541395</v>
      </c>
      <c r="O1035" s="13"/>
      <c r="P1035" s="15" t="s">
        <v>8574</v>
      </c>
      <c r="Q1035" s="17" t="s">
        <v>9217</v>
      </c>
      <c r="R1035" s="18">
        <v>19</v>
      </c>
      <c r="S1035" s="19">
        <f t="shared" si="5"/>
        <v>3078</v>
      </c>
      <c r="T1035" s="12" t="s">
        <v>46</v>
      </c>
      <c r="U1035" s="15"/>
      <c r="V1035" s="19">
        <v>44610</v>
      </c>
      <c r="W1035" s="15"/>
      <c r="X1035" s="13">
        <v>2522365</v>
      </c>
      <c r="Y1035" s="20"/>
      <c r="Z1035" s="13"/>
      <c r="AA1035" s="13"/>
      <c r="AB1035" s="13">
        <v>4878435</v>
      </c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</row>
    <row r="1036" spans="1:46" ht="45" customHeight="1">
      <c r="A1036" s="21" t="s">
        <v>9218</v>
      </c>
      <c r="B1036" s="22" t="s">
        <v>9219</v>
      </c>
      <c r="C1036" s="23" t="s">
        <v>9220</v>
      </c>
      <c r="D1036" s="24" t="s">
        <v>9221</v>
      </c>
      <c r="E1036" s="24" t="s">
        <v>8225</v>
      </c>
      <c r="F1036" s="24" t="s">
        <v>8225</v>
      </c>
      <c r="G1036" s="24" t="s">
        <v>9222</v>
      </c>
      <c r="H1036" s="24" t="s">
        <v>9223</v>
      </c>
      <c r="I1036" s="24" t="s">
        <v>1279</v>
      </c>
      <c r="J1036" s="24" t="s">
        <v>9222</v>
      </c>
      <c r="K1036" s="24" t="s">
        <v>9223</v>
      </c>
      <c r="L1036" s="24" t="s">
        <v>1279</v>
      </c>
      <c r="M1036" s="25" t="s">
        <v>9224</v>
      </c>
      <c r="N1036" s="22">
        <v>2616991176</v>
      </c>
      <c r="O1036" s="22"/>
      <c r="P1036" s="24" t="s">
        <v>8574</v>
      </c>
      <c r="Q1036" s="28" t="s">
        <v>9225</v>
      </c>
      <c r="R1036" s="29">
        <v>738</v>
      </c>
      <c r="S1036" s="30">
        <f t="shared" si="5"/>
        <v>119556</v>
      </c>
      <c r="T1036" s="21" t="s">
        <v>252</v>
      </c>
      <c r="U1036" s="24"/>
      <c r="V1036" s="30">
        <v>123900</v>
      </c>
      <c r="W1036" s="24"/>
      <c r="X1036" s="22"/>
      <c r="Y1036" s="31"/>
      <c r="Z1036" s="22">
        <v>3906269</v>
      </c>
      <c r="AA1036" s="22"/>
      <c r="AB1036" s="22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</row>
    <row r="1037" spans="1:46" ht="45" customHeight="1">
      <c r="A1037" s="12" t="s">
        <v>9226</v>
      </c>
      <c r="B1037" s="13" t="s">
        <v>9227</v>
      </c>
      <c r="C1037" s="14" t="s">
        <v>9228</v>
      </c>
      <c r="D1037" s="15" t="s">
        <v>9229</v>
      </c>
      <c r="E1037" s="15" t="s">
        <v>8225</v>
      </c>
      <c r="F1037" s="15" t="s">
        <v>8225</v>
      </c>
      <c r="G1037" s="15" t="s">
        <v>9230</v>
      </c>
      <c r="H1037" s="15" t="s">
        <v>8253</v>
      </c>
      <c r="I1037" s="15" t="s">
        <v>38</v>
      </c>
      <c r="J1037" s="15" t="s">
        <v>9230</v>
      </c>
      <c r="K1037" s="15" t="s">
        <v>8253</v>
      </c>
      <c r="L1037" s="15" t="s">
        <v>38</v>
      </c>
      <c r="M1037" s="16" t="s">
        <v>9231</v>
      </c>
      <c r="N1037" s="13" t="s">
        <v>9232</v>
      </c>
      <c r="O1037" s="13"/>
      <c r="P1037" s="15" t="s">
        <v>8574</v>
      </c>
      <c r="Q1037" s="17" t="s">
        <v>9233</v>
      </c>
      <c r="R1037" s="18">
        <v>270</v>
      </c>
      <c r="S1037" s="19">
        <f t="shared" si="5"/>
        <v>43740</v>
      </c>
      <c r="T1037" s="12" t="s">
        <v>46</v>
      </c>
      <c r="U1037" s="15"/>
      <c r="V1037" s="19">
        <v>44610</v>
      </c>
      <c r="W1037" s="15"/>
      <c r="X1037" s="13"/>
      <c r="Y1037" s="20"/>
      <c r="Z1037" s="13">
        <v>3897137</v>
      </c>
      <c r="AA1037" s="13">
        <v>4713612</v>
      </c>
      <c r="AB1037" s="13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</row>
    <row r="1038" spans="1:46" ht="45" customHeight="1">
      <c r="A1038" s="12" t="s">
        <v>9234</v>
      </c>
      <c r="B1038" s="13" t="s">
        <v>9235</v>
      </c>
      <c r="C1038" s="14" t="s">
        <v>9236</v>
      </c>
      <c r="D1038" s="15" t="s">
        <v>4238</v>
      </c>
      <c r="E1038" s="15" t="s">
        <v>8225</v>
      </c>
      <c r="F1038" s="15" t="s">
        <v>8225</v>
      </c>
      <c r="G1038" s="15" t="s">
        <v>9237</v>
      </c>
      <c r="H1038" s="15"/>
      <c r="I1038" s="15" t="s">
        <v>38</v>
      </c>
      <c r="J1038" s="15" t="s">
        <v>9237</v>
      </c>
      <c r="K1038" s="15"/>
      <c r="L1038" s="15" t="s">
        <v>38</v>
      </c>
      <c r="M1038" s="67" t="s">
        <v>9238</v>
      </c>
      <c r="N1038" s="13">
        <v>2616590233</v>
      </c>
      <c r="O1038" s="13"/>
      <c r="P1038" s="15" t="s">
        <v>8574</v>
      </c>
      <c r="Q1038" s="17" t="s">
        <v>9239</v>
      </c>
      <c r="R1038" s="18">
        <v>570</v>
      </c>
      <c r="S1038" s="19">
        <f t="shared" si="5"/>
        <v>92340</v>
      </c>
      <c r="T1038" s="12" t="s">
        <v>46</v>
      </c>
      <c r="U1038" s="15"/>
      <c r="V1038" s="19">
        <v>44610</v>
      </c>
      <c r="W1038" s="15"/>
      <c r="X1038" s="13"/>
      <c r="Y1038" s="20"/>
      <c r="Z1038" s="13"/>
      <c r="AA1038" s="13">
        <v>4753330</v>
      </c>
      <c r="AB1038" s="13"/>
      <c r="AC1038" s="49">
        <v>5622281</v>
      </c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</row>
    <row r="1039" spans="1:46" ht="45" customHeight="1">
      <c r="A1039" s="12" t="s">
        <v>9240</v>
      </c>
      <c r="B1039" s="13" t="s">
        <v>9241</v>
      </c>
      <c r="C1039" s="66" t="s">
        <v>9242</v>
      </c>
      <c r="D1039" s="15" t="s">
        <v>9243</v>
      </c>
      <c r="E1039" s="15" t="s">
        <v>3583</v>
      </c>
      <c r="F1039" s="15" t="s">
        <v>3583</v>
      </c>
      <c r="G1039" s="15" t="s">
        <v>9244</v>
      </c>
      <c r="H1039" s="15"/>
      <c r="I1039" s="15" t="s">
        <v>149</v>
      </c>
      <c r="J1039" s="15" t="s">
        <v>9245</v>
      </c>
      <c r="K1039" s="15" t="s">
        <v>2652</v>
      </c>
      <c r="L1039" s="15" t="s">
        <v>53</v>
      </c>
      <c r="M1039" s="16" t="s">
        <v>9246</v>
      </c>
      <c r="N1039" s="13" t="s">
        <v>9247</v>
      </c>
      <c r="O1039" s="13"/>
      <c r="P1039" s="15" t="s">
        <v>8469</v>
      </c>
      <c r="Q1039" s="17" t="s">
        <v>9248</v>
      </c>
      <c r="R1039" s="18">
        <v>22</v>
      </c>
      <c r="S1039" s="19">
        <f t="shared" si="5"/>
        <v>3564</v>
      </c>
      <c r="T1039" s="12" t="s">
        <v>46</v>
      </c>
      <c r="U1039" s="15"/>
      <c r="V1039" s="19">
        <v>44610</v>
      </c>
      <c r="W1039" s="15"/>
      <c r="X1039" s="13">
        <v>1215186</v>
      </c>
      <c r="Y1039" s="20"/>
      <c r="Z1039" s="13"/>
      <c r="AA1039" s="13"/>
      <c r="AB1039" s="13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</row>
    <row r="1040" spans="1:46" ht="45" customHeight="1">
      <c r="A1040" s="12" t="s">
        <v>9249</v>
      </c>
      <c r="B1040" s="13" t="s">
        <v>9250</v>
      </c>
      <c r="C1040" s="14" t="s">
        <v>9251</v>
      </c>
      <c r="D1040" s="15" t="s">
        <v>9252</v>
      </c>
      <c r="E1040" s="15" t="s">
        <v>9253</v>
      </c>
      <c r="F1040" s="15" t="s">
        <v>3315</v>
      </c>
      <c r="G1040" s="15" t="s">
        <v>9254</v>
      </c>
      <c r="H1040" s="15" t="s">
        <v>9255</v>
      </c>
      <c r="I1040" s="15" t="s">
        <v>38</v>
      </c>
      <c r="J1040" s="15" t="s">
        <v>9256</v>
      </c>
      <c r="K1040" s="15"/>
      <c r="L1040" s="15" t="s">
        <v>38</v>
      </c>
      <c r="M1040" s="16" t="s">
        <v>9257</v>
      </c>
      <c r="N1040" s="13" t="s">
        <v>9258</v>
      </c>
      <c r="O1040" s="13"/>
      <c r="P1040" s="15" t="s">
        <v>8574</v>
      </c>
      <c r="Q1040" s="17" t="s">
        <v>9259</v>
      </c>
      <c r="R1040" s="18">
        <v>115</v>
      </c>
      <c r="S1040" s="19">
        <f t="shared" si="5"/>
        <v>18630</v>
      </c>
      <c r="T1040" s="12" t="s">
        <v>46</v>
      </c>
      <c r="U1040" s="15"/>
      <c r="V1040" s="19">
        <v>44610</v>
      </c>
      <c r="W1040" s="49" t="s">
        <v>71</v>
      </c>
      <c r="X1040" s="13">
        <v>2528531</v>
      </c>
      <c r="Y1040" s="20">
        <v>3113713</v>
      </c>
      <c r="Z1040" s="13">
        <v>3892812</v>
      </c>
      <c r="AA1040" s="13">
        <v>4753665</v>
      </c>
      <c r="AB1040" s="13"/>
      <c r="AC1040" s="49">
        <v>5633417</v>
      </c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</row>
    <row r="1041" spans="1:46" ht="45" customHeight="1">
      <c r="A1041" s="12" t="s">
        <v>9260</v>
      </c>
      <c r="B1041" s="13" t="s">
        <v>9261</v>
      </c>
      <c r="C1041" s="66" t="s">
        <v>9262</v>
      </c>
      <c r="D1041" s="15" t="s">
        <v>9263</v>
      </c>
      <c r="E1041" s="15"/>
      <c r="F1041" s="15"/>
      <c r="G1041" s="15" t="s">
        <v>9264</v>
      </c>
      <c r="H1041" s="15"/>
      <c r="I1041" s="15" t="s">
        <v>332</v>
      </c>
      <c r="J1041" s="15" t="s">
        <v>9265</v>
      </c>
      <c r="K1041" s="15"/>
      <c r="L1041" s="15" t="s">
        <v>332</v>
      </c>
      <c r="M1041" s="16" t="s">
        <v>9266</v>
      </c>
      <c r="N1041" s="13">
        <v>2634444448</v>
      </c>
      <c r="O1041" s="13"/>
      <c r="P1041" s="15" t="s">
        <v>8377</v>
      </c>
      <c r="Q1041" s="17" t="s">
        <v>9267</v>
      </c>
      <c r="R1041" s="18" t="s">
        <v>5746</v>
      </c>
      <c r="S1041" s="19" t="e">
        <f t="shared" si="5"/>
        <v>#VALUE!</v>
      </c>
      <c r="T1041" s="12" t="s">
        <v>5746</v>
      </c>
      <c r="U1041" s="15"/>
      <c r="V1041" s="19">
        <v>6300</v>
      </c>
      <c r="W1041" s="15"/>
      <c r="X1041" s="13"/>
      <c r="Y1041" s="20"/>
      <c r="Z1041" s="13"/>
      <c r="AA1041" s="13"/>
      <c r="AB1041" s="13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</row>
    <row r="1042" spans="1:46" ht="45" customHeight="1">
      <c r="A1042" s="12" t="s">
        <v>9268</v>
      </c>
      <c r="B1042" s="13" t="s">
        <v>9269</v>
      </c>
      <c r="C1042" s="14" t="s">
        <v>9270</v>
      </c>
      <c r="D1042" s="15" t="s">
        <v>9271</v>
      </c>
      <c r="E1042" s="15"/>
      <c r="F1042" s="15"/>
      <c r="G1042" s="15" t="s">
        <v>9272</v>
      </c>
      <c r="H1042" s="15"/>
      <c r="I1042" s="15" t="s">
        <v>332</v>
      </c>
      <c r="J1042" s="15" t="s">
        <v>9273</v>
      </c>
      <c r="K1042" s="15"/>
      <c r="L1042" s="15" t="s">
        <v>332</v>
      </c>
      <c r="M1042" s="145" t="s">
        <v>9274</v>
      </c>
      <c r="N1042" s="13">
        <v>2634312342</v>
      </c>
      <c r="O1042" s="13"/>
      <c r="P1042" s="15" t="s">
        <v>8377</v>
      </c>
      <c r="Q1042" s="17" t="s">
        <v>9275</v>
      </c>
      <c r="R1042" s="18">
        <v>78</v>
      </c>
      <c r="S1042" s="19">
        <f t="shared" si="5"/>
        <v>12636</v>
      </c>
      <c r="T1042" s="12" t="s">
        <v>46</v>
      </c>
      <c r="U1042" s="15"/>
      <c r="V1042" s="19">
        <v>44610</v>
      </c>
      <c r="W1042" s="15"/>
      <c r="X1042" s="13"/>
      <c r="Y1042" s="20"/>
      <c r="Z1042" s="13"/>
      <c r="AA1042" s="13">
        <v>4670503</v>
      </c>
      <c r="AB1042" s="13">
        <v>4670503</v>
      </c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</row>
    <row r="1043" spans="1:46" ht="45" customHeight="1">
      <c r="A1043" s="12" t="s">
        <v>9276</v>
      </c>
      <c r="B1043" s="13" t="s">
        <v>9277</v>
      </c>
      <c r="C1043" s="14" t="s">
        <v>9278</v>
      </c>
      <c r="D1043" s="15" t="s">
        <v>9279</v>
      </c>
      <c r="E1043" s="15" t="s">
        <v>9280</v>
      </c>
      <c r="F1043" s="15" t="s">
        <v>9281</v>
      </c>
      <c r="G1043" s="15" t="s">
        <v>9282</v>
      </c>
      <c r="H1043" s="15" t="s">
        <v>52</v>
      </c>
      <c r="I1043" s="15" t="s">
        <v>53</v>
      </c>
      <c r="J1043" s="15" t="s">
        <v>9283</v>
      </c>
      <c r="K1043" s="15"/>
      <c r="L1043" s="15" t="s">
        <v>65</v>
      </c>
      <c r="M1043" s="67" t="s">
        <v>9284</v>
      </c>
      <c r="N1043" s="13" t="s">
        <v>9285</v>
      </c>
      <c r="O1043" s="13"/>
      <c r="P1043" s="15" t="s">
        <v>8377</v>
      </c>
      <c r="Q1043" s="17" t="s">
        <v>9286</v>
      </c>
      <c r="R1043" s="18">
        <v>190</v>
      </c>
      <c r="S1043" s="19">
        <f t="shared" si="5"/>
        <v>30780</v>
      </c>
      <c r="T1043" s="12" t="s">
        <v>46</v>
      </c>
      <c r="U1043" s="15"/>
      <c r="V1043" s="19">
        <v>44610</v>
      </c>
      <c r="W1043" s="49" t="s">
        <v>71</v>
      </c>
      <c r="X1043" s="13">
        <v>2542220</v>
      </c>
      <c r="Y1043" s="20">
        <v>3121923</v>
      </c>
      <c r="Z1043" s="13">
        <v>3903843</v>
      </c>
      <c r="AA1043" s="13">
        <v>4750766</v>
      </c>
      <c r="AB1043" s="13"/>
      <c r="AC1043" s="49">
        <v>5637234</v>
      </c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</row>
    <row r="1044" spans="1:46" ht="45" customHeight="1">
      <c r="A1044" s="12" t="s">
        <v>9287</v>
      </c>
      <c r="B1044" s="13" t="s">
        <v>9288</v>
      </c>
      <c r="C1044" s="14" t="s">
        <v>9289</v>
      </c>
      <c r="D1044" s="15" t="s">
        <v>503</v>
      </c>
      <c r="E1044" s="15" t="s">
        <v>9290</v>
      </c>
      <c r="F1044" s="15" t="s">
        <v>3315</v>
      </c>
      <c r="G1044" s="15" t="s">
        <v>9291</v>
      </c>
      <c r="H1044" s="15" t="s">
        <v>52</v>
      </c>
      <c r="I1044" s="15" t="s">
        <v>53</v>
      </c>
      <c r="J1044" s="15" t="s">
        <v>9292</v>
      </c>
      <c r="K1044" s="15" t="s">
        <v>9293</v>
      </c>
      <c r="L1044" s="15" t="s">
        <v>65</v>
      </c>
      <c r="M1044" s="16" t="s">
        <v>506</v>
      </c>
      <c r="N1044" s="13" t="s">
        <v>9294</v>
      </c>
      <c r="O1044" s="13"/>
      <c r="P1044" s="15" t="s">
        <v>8377</v>
      </c>
      <c r="Q1044" s="17" t="s">
        <v>9295</v>
      </c>
      <c r="R1044" s="18">
        <v>306</v>
      </c>
      <c r="S1044" s="19">
        <f t="shared" si="5"/>
        <v>49572</v>
      </c>
      <c r="T1044" s="12" t="s">
        <v>46</v>
      </c>
      <c r="U1044" s="15"/>
      <c r="V1044" s="19">
        <v>44610</v>
      </c>
      <c r="W1044" s="15" t="s">
        <v>71</v>
      </c>
      <c r="X1044" s="13">
        <v>2573334</v>
      </c>
      <c r="Y1044" s="20"/>
      <c r="Z1044" s="13">
        <v>3907664</v>
      </c>
      <c r="AA1044" s="13">
        <v>4718626</v>
      </c>
      <c r="AB1044" s="13"/>
      <c r="AC1044" s="15">
        <v>5567003</v>
      </c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</row>
    <row r="1045" spans="1:46" ht="45" customHeight="1">
      <c r="A1045" s="12" t="s">
        <v>9296</v>
      </c>
      <c r="B1045" s="13" t="s">
        <v>9297</v>
      </c>
      <c r="C1045" s="14" t="s">
        <v>9298</v>
      </c>
      <c r="D1045" s="15" t="s">
        <v>9299</v>
      </c>
      <c r="E1045" s="15" t="s">
        <v>524</v>
      </c>
      <c r="F1045" s="15" t="s">
        <v>524</v>
      </c>
      <c r="G1045" s="15" t="s">
        <v>9300</v>
      </c>
      <c r="H1045" s="15" t="s">
        <v>4017</v>
      </c>
      <c r="I1045" s="15" t="s">
        <v>9301</v>
      </c>
      <c r="J1045" s="15" t="s">
        <v>9302</v>
      </c>
      <c r="K1045" s="15"/>
      <c r="L1045" s="15" t="s">
        <v>149</v>
      </c>
      <c r="M1045" s="16" t="s">
        <v>9303</v>
      </c>
      <c r="N1045" s="13" t="s">
        <v>9304</v>
      </c>
      <c r="O1045" s="13"/>
      <c r="P1045" s="15" t="s">
        <v>8574</v>
      </c>
      <c r="Q1045" s="17" t="s">
        <v>9305</v>
      </c>
      <c r="R1045" s="18">
        <v>32</v>
      </c>
      <c r="S1045" s="19">
        <f t="shared" si="5"/>
        <v>5184</v>
      </c>
      <c r="T1045" s="12" t="s">
        <v>46</v>
      </c>
      <c r="U1045" s="15"/>
      <c r="V1045" s="19">
        <v>44610</v>
      </c>
      <c r="W1045" s="15"/>
      <c r="X1045" s="13"/>
      <c r="Y1045" s="20"/>
      <c r="Z1045" s="13"/>
      <c r="AA1045" s="13">
        <v>4726569</v>
      </c>
      <c r="AB1045" s="13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</row>
    <row r="1046" spans="1:46" ht="45" customHeight="1">
      <c r="A1046" s="12" t="s">
        <v>9306</v>
      </c>
      <c r="B1046" s="13" t="s">
        <v>9307</v>
      </c>
      <c r="C1046" s="14" t="s">
        <v>9308</v>
      </c>
      <c r="D1046" s="15" t="s">
        <v>9309</v>
      </c>
      <c r="E1046" s="15" t="s">
        <v>9310</v>
      </c>
      <c r="F1046" s="15" t="s">
        <v>9310</v>
      </c>
      <c r="G1046" s="15" t="s">
        <v>9311</v>
      </c>
      <c r="H1046" s="15"/>
      <c r="I1046" s="15" t="s">
        <v>9312</v>
      </c>
      <c r="J1046" s="15" t="s">
        <v>9311</v>
      </c>
      <c r="K1046" s="15"/>
      <c r="L1046" s="15" t="s">
        <v>9312</v>
      </c>
      <c r="M1046" s="16" t="s">
        <v>9313</v>
      </c>
      <c r="N1046" s="13" t="s">
        <v>9314</v>
      </c>
      <c r="O1046" s="13"/>
      <c r="P1046" s="15" t="s">
        <v>8377</v>
      </c>
      <c r="Q1046" s="17" t="s">
        <v>9315</v>
      </c>
      <c r="R1046" s="18">
        <v>253</v>
      </c>
      <c r="S1046" s="19">
        <f t="shared" si="5"/>
        <v>40986</v>
      </c>
      <c r="T1046" s="12" t="s">
        <v>46</v>
      </c>
      <c r="U1046" s="15"/>
      <c r="V1046" s="19">
        <v>44610</v>
      </c>
      <c r="W1046" s="15" t="s">
        <v>71</v>
      </c>
      <c r="X1046" s="13">
        <v>2555431</v>
      </c>
      <c r="Y1046" s="20"/>
      <c r="Z1046" s="13">
        <v>3852067</v>
      </c>
      <c r="AA1046" s="13">
        <v>4891115</v>
      </c>
      <c r="AB1046" s="13"/>
      <c r="AC1046" s="15">
        <v>5591352</v>
      </c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</row>
    <row r="1047" spans="1:46" ht="45" customHeight="1">
      <c r="A1047" s="12" t="s">
        <v>9316</v>
      </c>
      <c r="B1047" s="13" t="s">
        <v>9317</v>
      </c>
      <c r="C1047" s="66" t="s">
        <v>9318</v>
      </c>
      <c r="D1047" s="15" t="s">
        <v>9319</v>
      </c>
      <c r="E1047" s="15" t="s">
        <v>8054</v>
      </c>
      <c r="F1047" s="15" t="s">
        <v>8054</v>
      </c>
      <c r="G1047" s="15" t="s">
        <v>9320</v>
      </c>
      <c r="H1047" s="15"/>
      <c r="I1047" s="15" t="s">
        <v>7704</v>
      </c>
      <c r="J1047" s="15" t="s">
        <v>9320</v>
      </c>
      <c r="K1047" s="15"/>
      <c r="L1047" s="15" t="s">
        <v>7704</v>
      </c>
      <c r="M1047" s="16" t="s">
        <v>9321</v>
      </c>
      <c r="N1047" s="13" t="s">
        <v>9322</v>
      </c>
      <c r="O1047" s="13"/>
      <c r="P1047" s="15" t="s">
        <v>8377</v>
      </c>
      <c r="Q1047" s="17" t="s">
        <v>9323</v>
      </c>
      <c r="R1047" s="18">
        <v>183</v>
      </c>
      <c r="S1047" s="19">
        <f t="shared" si="5"/>
        <v>29646</v>
      </c>
      <c r="T1047" s="12" t="s">
        <v>46</v>
      </c>
      <c r="U1047" s="15"/>
      <c r="V1047" s="19">
        <v>44610</v>
      </c>
      <c r="W1047" s="15" t="s">
        <v>71</v>
      </c>
      <c r="X1047" s="13">
        <v>2504594</v>
      </c>
      <c r="Y1047" s="20"/>
      <c r="Z1047" s="13"/>
      <c r="AA1047" s="13"/>
      <c r="AB1047" s="198">
        <v>4876440</v>
      </c>
      <c r="AC1047" s="15">
        <v>5617757</v>
      </c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</row>
    <row r="1048" spans="1:46" ht="45" customHeight="1">
      <c r="A1048" s="12" t="s">
        <v>9324</v>
      </c>
      <c r="B1048" s="13" t="s">
        <v>9325</v>
      </c>
      <c r="C1048" s="14" t="s">
        <v>9326</v>
      </c>
      <c r="D1048" s="15" t="s">
        <v>9327</v>
      </c>
      <c r="E1048" s="15" t="s">
        <v>8054</v>
      </c>
      <c r="F1048" s="15" t="s">
        <v>8054</v>
      </c>
      <c r="G1048" s="15" t="s">
        <v>9328</v>
      </c>
      <c r="H1048" s="15"/>
      <c r="I1048" s="15" t="s">
        <v>38</v>
      </c>
      <c r="J1048" s="15" t="s">
        <v>9328</v>
      </c>
      <c r="K1048" s="15"/>
      <c r="L1048" s="15" t="s">
        <v>38</v>
      </c>
      <c r="M1048" s="16" t="s">
        <v>9329</v>
      </c>
      <c r="N1048" s="13">
        <v>2615780555</v>
      </c>
      <c r="O1048" s="13"/>
      <c r="P1048" s="15" t="s">
        <v>8574</v>
      </c>
      <c r="Q1048" s="17" t="s">
        <v>9330</v>
      </c>
      <c r="R1048" s="18">
        <v>37</v>
      </c>
      <c r="S1048" s="19">
        <f t="shared" si="5"/>
        <v>5994</v>
      </c>
      <c r="T1048" s="12" t="s">
        <v>46</v>
      </c>
      <c r="U1048" s="15"/>
      <c r="V1048" s="19">
        <v>44610</v>
      </c>
      <c r="W1048" s="15"/>
      <c r="X1048" s="13">
        <v>2577497</v>
      </c>
      <c r="Y1048" s="20">
        <v>3079375</v>
      </c>
      <c r="Z1048" s="13">
        <v>3835147</v>
      </c>
      <c r="AA1048" s="13">
        <v>4620038</v>
      </c>
      <c r="AB1048" s="13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</row>
    <row r="1049" spans="1:46" ht="45" customHeight="1">
      <c r="A1049" s="21" t="s">
        <v>9331</v>
      </c>
      <c r="B1049" s="22" t="s">
        <v>9332</v>
      </c>
      <c r="C1049" s="61" t="s">
        <v>9333</v>
      </c>
      <c r="D1049" s="24" t="s">
        <v>9334</v>
      </c>
      <c r="E1049" s="24" t="s">
        <v>9335</v>
      </c>
      <c r="F1049" s="24" t="s">
        <v>9335</v>
      </c>
      <c r="G1049" s="45" t="s">
        <v>9336</v>
      </c>
      <c r="H1049" s="45" t="s">
        <v>9337</v>
      </c>
      <c r="I1049" s="45" t="s">
        <v>41</v>
      </c>
      <c r="J1049" s="24" t="s">
        <v>9338</v>
      </c>
      <c r="K1049" s="24" t="s">
        <v>9339</v>
      </c>
      <c r="L1049" s="24" t="s">
        <v>41</v>
      </c>
      <c r="M1049" s="70" t="s">
        <v>9340</v>
      </c>
      <c r="N1049" s="22" t="s">
        <v>9341</v>
      </c>
      <c r="O1049" s="22"/>
      <c r="P1049" s="45" t="s">
        <v>9342</v>
      </c>
      <c r="Q1049" s="28" t="s">
        <v>9343</v>
      </c>
      <c r="R1049" s="29">
        <v>952.8</v>
      </c>
      <c r="S1049" s="30">
        <f t="shared" si="5"/>
        <v>154353.60000000001</v>
      </c>
      <c r="T1049" s="21" t="s">
        <v>252</v>
      </c>
      <c r="U1049" s="24"/>
      <c r="V1049" s="30">
        <v>123900</v>
      </c>
      <c r="W1049" s="45" t="s">
        <v>71</v>
      </c>
      <c r="X1049" s="22">
        <v>2698424</v>
      </c>
      <c r="Y1049" s="31">
        <v>3064783</v>
      </c>
      <c r="Z1049" s="22">
        <v>3886794</v>
      </c>
      <c r="AA1049" s="22">
        <v>4720954</v>
      </c>
      <c r="AB1049" s="22"/>
      <c r="AC1049" s="45">
        <v>5633982</v>
      </c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4"/>
    </row>
    <row r="1050" spans="1:46" ht="45" customHeight="1">
      <c r="A1050" s="12" t="s">
        <v>9344</v>
      </c>
      <c r="B1050" s="13" t="s">
        <v>9345</v>
      </c>
      <c r="C1050" s="66" t="s">
        <v>9346</v>
      </c>
      <c r="D1050" s="15" t="s">
        <v>9347</v>
      </c>
      <c r="E1050" s="15" t="s">
        <v>9348</v>
      </c>
      <c r="F1050" s="15" t="s">
        <v>9348</v>
      </c>
      <c r="G1050" s="15" t="s">
        <v>9349</v>
      </c>
      <c r="H1050" s="15" t="s">
        <v>52</v>
      </c>
      <c r="I1050" s="15" t="s">
        <v>53</v>
      </c>
      <c r="J1050" s="15" t="s">
        <v>9350</v>
      </c>
      <c r="K1050" s="15"/>
      <c r="L1050" s="15" t="s">
        <v>383</v>
      </c>
      <c r="M1050" s="16" t="s">
        <v>9351</v>
      </c>
      <c r="N1050" s="13" t="s">
        <v>9352</v>
      </c>
      <c r="O1050" s="13"/>
      <c r="P1050" s="15" t="s">
        <v>9353</v>
      </c>
      <c r="Q1050" s="17" t="s">
        <v>9354</v>
      </c>
      <c r="R1050" s="18">
        <v>301.78199999999998</v>
      </c>
      <c r="S1050" s="19">
        <f t="shared" si="5"/>
        <v>48888.683999999994</v>
      </c>
      <c r="T1050" s="12" t="s">
        <v>46</v>
      </c>
      <c r="U1050" s="15"/>
      <c r="V1050" s="19">
        <v>44610</v>
      </c>
      <c r="W1050" s="15"/>
      <c r="X1050" s="13">
        <v>2681388</v>
      </c>
      <c r="Y1050" s="20"/>
      <c r="Z1050" s="13"/>
      <c r="AA1050" s="13"/>
      <c r="AB1050" s="13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</row>
    <row r="1051" spans="1:46" ht="45" customHeight="1">
      <c r="A1051" s="12" t="s">
        <v>9355</v>
      </c>
      <c r="B1051" s="13" t="s">
        <v>9356</v>
      </c>
      <c r="C1051" s="66" t="s">
        <v>9357</v>
      </c>
      <c r="D1051" s="15" t="s">
        <v>8686</v>
      </c>
      <c r="E1051" s="15" t="s">
        <v>9358</v>
      </c>
      <c r="F1051" s="15" t="s">
        <v>9358</v>
      </c>
      <c r="G1051" s="15" t="s">
        <v>9359</v>
      </c>
      <c r="H1051" s="15" t="s">
        <v>4017</v>
      </c>
      <c r="I1051" s="15" t="s">
        <v>38</v>
      </c>
      <c r="J1051" s="15" t="s">
        <v>9359</v>
      </c>
      <c r="K1051" s="15" t="s">
        <v>4017</v>
      </c>
      <c r="L1051" s="15" t="s">
        <v>38</v>
      </c>
      <c r="M1051" s="16" t="s">
        <v>8688</v>
      </c>
      <c r="N1051" s="13" t="s">
        <v>9360</v>
      </c>
      <c r="O1051" s="13"/>
      <c r="P1051" s="15" t="s">
        <v>9361</v>
      </c>
      <c r="Q1051" s="17" t="s">
        <v>9362</v>
      </c>
      <c r="R1051" s="18">
        <v>390.82799999999997</v>
      </c>
      <c r="S1051" s="19">
        <f t="shared" si="5"/>
        <v>63314.135999999999</v>
      </c>
      <c r="T1051" s="12" t="s">
        <v>46</v>
      </c>
      <c r="U1051" s="15"/>
      <c r="V1051" s="19">
        <v>44610</v>
      </c>
      <c r="W1051" s="15"/>
      <c r="X1051" s="13">
        <v>2681366</v>
      </c>
      <c r="Y1051" s="20"/>
      <c r="Z1051" s="13"/>
      <c r="AA1051" s="13"/>
      <c r="AB1051" s="13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</row>
    <row r="1052" spans="1:46" ht="45" customHeight="1">
      <c r="A1052" s="50" t="s">
        <v>9363</v>
      </c>
      <c r="B1052" s="51" t="s">
        <v>9364</v>
      </c>
      <c r="C1052" s="52" t="s">
        <v>9365</v>
      </c>
      <c r="D1052" s="53" t="s">
        <v>1790</v>
      </c>
      <c r="E1052" s="53" t="s">
        <v>8099</v>
      </c>
      <c r="F1052" s="53" t="s">
        <v>8099</v>
      </c>
      <c r="G1052" s="53" t="s">
        <v>9366</v>
      </c>
      <c r="H1052" s="53"/>
      <c r="I1052" s="53" t="s">
        <v>149</v>
      </c>
      <c r="J1052" s="53" t="s">
        <v>9366</v>
      </c>
      <c r="K1052" s="53"/>
      <c r="L1052" s="53" t="s">
        <v>149</v>
      </c>
      <c r="M1052" s="68" t="s">
        <v>9367</v>
      </c>
      <c r="N1052" s="51" t="s">
        <v>9368</v>
      </c>
      <c r="O1052" s="51"/>
      <c r="P1052" s="53" t="s">
        <v>8574</v>
      </c>
      <c r="Q1052" s="55" t="s">
        <v>9369</v>
      </c>
      <c r="R1052" s="56">
        <v>144.506</v>
      </c>
      <c r="S1052" s="57">
        <f t="shared" si="5"/>
        <v>23409.972000000002</v>
      </c>
      <c r="T1052" s="50" t="s">
        <v>46</v>
      </c>
      <c r="U1052" s="53"/>
      <c r="V1052" s="57">
        <v>44610</v>
      </c>
      <c r="W1052" s="53"/>
      <c r="X1052" s="51">
        <v>2666036</v>
      </c>
      <c r="Y1052" s="58"/>
      <c r="Z1052" s="51"/>
      <c r="AA1052" s="51"/>
      <c r="AB1052" s="51"/>
      <c r="AC1052" s="53"/>
      <c r="AD1052" s="53"/>
      <c r="AE1052" s="53"/>
      <c r="AF1052" s="53"/>
      <c r="AG1052" s="53"/>
      <c r="AH1052" s="53"/>
      <c r="AI1052" s="53"/>
      <c r="AJ1052" s="53"/>
      <c r="AK1052" s="53"/>
      <c r="AL1052" s="53"/>
      <c r="AM1052" s="53"/>
      <c r="AN1052" s="53"/>
      <c r="AO1052" s="53"/>
      <c r="AP1052" s="53"/>
      <c r="AQ1052" s="53"/>
      <c r="AR1052" s="53"/>
      <c r="AS1052" s="53"/>
      <c r="AT1052" s="53"/>
    </row>
    <row r="1053" spans="1:46" ht="45" customHeight="1">
      <c r="A1053" s="21" t="s">
        <v>9370</v>
      </c>
      <c r="B1053" s="22" t="s">
        <v>9371</v>
      </c>
      <c r="C1053" s="23" t="s">
        <v>9372</v>
      </c>
      <c r="D1053" s="24" t="s">
        <v>7423</v>
      </c>
      <c r="E1053" s="24" t="s">
        <v>9373</v>
      </c>
      <c r="F1053" s="24" t="s">
        <v>9373</v>
      </c>
      <c r="G1053" s="24" t="s">
        <v>9374</v>
      </c>
      <c r="H1053" s="24" t="s">
        <v>9375</v>
      </c>
      <c r="I1053" s="24" t="s">
        <v>6584</v>
      </c>
      <c r="J1053" s="24" t="s">
        <v>9376</v>
      </c>
      <c r="K1053" s="24"/>
      <c r="L1053" s="24" t="s">
        <v>80</v>
      </c>
      <c r="M1053" s="70" t="s">
        <v>9377</v>
      </c>
      <c r="N1053" s="22" t="s">
        <v>9378</v>
      </c>
      <c r="O1053" s="22"/>
      <c r="P1053" s="24" t="s">
        <v>117</v>
      </c>
      <c r="Q1053" s="28" t="s">
        <v>9379</v>
      </c>
      <c r="R1053" s="29">
        <v>4361.2820000000002</v>
      </c>
      <c r="S1053" s="30">
        <f t="shared" si="5"/>
        <v>706527.68400000001</v>
      </c>
      <c r="T1053" s="21" t="s">
        <v>105</v>
      </c>
      <c r="U1053" s="24"/>
      <c r="V1053" s="30">
        <v>736320</v>
      </c>
      <c r="W1053" s="45" t="s">
        <v>71</v>
      </c>
      <c r="X1053" s="22">
        <v>2673689</v>
      </c>
      <c r="Y1053" s="31"/>
      <c r="Z1053" s="22">
        <v>3873470</v>
      </c>
      <c r="AA1053" s="22">
        <v>4701438</v>
      </c>
      <c r="AB1053" s="22"/>
      <c r="AC1053" s="45">
        <v>5631930</v>
      </c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</row>
    <row r="1054" spans="1:46" ht="45" customHeight="1">
      <c r="A1054" s="79" t="s">
        <v>9380</v>
      </c>
      <c r="B1054" s="80" t="s">
        <v>9381</v>
      </c>
      <c r="C1054" s="81" t="s">
        <v>9382</v>
      </c>
      <c r="D1054" s="82" t="s">
        <v>9383</v>
      </c>
      <c r="E1054" s="82" t="s">
        <v>9384</v>
      </c>
      <c r="F1054" s="82" t="s">
        <v>9384</v>
      </c>
      <c r="G1054" s="82" t="s">
        <v>9385</v>
      </c>
      <c r="H1054" s="82" t="s">
        <v>9386</v>
      </c>
      <c r="I1054" s="82" t="s">
        <v>65</v>
      </c>
      <c r="J1054" s="82" t="s">
        <v>9385</v>
      </c>
      <c r="K1054" s="82" t="s">
        <v>9386</v>
      </c>
      <c r="L1054" s="82" t="s">
        <v>65</v>
      </c>
      <c r="M1054" s="91" t="s">
        <v>9387</v>
      </c>
      <c r="N1054" s="80" t="s">
        <v>9388</v>
      </c>
      <c r="O1054" s="80"/>
      <c r="P1054" s="82" t="s">
        <v>9389</v>
      </c>
      <c r="Q1054" s="84" t="s">
        <v>9390</v>
      </c>
      <c r="R1054" s="85" t="s">
        <v>770</v>
      </c>
      <c r="S1054" s="86" t="e">
        <f t="shared" si="5"/>
        <v>#VALUE!</v>
      </c>
      <c r="T1054" s="87" t="s">
        <v>770</v>
      </c>
      <c r="U1054" s="82"/>
      <c r="V1054" s="86">
        <v>0</v>
      </c>
      <c r="W1054" s="82"/>
      <c r="X1054" s="80">
        <v>2711633</v>
      </c>
      <c r="Y1054" s="88"/>
      <c r="Z1054" s="80">
        <v>3880141</v>
      </c>
      <c r="AA1054" s="80"/>
      <c r="AB1054" s="80"/>
      <c r="AC1054" s="82"/>
      <c r="AD1054" s="82"/>
      <c r="AE1054" s="82"/>
      <c r="AF1054" s="82"/>
      <c r="AG1054" s="82"/>
      <c r="AH1054" s="82"/>
      <c r="AI1054" s="82"/>
      <c r="AJ1054" s="82"/>
      <c r="AK1054" s="82"/>
      <c r="AL1054" s="82"/>
      <c r="AM1054" s="82"/>
      <c r="AN1054" s="82"/>
      <c r="AO1054" s="82"/>
      <c r="AP1054" s="82"/>
      <c r="AQ1054" s="82"/>
      <c r="AR1054" s="82"/>
      <c r="AS1054" s="82"/>
      <c r="AT1054" s="82"/>
    </row>
    <row r="1055" spans="1:46" ht="45" customHeight="1">
      <c r="A1055" s="12" t="s">
        <v>9391</v>
      </c>
      <c r="B1055" s="13" t="s">
        <v>9392</v>
      </c>
      <c r="C1055" s="66" t="s">
        <v>9393</v>
      </c>
      <c r="D1055" s="15" t="s">
        <v>9394</v>
      </c>
      <c r="E1055" s="15" t="s">
        <v>9395</v>
      </c>
      <c r="F1055" s="15" t="s">
        <v>9395</v>
      </c>
      <c r="G1055" s="15" t="s">
        <v>9396</v>
      </c>
      <c r="H1055" s="15" t="s">
        <v>9397</v>
      </c>
      <c r="I1055" s="15" t="s">
        <v>2691</v>
      </c>
      <c r="J1055" s="15" t="s">
        <v>9396</v>
      </c>
      <c r="K1055" s="15" t="s">
        <v>9397</v>
      </c>
      <c r="L1055" s="15" t="s">
        <v>2691</v>
      </c>
      <c r="M1055" s="16" t="s">
        <v>9398</v>
      </c>
      <c r="N1055" s="13" t="s">
        <v>9399</v>
      </c>
      <c r="O1055" s="13"/>
      <c r="P1055" s="15" t="s">
        <v>9400</v>
      </c>
      <c r="Q1055" s="17" t="s">
        <v>9401</v>
      </c>
      <c r="R1055" s="18">
        <v>39.1875</v>
      </c>
      <c r="S1055" s="19">
        <f t="shared" si="5"/>
        <v>6348.375</v>
      </c>
      <c r="T1055" s="12" t="s">
        <v>46</v>
      </c>
      <c r="U1055" s="15"/>
      <c r="V1055" s="19">
        <v>44610</v>
      </c>
      <c r="W1055" s="15"/>
      <c r="X1055" s="13">
        <v>2713056</v>
      </c>
      <c r="Y1055" s="20"/>
      <c r="Z1055" s="13"/>
      <c r="AA1055" s="13"/>
      <c r="AB1055" s="13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</row>
    <row r="1056" spans="1:46" ht="45" customHeight="1">
      <c r="A1056" s="12" t="s">
        <v>9402</v>
      </c>
      <c r="B1056" s="13" t="s">
        <v>9403</v>
      </c>
      <c r="C1056" s="14" t="s">
        <v>9404</v>
      </c>
      <c r="D1056" s="15" t="s">
        <v>9405</v>
      </c>
      <c r="E1056" s="15" t="s">
        <v>9310</v>
      </c>
      <c r="F1056" s="15" t="s">
        <v>9310</v>
      </c>
      <c r="G1056" s="15" t="s">
        <v>9406</v>
      </c>
      <c r="H1056" s="15" t="s">
        <v>1190</v>
      </c>
      <c r="I1056" s="15" t="s">
        <v>38</v>
      </c>
      <c r="J1056" s="15" t="s">
        <v>9406</v>
      </c>
      <c r="K1056" s="15" t="s">
        <v>9407</v>
      </c>
      <c r="L1056" s="15" t="s">
        <v>38</v>
      </c>
      <c r="M1056" s="16" t="s">
        <v>9408</v>
      </c>
      <c r="N1056" s="13" t="s">
        <v>9409</v>
      </c>
      <c r="O1056" s="13"/>
      <c r="P1056" s="15" t="s">
        <v>8377</v>
      </c>
      <c r="Q1056" s="17" t="s">
        <v>9410</v>
      </c>
      <c r="R1056" s="18">
        <v>464.31299999999999</v>
      </c>
      <c r="S1056" s="19">
        <f t="shared" si="5"/>
        <v>75218.705999999991</v>
      </c>
      <c r="T1056" s="12" t="s">
        <v>46</v>
      </c>
      <c r="U1056" s="15"/>
      <c r="V1056" s="19">
        <v>44610</v>
      </c>
      <c r="W1056" s="15" t="s">
        <v>71</v>
      </c>
      <c r="X1056" s="13">
        <v>2688134</v>
      </c>
      <c r="Y1056" s="20"/>
      <c r="Z1056" s="13">
        <v>3888148</v>
      </c>
      <c r="AA1056" s="13">
        <v>4719251</v>
      </c>
      <c r="AB1056" s="13"/>
      <c r="AC1056" s="15">
        <v>5588424</v>
      </c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</row>
    <row r="1057" spans="1:46" ht="45" customHeight="1">
      <c r="A1057" s="12" t="s">
        <v>9411</v>
      </c>
      <c r="B1057" s="13" t="s">
        <v>9412</v>
      </c>
      <c r="C1057" s="66" t="s">
        <v>9413</v>
      </c>
      <c r="D1057" s="15" t="s">
        <v>2659</v>
      </c>
      <c r="E1057" s="15" t="s">
        <v>9414</v>
      </c>
      <c r="F1057" s="15" t="s">
        <v>9414</v>
      </c>
      <c r="G1057" s="15" t="s">
        <v>9415</v>
      </c>
      <c r="H1057" s="15" t="s">
        <v>52</v>
      </c>
      <c r="I1057" s="15" t="s">
        <v>53</v>
      </c>
      <c r="J1057" s="15" t="s">
        <v>9416</v>
      </c>
      <c r="K1057" s="15"/>
      <c r="L1057" s="15" t="s">
        <v>5916</v>
      </c>
      <c r="M1057" s="16" t="s">
        <v>9417</v>
      </c>
      <c r="N1057" s="13" t="s">
        <v>9418</v>
      </c>
      <c r="O1057" s="13"/>
      <c r="P1057" s="15" t="s">
        <v>8377</v>
      </c>
      <c r="Q1057" s="17" t="s">
        <v>9419</v>
      </c>
      <c r="R1057" s="18">
        <v>114.57</v>
      </c>
      <c r="S1057" s="19">
        <f t="shared" si="5"/>
        <v>18560.34</v>
      </c>
      <c r="T1057" s="12" t="s">
        <v>46</v>
      </c>
      <c r="U1057" s="15"/>
      <c r="V1057" s="19">
        <v>44610</v>
      </c>
      <c r="W1057" s="15" t="s">
        <v>71</v>
      </c>
      <c r="X1057" s="13">
        <v>2628586</v>
      </c>
      <c r="Y1057" s="20"/>
      <c r="Z1057" s="13">
        <v>3820103</v>
      </c>
      <c r="AA1057" s="13">
        <v>46279774</v>
      </c>
      <c r="AB1057" s="13"/>
      <c r="AC1057" s="15">
        <v>5534183</v>
      </c>
      <c r="AD1057" s="49">
        <v>6477310</v>
      </c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</row>
    <row r="1058" spans="1:46" ht="45" customHeight="1">
      <c r="A1058" s="79" t="s">
        <v>9420</v>
      </c>
      <c r="B1058" s="80" t="s">
        <v>9421</v>
      </c>
      <c r="C1058" s="81" t="s">
        <v>9422</v>
      </c>
      <c r="D1058" s="82" t="s">
        <v>9423</v>
      </c>
      <c r="E1058" s="82" t="s">
        <v>9424</v>
      </c>
      <c r="F1058" s="82" t="s">
        <v>9424</v>
      </c>
      <c r="G1058" s="82" t="s">
        <v>9425</v>
      </c>
      <c r="H1058" s="82" t="s">
        <v>9426</v>
      </c>
      <c r="I1058" s="82" t="s">
        <v>38</v>
      </c>
      <c r="J1058" s="82" t="s">
        <v>9425</v>
      </c>
      <c r="K1058" s="82" t="s">
        <v>9426</v>
      </c>
      <c r="L1058" s="82" t="s">
        <v>38</v>
      </c>
      <c r="M1058" s="91" t="s">
        <v>9427</v>
      </c>
      <c r="N1058" s="80" t="s">
        <v>9428</v>
      </c>
      <c r="O1058" s="80"/>
      <c r="P1058" s="82" t="s">
        <v>8681</v>
      </c>
      <c r="Q1058" s="84" t="s">
        <v>9429</v>
      </c>
      <c r="R1058" s="85" t="s">
        <v>770</v>
      </c>
      <c r="S1058" s="86" t="e">
        <f t="shared" si="5"/>
        <v>#VALUE!</v>
      </c>
      <c r="T1058" s="87" t="s">
        <v>770</v>
      </c>
      <c r="U1058" s="82"/>
      <c r="V1058" s="86">
        <v>0</v>
      </c>
      <c r="W1058" s="82"/>
      <c r="X1058" s="80">
        <v>2817169</v>
      </c>
      <c r="Y1058" s="88"/>
      <c r="Z1058" s="80"/>
      <c r="AA1058" s="80"/>
      <c r="AB1058" s="80"/>
      <c r="AC1058" s="82"/>
      <c r="AD1058" s="82"/>
      <c r="AE1058" s="82"/>
      <c r="AF1058" s="82"/>
      <c r="AG1058" s="82"/>
      <c r="AH1058" s="82"/>
      <c r="AI1058" s="82"/>
      <c r="AJ1058" s="82"/>
      <c r="AK1058" s="82"/>
      <c r="AL1058" s="82"/>
      <c r="AM1058" s="82"/>
      <c r="AN1058" s="82"/>
      <c r="AO1058" s="82"/>
      <c r="AP1058" s="82"/>
      <c r="AQ1058" s="82"/>
      <c r="AR1058" s="82"/>
      <c r="AS1058" s="82"/>
      <c r="AT1058" s="82"/>
    </row>
    <row r="1059" spans="1:46" ht="45" customHeight="1">
      <c r="A1059" s="12" t="s">
        <v>9430</v>
      </c>
      <c r="B1059" s="13" t="s">
        <v>9431</v>
      </c>
      <c r="C1059" s="14" t="s">
        <v>9432</v>
      </c>
      <c r="D1059" s="15" t="s">
        <v>9433</v>
      </c>
      <c r="E1059" s="15" t="s">
        <v>9434</v>
      </c>
      <c r="F1059" s="15" t="s">
        <v>9434</v>
      </c>
      <c r="G1059" s="15" t="s">
        <v>9435</v>
      </c>
      <c r="H1059" s="15" t="s">
        <v>9436</v>
      </c>
      <c r="I1059" s="15" t="s">
        <v>6104</v>
      </c>
      <c r="J1059" s="15" t="s">
        <v>9435</v>
      </c>
      <c r="K1059" s="15" t="s">
        <v>9436</v>
      </c>
      <c r="L1059" s="15" t="s">
        <v>6104</v>
      </c>
      <c r="M1059" s="16" t="s">
        <v>9437</v>
      </c>
      <c r="N1059" s="13" t="s">
        <v>9438</v>
      </c>
      <c r="O1059" s="13"/>
      <c r="P1059" s="15" t="s">
        <v>8377</v>
      </c>
      <c r="Q1059" s="17" t="s">
        <v>9439</v>
      </c>
      <c r="R1059" s="18">
        <v>196.47900000000001</v>
      </c>
      <c r="S1059" s="19">
        <f t="shared" si="5"/>
        <v>31829.598000000002</v>
      </c>
      <c r="T1059" s="12" t="s">
        <v>46</v>
      </c>
      <c r="U1059" s="15"/>
      <c r="V1059" s="19">
        <v>44610</v>
      </c>
      <c r="W1059" s="15" t="s">
        <v>71</v>
      </c>
      <c r="X1059" s="13">
        <v>2840973</v>
      </c>
      <c r="Y1059" s="20"/>
      <c r="Z1059" s="13">
        <v>3848667</v>
      </c>
      <c r="AA1059" s="13">
        <v>4659160</v>
      </c>
      <c r="AB1059" s="13"/>
      <c r="AC1059" s="15">
        <v>5568932</v>
      </c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</row>
    <row r="1060" spans="1:46" ht="45" customHeight="1">
      <c r="A1060" s="21" t="s">
        <v>9440</v>
      </c>
      <c r="B1060" s="22" t="s">
        <v>9441</v>
      </c>
      <c r="C1060" s="23" t="s">
        <v>9442</v>
      </c>
      <c r="D1060" s="24" t="s">
        <v>9443</v>
      </c>
      <c r="E1060" s="24" t="s">
        <v>9444</v>
      </c>
      <c r="F1060" s="24" t="s">
        <v>9444</v>
      </c>
      <c r="G1060" s="24" t="s">
        <v>9445</v>
      </c>
      <c r="H1060" s="24" t="s">
        <v>9446</v>
      </c>
      <c r="I1060" s="24" t="s">
        <v>6584</v>
      </c>
      <c r="J1060" s="24" t="s">
        <v>9445</v>
      </c>
      <c r="K1060" s="24" t="s">
        <v>9446</v>
      </c>
      <c r="L1060" s="24" t="s">
        <v>6584</v>
      </c>
      <c r="M1060" s="70" t="s">
        <v>9377</v>
      </c>
      <c r="N1060" s="22" t="s">
        <v>9447</v>
      </c>
      <c r="O1060" s="22"/>
      <c r="P1060" s="45" t="s">
        <v>9448</v>
      </c>
      <c r="Q1060" s="28" t="s">
        <v>9449</v>
      </c>
      <c r="R1060" s="29">
        <v>1560.87</v>
      </c>
      <c r="S1060" s="30">
        <f t="shared" si="5"/>
        <v>252860.93999999997</v>
      </c>
      <c r="T1060" s="21" t="s">
        <v>198</v>
      </c>
      <c r="U1060" s="24"/>
      <c r="V1060" s="30">
        <v>215940</v>
      </c>
      <c r="W1060" s="45" t="s">
        <v>2492</v>
      </c>
      <c r="X1060" s="22">
        <v>2867917</v>
      </c>
      <c r="Y1060" s="31"/>
      <c r="Z1060" s="22">
        <v>3875553</v>
      </c>
      <c r="AA1060" s="22">
        <v>4749324</v>
      </c>
      <c r="AB1060" s="22"/>
      <c r="AC1060" s="45">
        <v>5632235</v>
      </c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4"/>
    </row>
    <row r="1061" spans="1:46" ht="45" customHeight="1">
      <c r="A1061" s="12" t="s">
        <v>9450</v>
      </c>
      <c r="B1061" s="13" t="s">
        <v>9451</v>
      </c>
      <c r="C1061" s="14" t="s">
        <v>9452</v>
      </c>
      <c r="D1061" s="15" t="s">
        <v>992</v>
      </c>
      <c r="E1061" s="15"/>
      <c r="F1061" s="15"/>
      <c r="G1061" s="15" t="s">
        <v>994</v>
      </c>
      <c r="H1061" s="15" t="s">
        <v>125</v>
      </c>
      <c r="I1061" s="15" t="s">
        <v>115</v>
      </c>
      <c r="J1061" s="15" t="s">
        <v>9453</v>
      </c>
      <c r="K1061" s="15"/>
      <c r="L1061" s="15" t="s">
        <v>115</v>
      </c>
      <c r="M1061" s="199" t="s">
        <v>995</v>
      </c>
      <c r="N1061" s="13">
        <v>2614543175</v>
      </c>
      <c r="O1061" s="13"/>
      <c r="P1061" s="15" t="s">
        <v>8377</v>
      </c>
      <c r="Q1061" s="17" t="s">
        <v>9454</v>
      </c>
      <c r="R1061" s="18">
        <v>251</v>
      </c>
      <c r="S1061" s="19">
        <f t="shared" si="5"/>
        <v>40662</v>
      </c>
      <c r="T1061" s="12" t="s">
        <v>46</v>
      </c>
      <c r="U1061" s="15"/>
      <c r="V1061" s="19">
        <v>44610</v>
      </c>
      <c r="W1061" s="15" t="s">
        <v>71</v>
      </c>
      <c r="X1061" s="13"/>
      <c r="Y1061" s="20"/>
      <c r="Z1061" s="13"/>
      <c r="AA1061" s="13"/>
      <c r="AB1061" s="13">
        <v>4906352</v>
      </c>
      <c r="AC1061" s="15">
        <v>5619920</v>
      </c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</row>
    <row r="1062" spans="1:46" ht="45" customHeight="1">
      <c r="A1062" s="12" t="s">
        <v>9455</v>
      </c>
      <c r="B1062" s="13" t="s">
        <v>9456</v>
      </c>
      <c r="C1062" s="66" t="s">
        <v>9457</v>
      </c>
      <c r="D1062" s="15" t="s">
        <v>4628</v>
      </c>
      <c r="E1062" s="15"/>
      <c r="F1062" s="15"/>
      <c r="G1062" s="15" t="s">
        <v>9458</v>
      </c>
      <c r="H1062" s="15" t="s">
        <v>52</v>
      </c>
      <c r="I1062" s="15" t="s">
        <v>53</v>
      </c>
      <c r="J1062" s="15" t="s">
        <v>9459</v>
      </c>
      <c r="K1062" s="15"/>
      <c r="L1062" s="15" t="s">
        <v>6584</v>
      </c>
      <c r="M1062" s="200" t="s">
        <v>9460</v>
      </c>
      <c r="N1062" s="13"/>
      <c r="O1062" s="13"/>
      <c r="P1062" s="15" t="s">
        <v>8377</v>
      </c>
      <c r="Q1062" s="17" t="s">
        <v>9461</v>
      </c>
      <c r="R1062" s="18" t="s">
        <v>5746</v>
      </c>
      <c r="S1062" s="19" t="e">
        <f t="shared" si="5"/>
        <v>#VALUE!</v>
      </c>
      <c r="T1062" s="12" t="s">
        <v>5746</v>
      </c>
      <c r="U1062" s="15"/>
      <c r="V1062" s="19">
        <v>6300</v>
      </c>
      <c r="W1062" s="15"/>
      <c r="X1062" s="13"/>
      <c r="Y1062" s="20"/>
      <c r="Z1062" s="13"/>
      <c r="AA1062" s="13"/>
      <c r="AB1062" s="13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</row>
    <row r="1063" spans="1:46" ht="45" customHeight="1">
      <c r="A1063" s="12" t="s">
        <v>9462</v>
      </c>
      <c r="B1063" s="13" t="s">
        <v>9463</v>
      </c>
      <c r="C1063" s="66" t="s">
        <v>9464</v>
      </c>
      <c r="D1063" s="15" t="s">
        <v>4628</v>
      </c>
      <c r="E1063" s="15"/>
      <c r="F1063" s="15"/>
      <c r="G1063" s="15" t="s">
        <v>9458</v>
      </c>
      <c r="H1063" s="15" t="s">
        <v>52</v>
      </c>
      <c r="I1063" s="15" t="s">
        <v>53</v>
      </c>
      <c r="J1063" s="15" t="s">
        <v>9465</v>
      </c>
      <c r="K1063" s="15"/>
      <c r="L1063" s="15" t="s">
        <v>2691</v>
      </c>
      <c r="M1063" s="201" t="s">
        <v>9460</v>
      </c>
      <c r="N1063" s="13"/>
      <c r="O1063" s="13"/>
      <c r="P1063" s="15" t="s">
        <v>8377</v>
      </c>
      <c r="Q1063" s="17" t="s">
        <v>9466</v>
      </c>
      <c r="R1063" s="18" t="s">
        <v>5746</v>
      </c>
      <c r="S1063" s="19" t="e">
        <f t="shared" si="5"/>
        <v>#VALUE!</v>
      </c>
      <c r="T1063" s="12" t="s">
        <v>5746</v>
      </c>
      <c r="U1063" s="15"/>
      <c r="V1063" s="19">
        <v>14870</v>
      </c>
      <c r="W1063" s="15"/>
      <c r="X1063" s="13"/>
      <c r="Y1063" s="20"/>
      <c r="Z1063" s="13"/>
      <c r="AA1063" s="13"/>
      <c r="AB1063" s="13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</row>
    <row r="1064" spans="1:46" ht="45" customHeight="1">
      <c r="A1064" s="12" t="s">
        <v>9467</v>
      </c>
      <c r="B1064" s="13" t="s">
        <v>9468</v>
      </c>
      <c r="C1064" s="66" t="s">
        <v>9469</v>
      </c>
      <c r="D1064" s="15" t="s">
        <v>4628</v>
      </c>
      <c r="E1064" s="15"/>
      <c r="F1064" s="15"/>
      <c r="G1064" s="15" t="s">
        <v>9458</v>
      </c>
      <c r="H1064" s="15" t="s">
        <v>52</v>
      </c>
      <c r="I1064" s="15" t="s">
        <v>53</v>
      </c>
      <c r="J1064" s="15" t="s">
        <v>9470</v>
      </c>
      <c r="K1064" s="15"/>
      <c r="L1064" s="15" t="s">
        <v>6104</v>
      </c>
      <c r="M1064" s="201" t="s">
        <v>9460</v>
      </c>
      <c r="N1064" s="13"/>
      <c r="O1064" s="13"/>
      <c r="P1064" s="15" t="s">
        <v>8607</v>
      </c>
      <c r="Q1064" s="17" t="s">
        <v>9471</v>
      </c>
      <c r="R1064" s="18" t="s">
        <v>5746</v>
      </c>
      <c r="S1064" s="19" t="e">
        <f t="shared" si="5"/>
        <v>#VALUE!</v>
      </c>
      <c r="T1064" s="12" t="s">
        <v>5746</v>
      </c>
      <c r="U1064" s="15"/>
      <c r="V1064" s="19">
        <v>6300</v>
      </c>
      <c r="W1064" s="15"/>
      <c r="X1064" s="13"/>
      <c r="Y1064" s="20"/>
      <c r="Z1064" s="13"/>
      <c r="AA1064" s="13"/>
      <c r="AB1064" s="13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</row>
    <row r="1065" spans="1:46" ht="45" customHeight="1">
      <c r="A1065" s="12" t="s">
        <v>9472</v>
      </c>
      <c r="B1065" s="13" t="s">
        <v>9473</v>
      </c>
      <c r="C1065" s="66" t="s">
        <v>9474</v>
      </c>
      <c r="D1065" s="15" t="s">
        <v>4628</v>
      </c>
      <c r="E1065" s="15"/>
      <c r="F1065" s="15"/>
      <c r="G1065" s="15" t="s">
        <v>9458</v>
      </c>
      <c r="H1065" s="15" t="s">
        <v>52</v>
      </c>
      <c r="I1065" s="15" t="s">
        <v>53</v>
      </c>
      <c r="J1065" s="15" t="s">
        <v>9475</v>
      </c>
      <c r="K1065" s="15"/>
      <c r="L1065" s="15" t="s">
        <v>6104</v>
      </c>
      <c r="M1065" s="201" t="s">
        <v>9460</v>
      </c>
      <c r="N1065" s="13"/>
      <c r="O1065" s="13"/>
      <c r="P1065" s="15" t="s">
        <v>8377</v>
      </c>
      <c r="Q1065" s="17" t="s">
        <v>9476</v>
      </c>
      <c r="R1065" s="18" t="s">
        <v>5746</v>
      </c>
      <c r="S1065" s="19" t="e">
        <f t="shared" si="5"/>
        <v>#VALUE!</v>
      </c>
      <c r="T1065" s="12" t="s">
        <v>5746</v>
      </c>
      <c r="U1065" s="15"/>
      <c r="V1065" s="19">
        <v>6300</v>
      </c>
      <c r="W1065" s="15"/>
      <c r="X1065" s="13"/>
      <c r="Y1065" s="20"/>
      <c r="Z1065" s="13"/>
      <c r="AA1065" s="13"/>
      <c r="AB1065" s="13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</row>
    <row r="1066" spans="1:46" ht="45" customHeight="1">
      <c r="A1066" s="12" t="s">
        <v>9477</v>
      </c>
      <c r="B1066" s="13" t="s">
        <v>9478</v>
      </c>
      <c r="C1066" s="14" t="s">
        <v>9479</v>
      </c>
      <c r="D1066" s="15" t="s">
        <v>9480</v>
      </c>
      <c r="E1066" s="15"/>
      <c r="F1066" s="15"/>
      <c r="G1066" s="15" t="s">
        <v>9481</v>
      </c>
      <c r="H1066" s="15" t="s">
        <v>9482</v>
      </c>
      <c r="I1066" s="15" t="s">
        <v>80</v>
      </c>
      <c r="J1066" s="15" t="s">
        <v>9481</v>
      </c>
      <c r="K1066" s="15" t="s">
        <v>9482</v>
      </c>
      <c r="L1066" s="15" t="s">
        <v>80</v>
      </c>
      <c r="M1066" s="199" t="s">
        <v>9483</v>
      </c>
      <c r="N1066" s="13" t="s">
        <v>9484</v>
      </c>
      <c r="O1066" s="13"/>
      <c r="P1066" s="15" t="s">
        <v>8377</v>
      </c>
      <c r="Q1066" s="17" t="s">
        <v>9485</v>
      </c>
      <c r="R1066" s="18">
        <v>34</v>
      </c>
      <c r="S1066" s="19">
        <f t="shared" si="5"/>
        <v>5508</v>
      </c>
      <c r="T1066" s="12" t="s">
        <v>46</v>
      </c>
      <c r="U1066" s="15"/>
      <c r="V1066" s="19">
        <v>44610</v>
      </c>
      <c r="W1066" s="15" t="s">
        <v>47</v>
      </c>
      <c r="X1066" s="13"/>
      <c r="Y1066" s="20"/>
      <c r="Z1066" s="13"/>
      <c r="AA1066" s="13">
        <v>4738581</v>
      </c>
      <c r="AB1066" s="13"/>
      <c r="AC1066" s="15">
        <v>5547389</v>
      </c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</row>
    <row r="1067" spans="1:46" ht="45" customHeight="1">
      <c r="A1067" s="50" t="s">
        <v>9486</v>
      </c>
      <c r="B1067" s="51" t="s">
        <v>9487</v>
      </c>
      <c r="C1067" s="52" t="s">
        <v>9488</v>
      </c>
      <c r="D1067" s="53" t="s">
        <v>9489</v>
      </c>
      <c r="E1067" s="53"/>
      <c r="F1067" s="53"/>
      <c r="G1067" s="53" t="s">
        <v>9490</v>
      </c>
      <c r="H1067" s="53"/>
      <c r="I1067" s="53" t="s">
        <v>41</v>
      </c>
      <c r="J1067" s="53" t="s">
        <v>9490</v>
      </c>
      <c r="K1067" s="53"/>
      <c r="L1067" s="53" t="s">
        <v>41</v>
      </c>
      <c r="M1067" s="202" t="s">
        <v>9491</v>
      </c>
      <c r="N1067" s="51">
        <v>2604602310</v>
      </c>
      <c r="O1067" s="51"/>
      <c r="P1067" s="53" t="s">
        <v>8574</v>
      </c>
      <c r="Q1067" s="55" t="s">
        <v>9492</v>
      </c>
      <c r="R1067" s="56" t="s">
        <v>5746</v>
      </c>
      <c r="S1067" s="57" t="e">
        <f t="shared" si="5"/>
        <v>#VALUE!</v>
      </c>
      <c r="T1067" s="50" t="s">
        <v>5746</v>
      </c>
      <c r="U1067" s="53"/>
      <c r="V1067" s="57">
        <v>6300</v>
      </c>
      <c r="W1067" s="53"/>
      <c r="X1067" s="51"/>
      <c r="Y1067" s="58"/>
      <c r="Z1067" s="51"/>
      <c r="AA1067" s="51"/>
      <c r="AB1067" s="51"/>
      <c r="AC1067" s="53"/>
      <c r="AD1067" s="53"/>
      <c r="AE1067" s="53"/>
      <c r="AF1067" s="53"/>
      <c r="AG1067" s="53"/>
      <c r="AH1067" s="53"/>
      <c r="AI1067" s="53"/>
      <c r="AJ1067" s="53"/>
      <c r="AK1067" s="53"/>
      <c r="AL1067" s="53"/>
      <c r="AM1067" s="53"/>
      <c r="AN1067" s="53"/>
      <c r="AO1067" s="53"/>
      <c r="AP1067" s="53"/>
      <c r="AQ1067" s="53"/>
      <c r="AR1067" s="53"/>
      <c r="AS1067" s="53"/>
      <c r="AT1067" s="53"/>
    </row>
    <row r="1068" spans="1:46" ht="45" customHeight="1">
      <c r="A1068" s="12" t="s">
        <v>9493</v>
      </c>
      <c r="B1068" s="13" t="s">
        <v>9494</v>
      </c>
      <c r="C1068" s="14" t="s">
        <v>9495</v>
      </c>
      <c r="D1068" s="15" t="s">
        <v>9496</v>
      </c>
      <c r="E1068" s="15"/>
      <c r="F1068" s="15"/>
      <c r="G1068" s="15" t="s">
        <v>9497</v>
      </c>
      <c r="H1068" s="15" t="s">
        <v>9498</v>
      </c>
      <c r="I1068" s="15" t="s">
        <v>6104</v>
      </c>
      <c r="J1068" s="15" t="s">
        <v>9497</v>
      </c>
      <c r="K1068" s="15" t="s">
        <v>9498</v>
      </c>
      <c r="L1068" s="15" t="s">
        <v>6104</v>
      </c>
      <c r="M1068" s="16" t="s">
        <v>9499</v>
      </c>
      <c r="N1068" s="13">
        <v>2622357042</v>
      </c>
      <c r="O1068" s="13"/>
      <c r="P1068" s="15" t="s">
        <v>8377</v>
      </c>
      <c r="Q1068" s="17" t="s">
        <v>9500</v>
      </c>
      <c r="R1068" s="18">
        <v>81</v>
      </c>
      <c r="S1068" s="19">
        <f t="shared" si="5"/>
        <v>13122</v>
      </c>
      <c r="T1068" s="12" t="s">
        <v>46</v>
      </c>
      <c r="U1068" s="15"/>
      <c r="V1068" s="19">
        <v>44610</v>
      </c>
      <c r="W1068" s="15" t="s">
        <v>71</v>
      </c>
      <c r="X1068" s="13"/>
      <c r="Y1068" s="20"/>
      <c r="Z1068" s="13"/>
      <c r="AA1068" s="13">
        <v>4721210</v>
      </c>
      <c r="AB1068" s="13"/>
      <c r="AC1068" s="15">
        <v>5596665</v>
      </c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</row>
    <row r="1069" spans="1:46" ht="45" customHeight="1">
      <c r="A1069" s="12" t="s">
        <v>9501</v>
      </c>
      <c r="B1069" s="13" t="s">
        <v>9502</v>
      </c>
      <c r="C1069" s="14" t="s">
        <v>9503</v>
      </c>
      <c r="D1069" s="15" t="s">
        <v>9504</v>
      </c>
      <c r="E1069" s="15"/>
      <c r="F1069" s="15"/>
      <c r="G1069" s="15" t="s">
        <v>9505</v>
      </c>
      <c r="H1069" s="15"/>
      <c r="I1069" s="15" t="s">
        <v>38</v>
      </c>
      <c r="J1069" s="15" t="s">
        <v>9505</v>
      </c>
      <c r="K1069" s="15"/>
      <c r="L1069" s="15" t="s">
        <v>38</v>
      </c>
      <c r="M1069" s="16" t="s">
        <v>995</v>
      </c>
      <c r="N1069" s="13"/>
      <c r="O1069" s="13"/>
      <c r="P1069" s="15" t="s">
        <v>8377</v>
      </c>
      <c r="Q1069" s="17" t="s">
        <v>9506</v>
      </c>
      <c r="R1069" s="18">
        <v>150</v>
      </c>
      <c r="S1069" s="19">
        <f t="shared" si="5"/>
        <v>24300</v>
      </c>
      <c r="T1069" s="12" t="s">
        <v>46</v>
      </c>
      <c r="U1069" s="15"/>
      <c r="V1069" s="19">
        <v>44610</v>
      </c>
      <c r="W1069" s="15" t="s">
        <v>71</v>
      </c>
      <c r="X1069" s="13"/>
      <c r="Y1069" s="20"/>
      <c r="Z1069" s="13"/>
      <c r="AA1069" s="13"/>
      <c r="AB1069" s="13">
        <v>4906361</v>
      </c>
      <c r="AC1069" s="15">
        <v>5620247</v>
      </c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</row>
    <row r="1070" spans="1:46" ht="45" customHeight="1">
      <c r="A1070" s="12" t="s">
        <v>9507</v>
      </c>
      <c r="B1070" s="13" t="s">
        <v>9508</v>
      </c>
      <c r="C1070" s="66" t="s">
        <v>9509</v>
      </c>
      <c r="D1070" s="15" t="s">
        <v>9510</v>
      </c>
      <c r="E1070" s="15" t="s">
        <v>3315</v>
      </c>
      <c r="F1070" s="15" t="s">
        <v>3315</v>
      </c>
      <c r="G1070" s="15" t="s">
        <v>9511</v>
      </c>
      <c r="H1070" s="15" t="s">
        <v>9293</v>
      </c>
      <c r="I1070" s="15" t="s">
        <v>65</v>
      </c>
      <c r="J1070" s="15" t="s">
        <v>9511</v>
      </c>
      <c r="K1070" s="15" t="s">
        <v>9293</v>
      </c>
      <c r="L1070" s="15" t="s">
        <v>65</v>
      </c>
      <c r="M1070" s="16" t="s">
        <v>9512</v>
      </c>
      <c r="N1070" s="13"/>
      <c r="O1070" s="13"/>
      <c r="P1070" s="15" t="s">
        <v>8377</v>
      </c>
      <c r="Q1070" s="17" t="s">
        <v>9513</v>
      </c>
      <c r="R1070" s="75"/>
      <c r="S1070" s="19">
        <f t="shared" si="5"/>
        <v>0</v>
      </c>
      <c r="T1070" s="89" t="s">
        <v>5746</v>
      </c>
      <c r="U1070" s="15"/>
      <c r="V1070" s="203"/>
      <c r="W1070" s="15"/>
      <c r="X1070" s="13"/>
      <c r="Y1070" s="20"/>
      <c r="Z1070" s="13"/>
      <c r="AA1070" s="47"/>
      <c r="AB1070" s="13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</row>
    <row r="1071" spans="1:46" ht="45" customHeight="1">
      <c r="A1071" s="12" t="s">
        <v>9514</v>
      </c>
      <c r="B1071" s="13" t="s">
        <v>9515</v>
      </c>
      <c r="C1071" s="14" t="s">
        <v>9516</v>
      </c>
      <c r="D1071" s="15" t="s">
        <v>9517</v>
      </c>
      <c r="E1071" s="15" t="s">
        <v>3315</v>
      </c>
      <c r="F1071" s="15" t="s">
        <v>3315</v>
      </c>
      <c r="G1071" s="15" t="s">
        <v>9518</v>
      </c>
      <c r="H1071" s="15"/>
      <c r="I1071" s="15" t="s">
        <v>332</v>
      </c>
      <c r="J1071" s="15" t="s">
        <v>9518</v>
      </c>
      <c r="K1071" s="15"/>
      <c r="L1071" s="15" t="s">
        <v>332</v>
      </c>
      <c r="M1071" s="200" t="s">
        <v>9519</v>
      </c>
      <c r="N1071" s="13">
        <v>2616508600</v>
      </c>
      <c r="O1071" s="13"/>
      <c r="P1071" s="15" t="s">
        <v>94</v>
      </c>
      <c r="Q1071" s="17" t="s">
        <v>9520</v>
      </c>
      <c r="R1071" s="18">
        <v>43</v>
      </c>
      <c r="S1071" s="19">
        <f t="shared" si="5"/>
        <v>6966</v>
      </c>
      <c r="T1071" s="12" t="s">
        <v>46</v>
      </c>
      <c r="U1071" s="15"/>
      <c r="V1071" s="19">
        <v>44610</v>
      </c>
      <c r="W1071" s="15" t="s">
        <v>47</v>
      </c>
      <c r="X1071" s="13"/>
      <c r="Y1071" s="20"/>
      <c r="Z1071" s="13">
        <v>3866918</v>
      </c>
      <c r="AA1071" s="13">
        <v>4738602</v>
      </c>
      <c r="AB1071" s="13"/>
      <c r="AC1071" s="15">
        <v>5547694</v>
      </c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</row>
    <row r="1072" spans="1:46" ht="45" customHeight="1">
      <c r="A1072" s="12" t="s">
        <v>9521</v>
      </c>
      <c r="B1072" s="13" t="s">
        <v>9522</v>
      </c>
      <c r="C1072" s="14" t="s">
        <v>9523</v>
      </c>
      <c r="D1072" s="15" t="s">
        <v>9524</v>
      </c>
      <c r="E1072" s="15" t="s">
        <v>9525</v>
      </c>
      <c r="F1072" s="15"/>
      <c r="G1072" s="15" t="s">
        <v>9526</v>
      </c>
      <c r="H1072" s="15" t="s">
        <v>4398</v>
      </c>
      <c r="I1072" s="15" t="s">
        <v>80</v>
      </c>
      <c r="J1072" s="15" t="s">
        <v>9526</v>
      </c>
      <c r="K1072" s="15" t="s">
        <v>4398</v>
      </c>
      <c r="L1072" s="15" t="s">
        <v>80</v>
      </c>
      <c r="M1072" s="145" t="s">
        <v>9527</v>
      </c>
      <c r="N1072" s="13" t="s">
        <v>9528</v>
      </c>
      <c r="O1072" s="13"/>
      <c r="P1072" s="15" t="s">
        <v>8574</v>
      </c>
      <c r="Q1072" s="17" t="s">
        <v>9529</v>
      </c>
      <c r="R1072" s="18">
        <v>101</v>
      </c>
      <c r="S1072" s="19">
        <f t="shared" si="5"/>
        <v>16362</v>
      </c>
      <c r="T1072" s="12" t="s">
        <v>46</v>
      </c>
      <c r="U1072" s="15"/>
      <c r="V1072" s="19">
        <v>44610</v>
      </c>
      <c r="W1072" s="15"/>
      <c r="X1072" s="13">
        <v>2932457</v>
      </c>
      <c r="Y1072" s="20"/>
      <c r="Z1072" s="13"/>
      <c r="AA1072" s="13">
        <v>4735270</v>
      </c>
      <c r="AB1072" s="13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</row>
    <row r="1073" spans="1:46" ht="45" customHeight="1">
      <c r="A1073" s="12" t="s">
        <v>9530</v>
      </c>
      <c r="B1073" s="13" t="s">
        <v>9531</v>
      </c>
      <c r="C1073" s="14" t="s">
        <v>9532</v>
      </c>
      <c r="D1073" s="15" t="s">
        <v>9533</v>
      </c>
      <c r="E1073" s="15" t="s">
        <v>8942</v>
      </c>
      <c r="F1073" s="15" t="s">
        <v>8942</v>
      </c>
      <c r="G1073" s="15" t="s">
        <v>9534</v>
      </c>
      <c r="H1073" s="15" t="s">
        <v>6345</v>
      </c>
      <c r="I1073" s="15" t="s">
        <v>149</v>
      </c>
      <c r="J1073" s="15" t="s">
        <v>9534</v>
      </c>
      <c r="K1073" s="15" t="s">
        <v>6345</v>
      </c>
      <c r="L1073" s="15" t="s">
        <v>149</v>
      </c>
      <c r="M1073" s="199" t="s">
        <v>9535</v>
      </c>
      <c r="N1073" s="13" t="s">
        <v>9536</v>
      </c>
      <c r="O1073" s="13"/>
      <c r="P1073" s="15" t="s">
        <v>8377</v>
      </c>
      <c r="Q1073" s="17" t="s">
        <v>9537</v>
      </c>
      <c r="R1073" s="18">
        <v>222</v>
      </c>
      <c r="S1073" s="19">
        <f t="shared" si="5"/>
        <v>35964</v>
      </c>
      <c r="T1073" s="12" t="s">
        <v>46</v>
      </c>
      <c r="U1073" s="15"/>
      <c r="V1073" s="19">
        <v>44610</v>
      </c>
      <c r="W1073" s="15" t="s">
        <v>71</v>
      </c>
      <c r="X1073" s="13">
        <v>2947051</v>
      </c>
      <c r="Y1073" s="20"/>
      <c r="Z1073" s="13"/>
      <c r="AA1073" s="13">
        <v>4745104</v>
      </c>
      <c r="AB1073" s="13"/>
      <c r="AC1073" s="15">
        <v>5606466</v>
      </c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</row>
    <row r="1074" spans="1:46" ht="45" customHeight="1">
      <c r="A1074" s="12" t="s">
        <v>9538</v>
      </c>
      <c r="B1074" s="13" t="s">
        <v>9539</v>
      </c>
      <c r="C1074" s="14" t="s">
        <v>9540</v>
      </c>
      <c r="D1074" s="15" t="s">
        <v>9541</v>
      </c>
      <c r="E1074" s="15" t="s">
        <v>9542</v>
      </c>
      <c r="F1074" s="15" t="s">
        <v>9542</v>
      </c>
      <c r="G1074" s="15" t="s">
        <v>9543</v>
      </c>
      <c r="H1074" s="15" t="s">
        <v>2652</v>
      </c>
      <c r="I1074" s="15" t="s">
        <v>53</v>
      </c>
      <c r="J1074" s="15" t="s">
        <v>9543</v>
      </c>
      <c r="K1074" s="15" t="s">
        <v>2652</v>
      </c>
      <c r="L1074" s="15" t="s">
        <v>53</v>
      </c>
      <c r="M1074" s="74" t="s">
        <v>9544</v>
      </c>
      <c r="N1074" s="13" t="s">
        <v>9545</v>
      </c>
      <c r="O1074" s="13"/>
      <c r="P1074" s="15" t="s">
        <v>8377</v>
      </c>
      <c r="Q1074" s="17" t="s">
        <v>9546</v>
      </c>
      <c r="R1074" s="18">
        <v>94</v>
      </c>
      <c r="S1074" s="19">
        <f t="shared" si="5"/>
        <v>15228</v>
      </c>
      <c r="T1074" s="12" t="s">
        <v>46</v>
      </c>
      <c r="U1074" s="15"/>
      <c r="V1074" s="19">
        <v>44610</v>
      </c>
      <c r="W1074" s="15" t="s">
        <v>71</v>
      </c>
      <c r="X1074" s="13"/>
      <c r="Y1074" s="20"/>
      <c r="Z1074" s="13">
        <v>3870383</v>
      </c>
      <c r="AA1074" s="13">
        <v>4721178</v>
      </c>
      <c r="AB1074" s="13"/>
      <c r="AC1074" s="15">
        <v>5576386</v>
      </c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</row>
    <row r="1075" spans="1:46" ht="45" customHeight="1">
      <c r="A1075" s="12" t="s">
        <v>9547</v>
      </c>
      <c r="B1075" s="13" t="s">
        <v>9548</v>
      </c>
      <c r="C1075" s="66" t="s">
        <v>9549</v>
      </c>
      <c r="D1075" s="15" t="s">
        <v>9550</v>
      </c>
      <c r="E1075" s="15" t="s">
        <v>3315</v>
      </c>
      <c r="F1075" s="15" t="s">
        <v>3315</v>
      </c>
      <c r="G1075" s="15" t="s">
        <v>9551</v>
      </c>
      <c r="H1075" s="15" t="s">
        <v>9552</v>
      </c>
      <c r="I1075" s="15" t="s">
        <v>6584</v>
      </c>
      <c r="J1075" s="15" t="s">
        <v>9551</v>
      </c>
      <c r="K1075" s="15" t="s">
        <v>9552</v>
      </c>
      <c r="L1075" s="15" t="s">
        <v>6584</v>
      </c>
      <c r="M1075" s="200" t="s">
        <v>9553</v>
      </c>
      <c r="N1075" s="13">
        <v>2634653688</v>
      </c>
      <c r="O1075" s="13"/>
      <c r="P1075" s="15" t="s">
        <v>8377</v>
      </c>
      <c r="Q1075" s="17" t="s">
        <v>9554</v>
      </c>
      <c r="R1075" s="18" t="s">
        <v>5746</v>
      </c>
      <c r="S1075" s="19" t="e">
        <f t="shared" si="5"/>
        <v>#VALUE!</v>
      </c>
      <c r="T1075" s="12" t="s">
        <v>5746</v>
      </c>
      <c r="U1075" s="15"/>
      <c r="V1075" s="19">
        <v>6300</v>
      </c>
      <c r="W1075" s="15"/>
      <c r="X1075" s="13"/>
      <c r="Y1075" s="20"/>
      <c r="Z1075" s="13"/>
      <c r="AA1075" s="13"/>
      <c r="AB1075" s="13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</row>
    <row r="1076" spans="1:46" ht="45" customHeight="1">
      <c r="A1076" s="12" t="s">
        <v>9555</v>
      </c>
      <c r="B1076" s="13" t="s">
        <v>9556</v>
      </c>
      <c r="C1076" s="14" t="s">
        <v>9557</v>
      </c>
      <c r="D1076" s="15" t="s">
        <v>9558</v>
      </c>
      <c r="E1076" s="15" t="s">
        <v>9559</v>
      </c>
      <c r="F1076" s="15" t="s">
        <v>9559</v>
      </c>
      <c r="G1076" s="15" t="s">
        <v>9560</v>
      </c>
      <c r="H1076" s="15" t="s">
        <v>9561</v>
      </c>
      <c r="I1076" s="15" t="s">
        <v>65</v>
      </c>
      <c r="J1076" s="15" t="s">
        <v>9560</v>
      </c>
      <c r="K1076" s="15" t="s">
        <v>9561</v>
      </c>
      <c r="L1076" s="15" t="s">
        <v>65</v>
      </c>
      <c r="M1076" s="200" t="s">
        <v>9562</v>
      </c>
      <c r="N1076" s="13">
        <v>4473001</v>
      </c>
      <c r="O1076" s="13"/>
      <c r="P1076" s="15" t="s">
        <v>8377</v>
      </c>
      <c r="Q1076" s="17" t="s">
        <v>9563</v>
      </c>
      <c r="R1076" s="18">
        <v>285</v>
      </c>
      <c r="S1076" s="19">
        <f t="shared" si="5"/>
        <v>46170</v>
      </c>
      <c r="T1076" s="12" t="s">
        <v>46</v>
      </c>
      <c r="U1076" s="15"/>
      <c r="V1076" s="19">
        <v>44610</v>
      </c>
      <c r="W1076" s="15"/>
      <c r="X1076" s="13"/>
      <c r="Y1076" s="20"/>
      <c r="Z1076" s="13">
        <v>3830209</v>
      </c>
      <c r="AA1076" s="13">
        <v>4657748</v>
      </c>
      <c r="AB1076" s="13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</row>
    <row r="1077" spans="1:46" ht="45" customHeight="1">
      <c r="A1077" s="12" t="s">
        <v>9564</v>
      </c>
      <c r="B1077" s="13" t="s">
        <v>9565</v>
      </c>
      <c r="C1077" s="66" t="s">
        <v>9566</v>
      </c>
      <c r="D1077" s="15" t="s">
        <v>9567</v>
      </c>
      <c r="E1077" s="15"/>
      <c r="F1077" s="15"/>
      <c r="G1077" s="15" t="s">
        <v>9568</v>
      </c>
      <c r="H1077" s="15"/>
      <c r="I1077" s="15" t="s">
        <v>6104</v>
      </c>
      <c r="J1077" s="15" t="s">
        <v>9568</v>
      </c>
      <c r="K1077" s="15"/>
      <c r="L1077" s="15" t="s">
        <v>6104</v>
      </c>
      <c r="M1077" s="145" t="s">
        <v>9569</v>
      </c>
      <c r="N1077" s="13">
        <v>26215668309</v>
      </c>
      <c r="O1077" s="13"/>
      <c r="P1077" s="15" t="s">
        <v>8377</v>
      </c>
      <c r="Q1077" s="17" t="s">
        <v>9570</v>
      </c>
      <c r="R1077" s="18" t="s">
        <v>5746</v>
      </c>
      <c r="S1077" s="19" t="e">
        <f t="shared" si="5"/>
        <v>#VALUE!</v>
      </c>
      <c r="T1077" s="12" t="s">
        <v>5746</v>
      </c>
      <c r="U1077" s="15"/>
      <c r="V1077" s="19">
        <v>6300</v>
      </c>
      <c r="W1077" s="15"/>
      <c r="X1077" s="13"/>
      <c r="Y1077" s="20"/>
      <c r="Z1077" s="13"/>
      <c r="AA1077" s="13"/>
      <c r="AB1077" s="13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</row>
    <row r="1078" spans="1:46" ht="45" customHeight="1">
      <c r="A1078" s="12" t="s">
        <v>9571</v>
      </c>
      <c r="B1078" s="13" t="s">
        <v>9572</v>
      </c>
      <c r="C1078" s="66" t="s">
        <v>9573</v>
      </c>
      <c r="D1078" s="15" t="s">
        <v>9574</v>
      </c>
      <c r="E1078" s="15" t="s">
        <v>9575</v>
      </c>
      <c r="F1078" s="15" t="s">
        <v>9575</v>
      </c>
      <c r="G1078" s="15" t="s">
        <v>9576</v>
      </c>
      <c r="H1078" s="15"/>
      <c r="I1078" s="15" t="s">
        <v>149</v>
      </c>
      <c r="J1078" s="15" t="s">
        <v>9576</v>
      </c>
      <c r="K1078" s="15"/>
      <c r="L1078" s="15" t="s">
        <v>149</v>
      </c>
      <c r="M1078" s="200" t="s">
        <v>9577</v>
      </c>
      <c r="N1078" s="13">
        <v>2612403592</v>
      </c>
      <c r="O1078" s="13"/>
      <c r="P1078" s="15" t="s">
        <v>8393</v>
      </c>
      <c r="Q1078" s="17" t="s">
        <v>9578</v>
      </c>
      <c r="R1078" s="18" t="s">
        <v>5746</v>
      </c>
      <c r="S1078" s="19" t="e">
        <f t="shared" si="5"/>
        <v>#VALUE!</v>
      </c>
      <c r="T1078" s="12" t="s">
        <v>5746</v>
      </c>
      <c r="U1078" s="15"/>
      <c r="V1078" s="19">
        <v>6300</v>
      </c>
      <c r="W1078" s="15"/>
      <c r="X1078" s="13"/>
      <c r="Y1078" s="20"/>
      <c r="Z1078" s="13"/>
      <c r="AA1078" s="13"/>
      <c r="AB1078" s="13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</row>
    <row r="1079" spans="1:46" ht="45" customHeight="1">
      <c r="A1079" s="12" t="s">
        <v>9579</v>
      </c>
      <c r="B1079" s="13" t="s">
        <v>9580</v>
      </c>
      <c r="C1079" s="14" t="s">
        <v>9581</v>
      </c>
      <c r="D1079" s="15" t="s">
        <v>9582</v>
      </c>
      <c r="E1079" s="15" t="s">
        <v>9583</v>
      </c>
      <c r="F1079" s="15" t="s">
        <v>9583</v>
      </c>
      <c r="G1079" s="15" t="s">
        <v>9584</v>
      </c>
      <c r="H1079" s="15" t="s">
        <v>9482</v>
      </c>
      <c r="I1079" s="15" t="s">
        <v>80</v>
      </c>
      <c r="J1079" s="15" t="s">
        <v>9584</v>
      </c>
      <c r="K1079" s="15" t="s">
        <v>9482</v>
      </c>
      <c r="L1079" s="15" t="s">
        <v>80</v>
      </c>
      <c r="M1079" s="200" t="s">
        <v>9585</v>
      </c>
      <c r="N1079" s="13">
        <v>2616397232</v>
      </c>
      <c r="O1079" s="13"/>
      <c r="P1079" s="15" t="s">
        <v>8377</v>
      </c>
      <c r="Q1079" s="17" t="s">
        <v>9586</v>
      </c>
      <c r="R1079" s="18">
        <v>146</v>
      </c>
      <c r="S1079" s="19">
        <f t="shared" si="5"/>
        <v>23652</v>
      </c>
      <c r="T1079" s="12" t="s">
        <v>46</v>
      </c>
      <c r="U1079" s="15"/>
      <c r="V1079" s="19">
        <v>44610</v>
      </c>
      <c r="W1079" s="15"/>
      <c r="X1079" s="13"/>
      <c r="Y1079" s="20"/>
      <c r="Z1079" s="13">
        <v>3908290</v>
      </c>
      <c r="AA1079" s="13"/>
      <c r="AB1079" s="13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</row>
    <row r="1080" spans="1:46" ht="45" customHeight="1">
      <c r="A1080" s="12" t="s">
        <v>9587</v>
      </c>
      <c r="B1080" s="13" t="s">
        <v>9588</v>
      </c>
      <c r="C1080" s="14" t="s">
        <v>9589</v>
      </c>
      <c r="D1080" s="15" t="s">
        <v>9590</v>
      </c>
      <c r="E1080" s="15" t="s">
        <v>9591</v>
      </c>
      <c r="F1080" s="15" t="s">
        <v>9591</v>
      </c>
      <c r="G1080" s="15" t="s">
        <v>9592</v>
      </c>
      <c r="H1080" s="15" t="s">
        <v>52</v>
      </c>
      <c r="I1080" s="15" t="s">
        <v>53</v>
      </c>
      <c r="J1080" s="15" t="s">
        <v>9592</v>
      </c>
      <c r="K1080" s="15" t="s">
        <v>52</v>
      </c>
      <c r="L1080" s="15" t="s">
        <v>53</v>
      </c>
      <c r="M1080" s="145" t="s">
        <v>9593</v>
      </c>
      <c r="N1080" s="13" t="s">
        <v>9594</v>
      </c>
      <c r="O1080" s="13"/>
      <c r="P1080" s="15" t="s">
        <v>8393</v>
      </c>
      <c r="Q1080" s="17" t="s">
        <v>9595</v>
      </c>
      <c r="R1080" s="18">
        <v>287.48</v>
      </c>
      <c r="S1080" s="19">
        <f t="shared" si="5"/>
        <v>46571.76</v>
      </c>
      <c r="T1080" s="12" t="s">
        <v>46</v>
      </c>
      <c r="U1080" s="15"/>
      <c r="V1080" s="19">
        <v>44610</v>
      </c>
      <c r="W1080" s="49" t="s">
        <v>71</v>
      </c>
      <c r="X1080" s="13">
        <v>2992521</v>
      </c>
      <c r="Y1080" s="20"/>
      <c r="Z1080" s="13">
        <v>3790371</v>
      </c>
      <c r="AA1080" s="13">
        <v>4628659</v>
      </c>
      <c r="AB1080" s="13"/>
      <c r="AC1080" s="15">
        <v>5493514</v>
      </c>
      <c r="AD1080" s="49">
        <v>6482506</v>
      </c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</row>
    <row r="1081" spans="1:46" ht="45" customHeight="1">
      <c r="A1081" s="21" t="s">
        <v>9596</v>
      </c>
      <c r="B1081" s="22" t="s">
        <v>9597</v>
      </c>
      <c r="C1081" s="23" t="s">
        <v>9598</v>
      </c>
      <c r="D1081" s="24" t="s">
        <v>9599</v>
      </c>
      <c r="E1081" s="24" t="s">
        <v>8225</v>
      </c>
      <c r="F1081" s="24" t="s">
        <v>8225</v>
      </c>
      <c r="G1081" s="24" t="s">
        <v>9600</v>
      </c>
      <c r="H1081" s="24" t="s">
        <v>9601</v>
      </c>
      <c r="I1081" s="24" t="s">
        <v>6584</v>
      </c>
      <c r="J1081" s="24" t="s">
        <v>9602</v>
      </c>
      <c r="K1081" s="24" t="s">
        <v>9601</v>
      </c>
      <c r="L1081" s="24" t="s">
        <v>6584</v>
      </c>
      <c r="M1081" s="25" t="s">
        <v>9603</v>
      </c>
      <c r="N1081" s="22">
        <v>2634616364</v>
      </c>
      <c r="O1081" s="22"/>
      <c r="P1081" s="24" t="s">
        <v>8393</v>
      </c>
      <c r="Q1081" s="28" t="s">
        <v>9604</v>
      </c>
      <c r="R1081" s="29">
        <v>1096.68</v>
      </c>
      <c r="S1081" s="30">
        <f t="shared" si="5"/>
        <v>177662.16</v>
      </c>
      <c r="T1081" s="21" t="s">
        <v>198</v>
      </c>
      <c r="U1081" s="24"/>
      <c r="V1081" s="30">
        <v>215940</v>
      </c>
      <c r="W1081" s="24" t="s">
        <v>71</v>
      </c>
      <c r="X1081" s="22">
        <v>2989241</v>
      </c>
      <c r="Y1081" s="31"/>
      <c r="Z1081" s="22"/>
      <c r="AA1081" s="22">
        <v>4757960</v>
      </c>
      <c r="AB1081" s="22"/>
      <c r="AC1081" s="24">
        <v>5528170</v>
      </c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</row>
    <row r="1082" spans="1:46" ht="45" customHeight="1">
      <c r="A1082" s="12" t="s">
        <v>9605</v>
      </c>
      <c r="B1082" s="13" t="s">
        <v>9606</v>
      </c>
      <c r="C1082" s="66" t="s">
        <v>9607</v>
      </c>
      <c r="D1082" s="15" t="s">
        <v>9608</v>
      </c>
      <c r="E1082" s="15" t="s">
        <v>1115</v>
      </c>
      <c r="F1082" s="15" t="s">
        <v>1115</v>
      </c>
      <c r="G1082" s="15" t="s">
        <v>9609</v>
      </c>
      <c r="H1082" s="15"/>
      <c r="I1082" s="15" t="s">
        <v>149</v>
      </c>
      <c r="J1082" s="15" t="s">
        <v>9610</v>
      </c>
      <c r="K1082" s="15"/>
      <c r="L1082" s="15" t="s">
        <v>38</v>
      </c>
      <c r="M1082" s="199" t="s">
        <v>9611</v>
      </c>
      <c r="N1082" s="13" t="s">
        <v>9612</v>
      </c>
      <c r="O1082" s="13"/>
      <c r="P1082" s="15" t="s">
        <v>8574</v>
      </c>
      <c r="Q1082" s="17" t="s">
        <v>9613</v>
      </c>
      <c r="R1082" s="18">
        <v>64</v>
      </c>
      <c r="S1082" s="19">
        <f t="shared" si="5"/>
        <v>10368</v>
      </c>
      <c r="T1082" s="12" t="s">
        <v>46</v>
      </c>
      <c r="U1082" s="15"/>
      <c r="V1082" s="19">
        <v>44610</v>
      </c>
      <c r="W1082" s="15" t="s">
        <v>47</v>
      </c>
      <c r="X1082" s="13">
        <v>3010041</v>
      </c>
      <c r="Y1082" s="20"/>
      <c r="Z1082" s="13"/>
      <c r="AA1082" s="13"/>
      <c r="AB1082" s="13"/>
      <c r="AC1082" s="15">
        <v>5618570</v>
      </c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</row>
    <row r="1083" spans="1:46" ht="45" customHeight="1">
      <c r="A1083" s="12" t="s">
        <v>9614</v>
      </c>
      <c r="B1083" s="13" t="s">
        <v>9615</v>
      </c>
      <c r="C1083" s="14" t="s">
        <v>9616</v>
      </c>
      <c r="D1083" s="15" t="s">
        <v>9617</v>
      </c>
      <c r="E1083" s="15" t="s">
        <v>9618</v>
      </c>
      <c r="F1083" s="15" t="s">
        <v>9618</v>
      </c>
      <c r="G1083" s="15" t="s">
        <v>9619</v>
      </c>
      <c r="H1083" s="15" t="s">
        <v>2863</v>
      </c>
      <c r="I1083" s="15" t="s">
        <v>80</v>
      </c>
      <c r="J1083" s="15" t="s">
        <v>9619</v>
      </c>
      <c r="K1083" s="15" t="s">
        <v>2863</v>
      </c>
      <c r="L1083" s="15" t="s">
        <v>80</v>
      </c>
      <c r="M1083" s="16" t="s">
        <v>9620</v>
      </c>
      <c r="N1083" s="13" t="s">
        <v>9621</v>
      </c>
      <c r="O1083" s="13"/>
      <c r="P1083" s="15" t="s">
        <v>8574</v>
      </c>
      <c r="Q1083" s="17" t="s">
        <v>9622</v>
      </c>
      <c r="R1083" s="18">
        <v>166.99</v>
      </c>
      <c r="S1083" s="19">
        <f t="shared" si="5"/>
        <v>27052.38</v>
      </c>
      <c r="T1083" s="12" t="s">
        <v>46</v>
      </c>
      <c r="U1083" s="15"/>
      <c r="V1083" s="19">
        <v>44610</v>
      </c>
      <c r="W1083" s="15"/>
      <c r="X1083" s="13"/>
      <c r="Y1083" s="20">
        <v>663318</v>
      </c>
      <c r="Z1083" s="13"/>
      <c r="AA1083" s="13"/>
      <c r="AB1083" s="13">
        <v>4874105</v>
      </c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</row>
    <row r="1084" spans="1:46" ht="45" customHeight="1">
      <c r="A1084" s="12" t="s">
        <v>9623</v>
      </c>
      <c r="B1084" s="13" t="s">
        <v>9624</v>
      </c>
      <c r="C1084" s="14" t="s">
        <v>9625</v>
      </c>
      <c r="D1084" s="15" t="s">
        <v>9626</v>
      </c>
      <c r="E1084" s="15" t="s">
        <v>9627</v>
      </c>
      <c r="F1084" s="15" t="s">
        <v>9627</v>
      </c>
      <c r="G1084" s="15" t="s">
        <v>9628</v>
      </c>
      <c r="H1084" s="15" t="s">
        <v>52</v>
      </c>
      <c r="I1084" s="15" t="s">
        <v>53</v>
      </c>
      <c r="J1084" s="15" t="s">
        <v>9628</v>
      </c>
      <c r="K1084" s="15" t="s">
        <v>52</v>
      </c>
      <c r="L1084" s="15" t="s">
        <v>53</v>
      </c>
      <c r="M1084" s="200" t="s">
        <v>9629</v>
      </c>
      <c r="N1084" s="13" t="s">
        <v>9630</v>
      </c>
      <c r="O1084" s="13"/>
      <c r="P1084" s="15" t="s">
        <v>8630</v>
      </c>
      <c r="Q1084" s="17" t="s">
        <v>9631</v>
      </c>
      <c r="R1084" s="18">
        <v>179</v>
      </c>
      <c r="S1084" s="19">
        <f t="shared" si="5"/>
        <v>28998</v>
      </c>
      <c r="T1084" s="12" t="s">
        <v>46</v>
      </c>
      <c r="U1084" s="15"/>
      <c r="V1084" s="19">
        <v>44610</v>
      </c>
      <c r="W1084" s="15" t="s">
        <v>71</v>
      </c>
      <c r="X1084" s="13">
        <v>3021660</v>
      </c>
      <c r="Y1084" s="20"/>
      <c r="Z1084" s="13">
        <v>3828057</v>
      </c>
      <c r="AA1084" s="13">
        <v>4621873</v>
      </c>
      <c r="AB1084" s="13"/>
      <c r="AC1084" s="204">
        <v>5511568</v>
      </c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</row>
    <row r="1085" spans="1:46" ht="45" customHeight="1">
      <c r="A1085" s="12" t="s">
        <v>9632</v>
      </c>
      <c r="B1085" s="13" t="s">
        <v>9633</v>
      </c>
      <c r="C1085" s="66" t="s">
        <v>9634</v>
      </c>
      <c r="D1085" s="15" t="s">
        <v>9635</v>
      </c>
      <c r="E1085" s="15" t="s">
        <v>9636</v>
      </c>
      <c r="F1085" s="15" t="s">
        <v>9636</v>
      </c>
      <c r="G1085" s="15" t="s">
        <v>9637</v>
      </c>
      <c r="H1085" s="15" t="s">
        <v>9638</v>
      </c>
      <c r="I1085" s="15" t="s">
        <v>65</v>
      </c>
      <c r="J1085" s="15" t="s">
        <v>9639</v>
      </c>
      <c r="K1085" s="15" t="s">
        <v>2863</v>
      </c>
      <c r="L1085" s="15" t="s">
        <v>80</v>
      </c>
      <c r="M1085" s="199" t="s">
        <v>9640</v>
      </c>
      <c r="N1085" s="13" t="s">
        <v>9641</v>
      </c>
      <c r="O1085" s="13"/>
      <c r="P1085" s="15" t="s">
        <v>9642</v>
      </c>
      <c r="Q1085" s="17" t="s">
        <v>9643</v>
      </c>
      <c r="R1085" s="18">
        <v>258</v>
      </c>
      <c r="S1085" s="19">
        <f t="shared" si="5"/>
        <v>41796</v>
      </c>
      <c r="T1085" s="12" t="s">
        <v>46</v>
      </c>
      <c r="U1085" s="15"/>
      <c r="V1085" s="19">
        <v>44610</v>
      </c>
      <c r="W1085" s="15"/>
      <c r="X1085" s="13">
        <v>3035431</v>
      </c>
      <c r="Y1085" s="20"/>
      <c r="Z1085" s="13"/>
      <c r="AA1085" s="13"/>
      <c r="AB1085" s="13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</row>
    <row r="1086" spans="1:46" ht="45" customHeight="1">
      <c r="A1086" s="21" t="s">
        <v>9644</v>
      </c>
      <c r="B1086" s="22" t="s">
        <v>9645</v>
      </c>
      <c r="C1086" s="23" t="s">
        <v>9646</v>
      </c>
      <c r="D1086" s="24" t="s">
        <v>9647</v>
      </c>
      <c r="E1086" s="24" t="s">
        <v>9648</v>
      </c>
      <c r="F1086" s="24" t="s">
        <v>4113</v>
      </c>
      <c r="G1086" s="15" t="s">
        <v>9649</v>
      </c>
      <c r="H1086" s="24" t="s">
        <v>52</v>
      </c>
      <c r="I1086" s="24" t="s">
        <v>53</v>
      </c>
      <c r="J1086" s="145" t="s">
        <v>9650</v>
      </c>
      <c r="K1086" s="24"/>
      <c r="L1086" s="24" t="s">
        <v>332</v>
      </c>
      <c r="M1086" s="205" t="s">
        <v>9651</v>
      </c>
      <c r="N1086" s="22" t="s">
        <v>9652</v>
      </c>
      <c r="O1086" s="22"/>
      <c r="P1086" s="24" t="s">
        <v>9653</v>
      </c>
      <c r="Q1086" s="28" t="s">
        <v>9654</v>
      </c>
      <c r="R1086" s="29">
        <v>3158</v>
      </c>
      <c r="S1086" s="30">
        <f t="shared" si="5"/>
        <v>511596</v>
      </c>
      <c r="T1086" s="21" t="s">
        <v>129</v>
      </c>
      <c r="U1086" s="24"/>
      <c r="V1086" s="30">
        <v>545160</v>
      </c>
      <c r="W1086" s="24" t="s">
        <v>71</v>
      </c>
      <c r="X1086" s="22">
        <v>3036557</v>
      </c>
      <c r="Y1086" s="31"/>
      <c r="Z1086" s="22"/>
      <c r="AA1086" s="22"/>
      <c r="AB1086" s="22">
        <v>4842105</v>
      </c>
      <c r="AC1086" s="24">
        <v>5591838</v>
      </c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4"/>
    </row>
    <row r="1087" spans="1:46" ht="45" customHeight="1">
      <c r="A1087" s="12" t="s">
        <v>9655</v>
      </c>
      <c r="B1087" s="13" t="s">
        <v>9656</v>
      </c>
      <c r="C1087" s="14" t="s">
        <v>9657</v>
      </c>
      <c r="D1087" s="15" t="s">
        <v>9658</v>
      </c>
      <c r="E1087" s="15" t="s">
        <v>9659</v>
      </c>
      <c r="F1087" s="15" t="s">
        <v>9659</v>
      </c>
      <c r="G1087" s="145" t="s">
        <v>9660</v>
      </c>
      <c r="H1087" s="15" t="s">
        <v>52</v>
      </c>
      <c r="I1087" s="15" t="s">
        <v>53</v>
      </c>
      <c r="J1087" s="145" t="s">
        <v>9661</v>
      </c>
      <c r="K1087" s="15" t="s">
        <v>9662</v>
      </c>
      <c r="L1087" s="15" t="s">
        <v>38</v>
      </c>
      <c r="M1087" s="199" t="s">
        <v>9663</v>
      </c>
      <c r="N1087" s="13" t="s">
        <v>9664</v>
      </c>
      <c r="O1087" s="13"/>
      <c r="P1087" s="15" t="s">
        <v>8574</v>
      </c>
      <c r="Q1087" s="17" t="s">
        <v>9665</v>
      </c>
      <c r="R1087" s="18">
        <v>553.07000000000005</v>
      </c>
      <c r="S1087" s="19">
        <f t="shared" si="5"/>
        <v>89597.340000000011</v>
      </c>
      <c r="T1087" s="12" t="s">
        <v>46</v>
      </c>
      <c r="U1087" s="15"/>
      <c r="V1087" s="19">
        <v>44610</v>
      </c>
      <c r="W1087" s="49" t="s">
        <v>71</v>
      </c>
      <c r="X1087" s="13">
        <v>3041291</v>
      </c>
      <c r="Y1087" s="20"/>
      <c r="Z1087" s="13">
        <v>3907974</v>
      </c>
      <c r="AA1087" s="13">
        <v>4730484</v>
      </c>
      <c r="AB1087" s="13"/>
      <c r="AC1087" s="49">
        <v>5633530</v>
      </c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</row>
    <row r="1088" spans="1:46" ht="45" customHeight="1">
      <c r="A1088" s="12" t="s">
        <v>9666</v>
      </c>
      <c r="B1088" s="13" t="s">
        <v>9667</v>
      </c>
      <c r="C1088" s="66" t="s">
        <v>9668</v>
      </c>
      <c r="D1088" s="15" t="s">
        <v>9669</v>
      </c>
      <c r="E1088" s="15" t="s">
        <v>9670</v>
      </c>
      <c r="F1088" s="15" t="s">
        <v>9670</v>
      </c>
      <c r="G1088" s="15" t="s">
        <v>9671</v>
      </c>
      <c r="H1088" s="15" t="s">
        <v>1181</v>
      </c>
      <c r="I1088" s="15" t="s">
        <v>80</v>
      </c>
      <c r="J1088" s="15" t="s">
        <v>9671</v>
      </c>
      <c r="K1088" s="15" t="s">
        <v>1181</v>
      </c>
      <c r="L1088" s="15" t="s">
        <v>80</v>
      </c>
      <c r="M1088" s="199" t="s">
        <v>9672</v>
      </c>
      <c r="N1088" s="13" t="s">
        <v>9673</v>
      </c>
      <c r="O1088" s="13"/>
      <c r="P1088" s="15" t="s">
        <v>8377</v>
      </c>
      <c r="Q1088" s="17" t="s">
        <v>9674</v>
      </c>
      <c r="R1088" s="18">
        <v>58.53</v>
      </c>
      <c r="S1088" s="19">
        <f t="shared" si="5"/>
        <v>9481.86</v>
      </c>
      <c r="T1088" s="12" t="s">
        <v>46</v>
      </c>
      <c r="U1088" s="15"/>
      <c r="V1088" s="19">
        <v>44610</v>
      </c>
      <c r="W1088" s="15"/>
      <c r="X1088" s="13"/>
      <c r="Y1088" s="20">
        <v>3198095</v>
      </c>
      <c r="Z1088" s="13"/>
      <c r="AA1088" s="13"/>
      <c r="AB1088" s="13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</row>
    <row r="1089" spans="1:46" ht="45" customHeight="1">
      <c r="A1089" s="21" t="s">
        <v>9675</v>
      </c>
      <c r="B1089" s="22" t="s">
        <v>9676</v>
      </c>
      <c r="C1089" s="23" t="s">
        <v>9677</v>
      </c>
      <c r="D1089" s="24" t="s">
        <v>1443</v>
      </c>
      <c r="E1089" s="24" t="s">
        <v>9678</v>
      </c>
      <c r="F1089" s="24" t="s">
        <v>9678</v>
      </c>
      <c r="G1089" s="24" t="s">
        <v>9679</v>
      </c>
      <c r="H1089" s="24" t="s">
        <v>1181</v>
      </c>
      <c r="I1089" s="24" t="s">
        <v>80</v>
      </c>
      <c r="J1089" s="24" t="s">
        <v>9680</v>
      </c>
      <c r="K1089" s="24"/>
      <c r="L1089" s="24" t="s">
        <v>6584</v>
      </c>
      <c r="M1089" s="24" t="s">
        <v>9681</v>
      </c>
      <c r="N1089" s="22" t="s">
        <v>9682</v>
      </c>
      <c r="O1089" s="22"/>
      <c r="P1089" s="24" t="s">
        <v>8393</v>
      </c>
      <c r="Q1089" s="28" t="s">
        <v>9683</v>
      </c>
      <c r="R1089" s="29">
        <v>5468</v>
      </c>
      <c r="S1089" s="30">
        <f t="shared" si="5"/>
        <v>885816</v>
      </c>
      <c r="T1089" s="21" t="s">
        <v>105</v>
      </c>
      <c r="U1089" s="24"/>
      <c r="V1089" s="30">
        <v>736320</v>
      </c>
      <c r="W1089" s="24"/>
      <c r="X1089" s="22">
        <v>3049552</v>
      </c>
      <c r="Y1089" s="31"/>
      <c r="Z1089" s="22">
        <v>3905441</v>
      </c>
      <c r="AA1089" s="22"/>
      <c r="AB1089" s="22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</row>
    <row r="1090" spans="1:46" ht="45" customHeight="1">
      <c r="A1090" s="21" t="s">
        <v>9684</v>
      </c>
      <c r="B1090" s="22" t="s">
        <v>9685</v>
      </c>
      <c r="C1090" s="23" t="s">
        <v>9686</v>
      </c>
      <c r="D1090" s="24" t="s">
        <v>4238</v>
      </c>
      <c r="E1090" s="24" t="s">
        <v>9687</v>
      </c>
      <c r="F1090" s="24" t="s">
        <v>9687</v>
      </c>
      <c r="G1090" s="24" t="s">
        <v>9688</v>
      </c>
      <c r="H1090" s="24" t="s">
        <v>9689</v>
      </c>
      <c r="I1090" s="24" t="s">
        <v>80</v>
      </c>
      <c r="J1090" s="24" t="s">
        <v>9688</v>
      </c>
      <c r="K1090" s="24" t="s">
        <v>9689</v>
      </c>
      <c r="L1090" s="24" t="s">
        <v>80</v>
      </c>
      <c r="M1090" s="206" t="s">
        <v>9690</v>
      </c>
      <c r="N1090" s="22" t="s">
        <v>9691</v>
      </c>
      <c r="O1090" s="22"/>
      <c r="P1090" s="24" t="s">
        <v>8393</v>
      </c>
      <c r="Q1090" s="28" t="s">
        <v>9692</v>
      </c>
      <c r="R1090" s="29">
        <v>952.56</v>
      </c>
      <c r="S1090" s="30">
        <f t="shared" si="5"/>
        <v>154314.72</v>
      </c>
      <c r="T1090" s="21" t="s">
        <v>252</v>
      </c>
      <c r="U1090" s="24"/>
      <c r="V1090" s="30">
        <v>123900</v>
      </c>
      <c r="W1090" s="45" t="s">
        <v>71</v>
      </c>
      <c r="X1090" s="22"/>
      <c r="Y1090" s="31">
        <v>3060853</v>
      </c>
      <c r="Z1090" s="22"/>
      <c r="AA1090" s="22">
        <v>4753400</v>
      </c>
      <c r="AB1090" s="22"/>
      <c r="AC1090" s="45">
        <v>5621626</v>
      </c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4"/>
    </row>
    <row r="1091" spans="1:46" ht="45" customHeight="1">
      <c r="A1091" s="12" t="s">
        <v>9693</v>
      </c>
      <c r="B1091" s="13" t="s">
        <v>9694</v>
      </c>
      <c r="C1091" s="14" t="s">
        <v>9695</v>
      </c>
      <c r="D1091" s="15" t="s">
        <v>9696</v>
      </c>
      <c r="E1091" s="15" t="s">
        <v>9697</v>
      </c>
      <c r="F1091" s="15" t="s">
        <v>9697</v>
      </c>
      <c r="G1091" s="15" t="s">
        <v>9698</v>
      </c>
      <c r="H1091" s="15" t="s">
        <v>8800</v>
      </c>
      <c r="I1091" s="15" t="s">
        <v>38</v>
      </c>
      <c r="J1091" s="15" t="s">
        <v>9699</v>
      </c>
      <c r="K1091" s="15"/>
      <c r="L1091" s="15" t="s">
        <v>38</v>
      </c>
      <c r="M1091" s="199" t="s">
        <v>9700</v>
      </c>
      <c r="N1091" s="94" t="s">
        <v>9701</v>
      </c>
      <c r="O1091" s="13"/>
      <c r="P1091" s="15" t="s">
        <v>8607</v>
      </c>
      <c r="Q1091" s="17" t="s">
        <v>9702</v>
      </c>
      <c r="R1091" s="18">
        <v>124</v>
      </c>
      <c r="S1091" s="19">
        <f t="shared" si="5"/>
        <v>20088</v>
      </c>
      <c r="T1091" s="12" t="s">
        <v>46</v>
      </c>
      <c r="U1091" s="15"/>
      <c r="V1091" s="19">
        <v>44610</v>
      </c>
      <c r="W1091" s="15"/>
      <c r="X1091" s="13"/>
      <c r="Y1091" s="20">
        <v>3050241</v>
      </c>
      <c r="Z1091" s="13">
        <v>3903853</v>
      </c>
      <c r="AA1091" s="13">
        <v>4758193</v>
      </c>
      <c r="AB1091" s="13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</row>
    <row r="1092" spans="1:46" ht="45" customHeight="1">
      <c r="A1092" s="12" t="s">
        <v>9703</v>
      </c>
      <c r="B1092" s="13" t="s">
        <v>9704</v>
      </c>
      <c r="C1092" s="14" t="s">
        <v>9705</v>
      </c>
      <c r="D1092" s="15" t="s">
        <v>9706</v>
      </c>
      <c r="E1092" s="15"/>
      <c r="F1092" s="15"/>
      <c r="G1092" s="15" t="s">
        <v>9707</v>
      </c>
      <c r="H1092" s="15" t="s">
        <v>630</v>
      </c>
      <c r="I1092" s="15" t="s">
        <v>80</v>
      </c>
      <c r="J1092" s="15" t="s">
        <v>9707</v>
      </c>
      <c r="K1092" s="15" t="s">
        <v>630</v>
      </c>
      <c r="L1092" s="15" t="s">
        <v>80</v>
      </c>
      <c r="M1092" s="16" t="s">
        <v>9708</v>
      </c>
      <c r="N1092" s="13" t="s">
        <v>9709</v>
      </c>
      <c r="O1092" s="13"/>
      <c r="P1092" s="15" t="s">
        <v>117</v>
      </c>
      <c r="Q1092" s="17" t="s">
        <v>9710</v>
      </c>
      <c r="R1092" s="18">
        <v>473</v>
      </c>
      <c r="S1092" s="19">
        <f t="shared" si="5"/>
        <v>76626</v>
      </c>
      <c r="T1092" s="12" t="s">
        <v>46</v>
      </c>
      <c r="U1092" s="15"/>
      <c r="V1092" s="19">
        <v>44610</v>
      </c>
      <c r="W1092" s="15" t="s">
        <v>71</v>
      </c>
      <c r="X1092" s="13"/>
      <c r="Y1092" s="20"/>
      <c r="Z1092" s="13">
        <v>3905313</v>
      </c>
      <c r="AA1092" s="13">
        <v>4753604</v>
      </c>
      <c r="AB1092" s="13"/>
      <c r="AC1092" s="15">
        <v>5600008</v>
      </c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</row>
    <row r="1093" spans="1:46" ht="45" customHeight="1">
      <c r="A1093" s="21" t="s">
        <v>9711</v>
      </c>
      <c r="B1093" s="22" t="s">
        <v>9712</v>
      </c>
      <c r="C1093" s="23" t="s">
        <v>9713</v>
      </c>
      <c r="D1093" s="24" t="s">
        <v>9714</v>
      </c>
      <c r="E1093" s="24" t="s">
        <v>9715</v>
      </c>
      <c r="F1093" s="24" t="s">
        <v>9715</v>
      </c>
      <c r="G1093" s="24" t="s">
        <v>9716</v>
      </c>
      <c r="H1093" s="24" t="s">
        <v>9717</v>
      </c>
      <c r="I1093" s="24" t="s">
        <v>80</v>
      </c>
      <c r="J1093" s="24" t="s">
        <v>9718</v>
      </c>
      <c r="K1093" s="24"/>
      <c r="L1093" s="24" t="s">
        <v>80</v>
      </c>
      <c r="M1093" s="205" t="s">
        <v>9719</v>
      </c>
      <c r="N1093" s="22">
        <v>2614995206</v>
      </c>
      <c r="O1093" s="22"/>
      <c r="P1093" s="24" t="s">
        <v>8590</v>
      </c>
      <c r="Q1093" s="28" t="s">
        <v>9720</v>
      </c>
      <c r="R1093" s="29">
        <v>1330</v>
      </c>
      <c r="S1093" s="30">
        <f t="shared" si="5"/>
        <v>215460</v>
      </c>
      <c r="T1093" s="21" t="s">
        <v>198</v>
      </c>
      <c r="U1093" s="24"/>
      <c r="V1093" s="30">
        <v>215940</v>
      </c>
      <c r="W1093" s="24" t="s">
        <v>71</v>
      </c>
      <c r="X1093" s="22"/>
      <c r="Y1093" s="31">
        <v>3082897</v>
      </c>
      <c r="Z1093" s="22">
        <v>3868005</v>
      </c>
      <c r="AA1093" s="22">
        <v>4748645</v>
      </c>
      <c r="AB1093" s="22"/>
      <c r="AC1093" s="24">
        <v>5596479</v>
      </c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4"/>
    </row>
    <row r="1094" spans="1:46" ht="45" customHeight="1">
      <c r="A1094" s="12" t="s">
        <v>9721</v>
      </c>
      <c r="B1094" s="13" t="s">
        <v>9722</v>
      </c>
      <c r="C1094" s="14" t="s">
        <v>9723</v>
      </c>
      <c r="D1094" s="15" t="s">
        <v>9724</v>
      </c>
      <c r="E1094" s="15" t="s">
        <v>9725</v>
      </c>
      <c r="F1094" s="15" t="s">
        <v>9725</v>
      </c>
      <c r="G1094" s="15" t="s">
        <v>9726</v>
      </c>
      <c r="H1094" s="15" t="s">
        <v>9223</v>
      </c>
      <c r="I1094" s="15" t="s">
        <v>115</v>
      </c>
      <c r="J1094" s="15" t="s">
        <v>9726</v>
      </c>
      <c r="K1094" s="15" t="s">
        <v>9223</v>
      </c>
      <c r="L1094" s="15" t="s">
        <v>115</v>
      </c>
      <c r="M1094" s="15" t="s">
        <v>9727</v>
      </c>
      <c r="N1094" s="13" t="s">
        <v>9728</v>
      </c>
      <c r="O1094" s="13"/>
      <c r="P1094" s="15" t="s">
        <v>1381</v>
      </c>
      <c r="Q1094" s="17" t="s">
        <v>9729</v>
      </c>
      <c r="R1094" s="18">
        <v>20</v>
      </c>
      <c r="S1094" s="19">
        <f t="shared" si="5"/>
        <v>3240</v>
      </c>
      <c r="T1094" s="12" t="s">
        <v>46</v>
      </c>
      <c r="U1094" s="15"/>
      <c r="V1094" s="19">
        <v>44610</v>
      </c>
      <c r="W1094" s="15" t="s">
        <v>71</v>
      </c>
      <c r="X1094" s="13"/>
      <c r="Y1094" s="20">
        <v>3065917</v>
      </c>
      <c r="Z1094" s="13">
        <v>3827562</v>
      </c>
      <c r="AA1094" s="13">
        <v>4637004</v>
      </c>
      <c r="AB1094" s="13"/>
      <c r="AC1094" s="15">
        <v>5531154</v>
      </c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</row>
    <row r="1095" spans="1:46" ht="45" customHeight="1">
      <c r="A1095" s="12" t="s">
        <v>9730</v>
      </c>
      <c r="B1095" s="13" t="s">
        <v>9731</v>
      </c>
      <c r="C1095" s="14" t="s">
        <v>9732</v>
      </c>
      <c r="D1095" s="15" t="s">
        <v>9733</v>
      </c>
      <c r="E1095" s="15" t="s">
        <v>9734</v>
      </c>
      <c r="F1095" s="15" t="s">
        <v>9734</v>
      </c>
      <c r="G1095" s="145" t="s">
        <v>9735</v>
      </c>
      <c r="H1095" s="15" t="s">
        <v>216</v>
      </c>
      <c r="I1095" s="15" t="s">
        <v>149</v>
      </c>
      <c r="J1095" s="145" t="s">
        <v>9735</v>
      </c>
      <c r="K1095" s="15" t="s">
        <v>216</v>
      </c>
      <c r="L1095" s="15" t="s">
        <v>149</v>
      </c>
      <c r="M1095" s="199" t="s">
        <v>9736</v>
      </c>
      <c r="N1095" s="13" t="s">
        <v>9737</v>
      </c>
      <c r="O1095" s="13"/>
      <c r="P1095" s="15" t="s">
        <v>8377</v>
      </c>
      <c r="Q1095" s="17" t="s">
        <v>9738</v>
      </c>
      <c r="R1095" s="18">
        <v>570</v>
      </c>
      <c r="S1095" s="19">
        <f t="shared" si="5"/>
        <v>92340</v>
      </c>
      <c r="T1095" s="12" t="s">
        <v>46</v>
      </c>
      <c r="U1095" s="15"/>
      <c r="V1095" s="19">
        <v>44610</v>
      </c>
      <c r="W1095" s="15"/>
      <c r="X1095" s="13"/>
      <c r="Y1095" s="20">
        <v>3066355</v>
      </c>
      <c r="Z1095" s="13">
        <v>3874496</v>
      </c>
      <c r="AA1095" s="13">
        <v>4698345</v>
      </c>
      <c r="AB1095" s="13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</row>
    <row r="1096" spans="1:46" ht="45" customHeight="1">
      <c r="A1096" s="21" t="s">
        <v>9739</v>
      </c>
      <c r="B1096" s="22" t="s">
        <v>9740</v>
      </c>
      <c r="C1096" s="23" t="s">
        <v>9741</v>
      </c>
      <c r="D1096" s="24" t="s">
        <v>9742</v>
      </c>
      <c r="E1096" s="24" t="s">
        <v>9743</v>
      </c>
      <c r="F1096" s="24" t="s">
        <v>9743</v>
      </c>
      <c r="G1096" s="24" t="s">
        <v>9744</v>
      </c>
      <c r="H1096" s="24"/>
      <c r="I1096" s="24" t="s">
        <v>41</v>
      </c>
      <c r="J1096" s="24" t="s">
        <v>9744</v>
      </c>
      <c r="K1096" s="24"/>
      <c r="L1096" s="24" t="s">
        <v>41</v>
      </c>
      <c r="M1096" s="76" t="s">
        <v>9745</v>
      </c>
      <c r="N1096" s="22" t="s">
        <v>9746</v>
      </c>
      <c r="O1096" s="22"/>
      <c r="P1096" s="45" t="s">
        <v>8615</v>
      </c>
      <c r="Q1096" s="28" t="s">
        <v>9747</v>
      </c>
      <c r="R1096" s="60">
        <v>47.97</v>
      </c>
      <c r="S1096" s="30">
        <f t="shared" si="5"/>
        <v>7771.1399999999994</v>
      </c>
      <c r="T1096" s="72" t="s">
        <v>46</v>
      </c>
      <c r="U1096" s="24"/>
      <c r="V1096" s="44">
        <v>44610</v>
      </c>
      <c r="W1096" s="24" t="s">
        <v>47</v>
      </c>
      <c r="X1096" s="22"/>
      <c r="Y1096" s="31">
        <v>3090294</v>
      </c>
      <c r="Z1096" s="22">
        <v>3906785</v>
      </c>
      <c r="AA1096" s="22">
        <v>4709437</v>
      </c>
      <c r="AB1096" s="22"/>
      <c r="AC1096" s="24">
        <v>5591575</v>
      </c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24"/>
      <c r="AS1096" s="24"/>
      <c r="AT1096" s="24"/>
    </row>
    <row r="1097" spans="1:46" ht="45" customHeight="1">
      <c r="A1097" s="12" t="s">
        <v>9748</v>
      </c>
      <c r="B1097" s="13" t="s">
        <v>9749</v>
      </c>
      <c r="C1097" s="14" t="s">
        <v>9750</v>
      </c>
      <c r="D1097" s="15" t="s">
        <v>9751</v>
      </c>
      <c r="E1097" s="15" t="s">
        <v>9752</v>
      </c>
      <c r="F1097" s="15" t="s">
        <v>9752</v>
      </c>
      <c r="G1097" s="15" t="s">
        <v>9753</v>
      </c>
      <c r="H1097" s="15" t="s">
        <v>9754</v>
      </c>
      <c r="I1097" s="15" t="s">
        <v>332</v>
      </c>
      <c r="J1097" s="15" t="s">
        <v>9753</v>
      </c>
      <c r="K1097" s="15" t="s">
        <v>9754</v>
      </c>
      <c r="L1097" s="15" t="s">
        <v>332</v>
      </c>
      <c r="M1097" s="199" t="s">
        <v>9755</v>
      </c>
      <c r="N1097" s="13" t="s">
        <v>9756</v>
      </c>
      <c r="O1097" s="13"/>
      <c r="P1097" s="15" t="s">
        <v>8377</v>
      </c>
      <c r="Q1097" s="17" t="s">
        <v>9757</v>
      </c>
      <c r="R1097" s="18">
        <v>194</v>
      </c>
      <c r="S1097" s="19">
        <f t="shared" si="5"/>
        <v>31428</v>
      </c>
      <c r="T1097" s="12" t="s">
        <v>46</v>
      </c>
      <c r="U1097" s="15"/>
      <c r="V1097" s="19">
        <v>44610</v>
      </c>
      <c r="W1097" s="15" t="s">
        <v>71</v>
      </c>
      <c r="X1097" s="13"/>
      <c r="Y1097" s="20">
        <v>2842068</v>
      </c>
      <c r="Z1097" s="13">
        <v>3790360</v>
      </c>
      <c r="AA1097" s="13">
        <v>4627994</v>
      </c>
      <c r="AB1097" s="13"/>
      <c r="AC1097" s="15">
        <v>5493506</v>
      </c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</row>
    <row r="1098" spans="1:46" ht="45" customHeight="1">
      <c r="A1098" s="21" t="s">
        <v>9758</v>
      </c>
      <c r="B1098" s="22" t="s">
        <v>9759</v>
      </c>
      <c r="C1098" s="23" t="s">
        <v>9760</v>
      </c>
      <c r="D1098" s="24" t="s">
        <v>9761</v>
      </c>
      <c r="E1098" s="24" t="s">
        <v>3020</v>
      </c>
      <c r="F1098" s="24" t="s">
        <v>3020</v>
      </c>
      <c r="G1098" s="24" t="s">
        <v>9762</v>
      </c>
      <c r="H1098" s="24"/>
      <c r="I1098" s="24" t="s">
        <v>1279</v>
      </c>
      <c r="J1098" s="24" t="s">
        <v>9762</v>
      </c>
      <c r="K1098" s="24"/>
      <c r="L1098" s="24" t="s">
        <v>1279</v>
      </c>
      <c r="M1098" s="206" t="s">
        <v>9763</v>
      </c>
      <c r="N1098" s="22" t="s">
        <v>9764</v>
      </c>
      <c r="O1098" s="22"/>
      <c r="P1098" s="24" t="s">
        <v>9765</v>
      </c>
      <c r="Q1098" s="28" t="s">
        <v>9766</v>
      </c>
      <c r="R1098" s="29">
        <v>1379</v>
      </c>
      <c r="S1098" s="30">
        <f t="shared" si="5"/>
        <v>223398</v>
      </c>
      <c r="T1098" s="21" t="s">
        <v>198</v>
      </c>
      <c r="U1098" s="24"/>
      <c r="V1098" s="30">
        <v>215940</v>
      </c>
      <c r="W1098" s="24" t="s">
        <v>71</v>
      </c>
      <c r="X1098" s="22"/>
      <c r="Y1098" s="31">
        <v>3097174</v>
      </c>
      <c r="Z1098" s="22">
        <v>3899543</v>
      </c>
      <c r="AA1098" s="22">
        <v>4741068</v>
      </c>
      <c r="AB1098" s="22"/>
      <c r="AC1098" s="24">
        <v>5565109</v>
      </c>
      <c r="AD1098" s="24"/>
      <c r="AE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</row>
    <row r="1099" spans="1:46" ht="45" customHeight="1">
      <c r="A1099" s="72" t="s">
        <v>9767</v>
      </c>
      <c r="B1099" s="22" t="s">
        <v>9768</v>
      </c>
      <c r="C1099" s="23" t="s">
        <v>9769</v>
      </c>
      <c r="D1099" s="24" t="s">
        <v>7423</v>
      </c>
      <c r="E1099" s="24" t="s">
        <v>9444</v>
      </c>
      <c r="F1099" s="24" t="s">
        <v>9444</v>
      </c>
      <c r="G1099" s="24" t="s">
        <v>9770</v>
      </c>
      <c r="H1099" s="24" t="s">
        <v>9375</v>
      </c>
      <c r="I1099" s="24" t="s">
        <v>6221</v>
      </c>
      <c r="J1099" s="24" t="s">
        <v>9770</v>
      </c>
      <c r="K1099" s="24" t="s">
        <v>9375</v>
      </c>
      <c r="L1099" s="24" t="s">
        <v>6221</v>
      </c>
      <c r="M1099" s="24" t="s">
        <v>9377</v>
      </c>
      <c r="N1099" s="22" t="s">
        <v>9771</v>
      </c>
      <c r="O1099" s="22"/>
      <c r="P1099" s="24" t="s">
        <v>8393</v>
      </c>
      <c r="Q1099" s="28" t="s">
        <v>9772</v>
      </c>
      <c r="R1099" s="29">
        <v>1688</v>
      </c>
      <c r="S1099" s="30">
        <f t="shared" si="5"/>
        <v>273456</v>
      </c>
      <c r="T1099" s="21" t="s">
        <v>198</v>
      </c>
      <c r="U1099" s="24"/>
      <c r="V1099" s="30">
        <v>215940</v>
      </c>
      <c r="W1099" s="45" t="s">
        <v>71</v>
      </c>
      <c r="X1099" s="22"/>
      <c r="Y1099" s="31">
        <v>3099787</v>
      </c>
      <c r="Z1099" s="22">
        <v>3877145</v>
      </c>
      <c r="AA1099" s="22">
        <v>4735103</v>
      </c>
      <c r="AB1099" s="22"/>
      <c r="AC1099" s="45">
        <v>5633032</v>
      </c>
      <c r="AD1099" s="24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24"/>
      <c r="AS1099" s="24"/>
      <c r="AT1099" s="24"/>
    </row>
    <row r="1100" spans="1:46" ht="45" customHeight="1">
      <c r="A1100" s="12" t="s">
        <v>9773</v>
      </c>
      <c r="B1100" s="13" t="s">
        <v>9774</v>
      </c>
      <c r="C1100" s="14" t="s">
        <v>9775</v>
      </c>
      <c r="D1100" s="15" t="s">
        <v>9776</v>
      </c>
      <c r="E1100" s="15" t="s">
        <v>9777</v>
      </c>
      <c r="F1100" s="15" t="s">
        <v>9777</v>
      </c>
      <c r="G1100" s="15" t="s">
        <v>9778</v>
      </c>
      <c r="H1100" s="15" t="s">
        <v>9779</v>
      </c>
      <c r="I1100" s="15" t="s">
        <v>41</v>
      </c>
      <c r="J1100" s="15" t="s">
        <v>9778</v>
      </c>
      <c r="K1100" s="15" t="s">
        <v>9779</v>
      </c>
      <c r="L1100" s="15" t="s">
        <v>41</v>
      </c>
      <c r="M1100" s="207" t="s">
        <v>9780</v>
      </c>
      <c r="N1100" s="13" t="s">
        <v>9781</v>
      </c>
      <c r="O1100" s="13"/>
      <c r="P1100" s="15" t="s">
        <v>8393</v>
      </c>
      <c r="Q1100" s="17" t="s">
        <v>9782</v>
      </c>
      <c r="R1100" s="18">
        <v>88</v>
      </c>
      <c r="S1100" s="19">
        <f t="shared" si="5"/>
        <v>14256</v>
      </c>
      <c r="T1100" s="12" t="s">
        <v>46</v>
      </c>
      <c r="U1100" s="15"/>
      <c r="V1100" s="19">
        <v>44610</v>
      </c>
      <c r="W1100" s="15"/>
      <c r="X1100" s="13"/>
      <c r="Y1100" s="20">
        <v>3109013</v>
      </c>
      <c r="Z1100" s="13">
        <v>3836224</v>
      </c>
      <c r="AA1100" s="13"/>
      <c r="AB1100" s="13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</row>
    <row r="1101" spans="1:46" ht="45" customHeight="1">
      <c r="A1101" s="21" t="s">
        <v>9783</v>
      </c>
      <c r="B1101" s="22" t="s">
        <v>9784</v>
      </c>
      <c r="C1101" s="23" t="s">
        <v>9785</v>
      </c>
      <c r="D1101" s="24" t="s">
        <v>9786</v>
      </c>
      <c r="E1101" s="24" t="s">
        <v>9787</v>
      </c>
      <c r="F1101" s="24" t="s">
        <v>9787</v>
      </c>
      <c r="G1101" s="24" t="s">
        <v>9788</v>
      </c>
      <c r="H1101" s="24"/>
      <c r="I1101" s="24" t="s">
        <v>149</v>
      </c>
      <c r="J1101" s="24" t="s">
        <v>9788</v>
      </c>
      <c r="K1101" s="24"/>
      <c r="L1101" s="24" t="s">
        <v>149</v>
      </c>
      <c r="M1101" s="205" t="s">
        <v>9789</v>
      </c>
      <c r="N1101" s="22" t="s">
        <v>9790</v>
      </c>
      <c r="O1101" s="22"/>
      <c r="P1101" s="24" t="s">
        <v>8590</v>
      </c>
      <c r="Q1101" s="28" t="s">
        <v>9791</v>
      </c>
      <c r="R1101" s="29">
        <v>974</v>
      </c>
      <c r="S1101" s="30">
        <f t="shared" si="5"/>
        <v>157788</v>
      </c>
      <c r="T1101" s="21" t="s">
        <v>252</v>
      </c>
      <c r="U1101" s="24"/>
      <c r="V1101" s="30">
        <v>123900</v>
      </c>
      <c r="W1101" s="24" t="s">
        <v>47</v>
      </c>
      <c r="X1101" s="22"/>
      <c r="Y1101" s="31">
        <v>3113158</v>
      </c>
      <c r="Z1101" s="22"/>
      <c r="AA1101" s="22"/>
      <c r="AB1101" s="22">
        <v>4843605</v>
      </c>
      <c r="AC1101" s="24">
        <v>5582349</v>
      </c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4"/>
    </row>
    <row r="1102" spans="1:46" ht="45" customHeight="1">
      <c r="A1102" s="12" t="s">
        <v>9792</v>
      </c>
      <c r="B1102" s="13" t="s">
        <v>9793</v>
      </c>
      <c r="C1102" s="14" t="s">
        <v>9794</v>
      </c>
      <c r="D1102" s="15" t="s">
        <v>9635</v>
      </c>
      <c r="E1102" s="15" t="s">
        <v>9636</v>
      </c>
      <c r="F1102" s="15" t="s">
        <v>9636</v>
      </c>
      <c r="G1102" s="15" t="s">
        <v>9795</v>
      </c>
      <c r="H1102" s="15" t="s">
        <v>2863</v>
      </c>
      <c r="I1102" s="15" t="s">
        <v>80</v>
      </c>
      <c r="J1102" s="15" t="s">
        <v>9795</v>
      </c>
      <c r="K1102" s="15" t="s">
        <v>2863</v>
      </c>
      <c r="L1102" s="15" t="s">
        <v>80</v>
      </c>
      <c r="M1102" s="199" t="s">
        <v>9640</v>
      </c>
      <c r="N1102" s="13" t="s">
        <v>9641</v>
      </c>
      <c r="O1102" s="13"/>
      <c r="P1102" s="15" t="s">
        <v>9796</v>
      </c>
      <c r="Q1102" s="17" t="s">
        <v>9797</v>
      </c>
      <c r="R1102" s="18">
        <v>125</v>
      </c>
      <c r="S1102" s="19">
        <f t="shared" si="5"/>
        <v>20250</v>
      </c>
      <c r="T1102" s="12" t="s">
        <v>46</v>
      </c>
      <c r="U1102" s="15"/>
      <c r="V1102" s="19">
        <v>44610</v>
      </c>
      <c r="W1102" s="15" t="s">
        <v>71</v>
      </c>
      <c r="X1102" s="13"/>
      <c r="Y1102" s="20">
        <v>3113648</v>
      </c>
      <c r="Z1102" s="13">
        <v>3887609</v>
      </c>
      <c r="AA1102" s="13">
        <v>4700017</v>
      </c>
      <c r="AB1102" s="13"/>
      <c r="AC1102" s="15">
        <v>5589198</v>
      </c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</row>
    <row r="1103" spans="1:46" ht="45" customHeight="1">
      <c r="A1103" s="12" t="s">
        <v>9798</v>
      </c>
      <c r="B1103" s="13" t="s">
        <v>9799</v>
      </c>
      <c r="C1103" s="14" t="s">
        <v>9800</v>
      </c>
      <c r="D1103" s="15" t="s">
        <v>9635</v>
      </c>
      <c r="E1103" s="15" t="s">
        <v>9636</v>
      </c>
      <c r="F1103" s="15" t="s">
        <v>9636</v>
      </c>
      <c r="G1103" s="15" t="s">
        <v>9637</v>
      </c>
      <c r="H1103" s="15" t="s">
        <v>9638</v>
      </c>
      <c r="I1103" s="15" t="s">
        <v>65</v>
      </c>
      <c r="J1103" s="15" t="s">
        <v>9637</v>
      </c>
      <c r="K1103" s="15" t="s">
        <v>9638</v>
      </c>
      <c r="L1103" s="15" t="s">
        <v>65</v>
      </c>
      <c r="M1103" s="15" t="s">
        <v>9640</v>
      </c>
      <c r="N1103" s="13" t="s">
        <v>9641</v>
      </c>
      <c r="O1103" s="13"/>
      <c r="P1103" s="15" t="s">
        <v>9796</v>
      </c>
      <c r="Q1103" s="17" t="s">
        <v>9801</v>
      </c>
      <c r="R1103" s="18">
        <v>132</v>
      </c>
      <c r="S1103" s="19">
        <f t="shared" si="5"/>
        <v>21384</v>
      </c>
      <c r="T1103" s="12" t="s">
        <v>46</v>
      </c>
      <c r="U1103" s="15"/>
      <c r="V1103" s="19">
        <v>44610</v>
      </c>
      <c r="W1103" s="49" t="s">
        <v>71</v>
      </c>
      <c r="X1103" s="13"/>
      <c r="Y1103" s="20">
        <v>3113678</v>
      </c>
      <c r="Z1103" s="13">
        <v>3887683</v>
      </c>
      <c r="AA1103" s="13">
        <v>4699213</v>
      </c>
      <c r="AB1103" s="13"/>
      <c r="AC1103" s="49">
        <v>5630454</v>
      </c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</row>
    <row r="1104" spans="1:46" ht="45" customHeight="1">
      <c r="A1104" s="21" t="s">
        <v>9802</v>
      </c>
      <c r="B1104" s="22" t="s">
        <v>9803</v>
      </c>
      <c r="C1104" s="23" t="s">
        <v>9804</v>
      </c>
      <c r="D1104" s="24" t="s">
        <v>9805</v>
      </c>
      <c r="E1104" s="24" t="s">
        <v>9806</v>
      </c>
      <c r="F1104" s="24" t="s">
        <v>9806</v>
      </c>
      <c r="G1104" s="24" t="s">
        <v>9807</v>
      </c>
      <c r="H1104" s="24" t="s">
        <v>9808</v>
      </c>
      <c r="I1104" s="24" t="s">
        <v>881</v>
      </c>
      <c r="J1104" s="24" t="s">
        <v>9807</v>
      </c>
      <c r="K1104" s="24" t="s">
        <v>9808</v>
      </c>
      <c r="L1104" s="24" t="s">
        <v>881</v>
      </c>
      <c r="M1104" s="205" t="s">
        <v>9809</v>
      </c>
      <c r="N1104" s="22" t="s">
        <v>9810</v>
      </c>
      <c r="O1104" s="22"/>
      <c r="P1104" s="24" t="s">
        <v>9811</v>
      </c>
      <c r="Q1104" s="28" t="s">
        <v>9812</v>
      </c>
      <c r="R1104" s="29">
        <v>1772</v>
      </c>
      <c r="S1104" s="30">
        <f t="shared" si="5"/>
        <v>287064</v>
      </c>
      <c r="T1104" s="21" t="s">
        <v>198</v>
      </c>
      <c r="U1104" s="24"/>
      <c r="V1104" s="30">
        <v>215940</v>
      </c>
      <c r="W1104" s="24" t="s">
        <v>71</v>
      </c>
      <c r="X1104" s="22"/>
      <c r="Y1104" s="31">
        <v>3117750</v>
      </c>
      <c r="Z1104" s="22">
        <v>3902157</v>
      </c>
      <c r="AA1104" s="22">
        <v>4749557</v>
      </c>
      <c r="AB1104" s="22"/>
      <c r="AC1104" s="24">
        <v>5618002</v>
      </c>
      <c r="AD1104" s="24"/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P1104" s="24"/>
      <c r="AQ1104" s="24"/>
      <c r="AR1104" s="24"/>
      <c r="AS1104" s="24"/>
      <c r="AT1104" s="24"/>
    </row>
    <row r="1105" spans="1:46" ht="45" customHeight="1">
      <c r="A1105" s="21" t="s">
        <v>9813</v>
      </c>
      <c r="B1105" s="22" t="s">
        <v>9814</v>
      </c>
      <c r="C1105" s="23" t="s">
        <v>9815</v>
      </c>
      <c r="D1105" s="24" t="s">
        <v>9816</v>
      </c>
      <c r="E1105" s="24" t="s">
        <v>1115</v>
      </c>
      <c r="F1105" s="24" t="s">
        <v>1115</v>
      </c>
      <c r="G1105" s="24" t="s">
        <v>9817</v>
      </c>
      <c r="H1105" s="24" t="s">
        <v>9818</v>
      </c>
      <c r="I1105" s="24" t="s">
        <v>65</v>
      </c>
      <c r="J1105" s="24" t="s">
        <v>9817</v>
      </c>
      <c r="K1105" s="24" t="s">
        <v>9818</v>
      </c>
      <c r="L1105" s="24" t="s">
        <v>65</v>
      </c>
      <c r="M1105" s="205" t="s">
        <v>9819</v>
      </c>
      <c r="N1105" s="22">
        <v>2615745371</v>
      </c>
      <c r="O1105" s="22"/>
      <c r="P1105" s="24" t="s">
        <v>9820</v>
      </c>
      <c r="Q1105" s="28" t="s">
        <v>9821</v>
      </c>
      <c r="R1105" s="29">
        <v>1497</v>
      </c>
      <c r="S1105" s="30">
        <f t="shared" si="5"/>
        <v>242514</v>
      </c>
      <c r="T1105" s="21" t="s">
        <v>198</v>
      </c>
      <c r="U1105" s="24"/>
      <c r="V1105" s="30">
        <v>215940</v>
      </c>
      <c r="W1105" s="24" t="s">
        <v>71</v>
      </c>
      <c r="X1105" s="22"/>
      <c r="Y1105" s="31">
        <v>3080059</v>
      </c>
      <c r="Z1105" s="22">
        <v>3873906</v>
      </c>
      <c r="AA1105" s="22">
        <v>4712438</v>
      </c>
      <c r="AB1105" s="22"/>
      <c r="AC1105" s="24">
        <v>5519395</v>
      </c>
      <c r="AD1105" s="24"/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P1105" s="24"/>
      <c r="AQ1105" s="24"/>
      <c r="AR1105" s="24"/>
      <c r="AS1105" s="24"/>
      <c r="AT1105" s="24"/>
    </row>
    <row r="1106" spans="1:46" ht="45" customHeight="1">
      <c r="A1106" s="12" t="s">
        <v>9822</v>
      </c>
      <c r="B1106" s="13" t="s">
        <v>9823</v>
      </c>
      <c r="C1106" s="14" t="s">
        <v>9824</v>
      </c>
      <c r="D1106" s="15" t="s">
        <v>9825</v>
      </c>
      <c r="E1106" s="15" t="s">
        <v>9826</v>
      </c>
      <c r="F1106" s="15" t="s">
        <v>9826</v>
      </c>
      <c r="G1106" s="15" t="s">
        <v>9827</v>
      </c>
      <c r="H1106" s="15" t="s">
        <v>8872</v>
      </c>
      <c r="I1106" s="15" t="s">
        <v>149</v>
      </c>
      <c r="J1106" s="15" t="s">
        <v>9827</v>
      </c>
      <c r="K1106" s="15" t="s">
        <v>8872</v>
      </c>
      <c r="L1106" s="15" t="s">
        <v>149</v>
      </c>
      <c r="M1106" s="199" t="s">
        <v>9828</v>
      </c>
      <c r="N1106" s="13" t="s">
        <v>9829</v>
      </c>
      <c r="O1106" s="13"/>
      <c r="P1106" s="15" t="s">
        <v>9830</v>
      </c>
      <c r="Q1106" s="17" t="s">
        <v>9831</v>
      </c>
      <c r="R1106" s="18">
        <v>35</v>
      </c>
      <c r="S1106" s="19">
        <f t="shared" si="5"/>
        <v>5670</v>
      </c>
      <c r="T1106" s="12" t="s">
        <v>46</v>
      </c>
      <c r="U1106" s="15"/>
      <c r="V1106" s="19">
        <v>44610</v>
      </c>
      <c r="W1106" s="15"/>
      <c r="X1106" s="13"/>
      <c r="Y1106" s="20">
        <v>3143630</v>
      </c>
      <c r="Z1106" s="13">
        <v>3875343</v>
      </c>
      <c r="AA1106" s="13">
        <v>4704846</v>
      </c>
      <c r="AB1106" s="13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</row>
    <row r="1107" spans="1:46" ht="45" customHeight="1">
      <c r="A1107" s="12" t="s">
        <v>9832</v>
      </c>
      <c r="B1107" s="13" t="s">
        <v>9833</v>
      </c>
      <c r="C1107" s="14" t="s">
        <v>9834</v>
      </c>
      <c r="D1107" s="15" t="s">
        <v>9835</v>
      </c>
      <c r="E1107" s="15" t="s">
        <v>9836</v>
      </c>
      <c r="F1107" s="15" t="s">
        <v>9836</v>
      </c>
      <c r="G1107" s="15" t="s">
        <v>9837</v>
      </c>
      <c r="H1107" s="15"/>
      <c r="I1107" s="15" t="s">
        <v>8513</v>
      </c>
      <c r="J1107" s="15" t="s">
        <v>9837</v>
      </c>
      <c r="K1107" s="15"/>
      <c r="L1107" s="15" t="s">
        <v>8513</v>
      </c>
      <c r="M1107" s="199" t="s">
        <v>9838</v>
      </c>
      <c r="N1107" s="13" t="s">
        <v>9839</v>
      </c>
      <c r="O1107" s="13"/>
      <c r="P1107" s="15" t="s">
        <v>8574</v>
      </c>
      <c r="Q1107" s="17" t="s">
        <v>9840</v>
      </c>
      <c r="R1107" s="18">
        <v>42</v>
      </c>
      <c r="S1107" s="19">
        <f t="shared" si="5"/>
        <v>6804</v>
      </c>
      <c r="T1107" s="12" t="s">
        <v>46</v>
      </c>
      <c r="U1107" s="15"/>
      <c r="V1107" s="19">
        <v>44610</v>
      </c>
      <c r="W1107" s="49" t="s">
        <v>71</v>
      </c>
      <c r="X1107" s="13"/>
      <c r="Y1107" s="20">
        <v>3149075</v>
      </c>
      <c r="Z1107" s="13"/>
      <c r="AA1107" s="13">
        <v>4753683</v>
      </c>
      <c r="AB1107" s="13"/>
      <c r="AC1107" s="49">
        <v>5636714</v>
      </c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</row>
    <row r="1108" spans="1:46" ht="45" customHeight="1">
      <c r="A1108" s="12" t="s">
        <v>9841</v>
      </c>
      <c r="B1108" s="13" t="s">
        <v>9842</v>
      </c>
      <c r="C1108" s="14" t="s">
        <v>9843</v>
      </c>
      <c r="D1108" s="15" t="s">
        <v>9844</v>
      </c>
      <c r="E1108" s="15" t="s">
        <v>8054</v>
      </c>
      <c r="F1108" s="15" t="s">
        <v>8054</v>
      </c>
      <c r="G1108" s="15" t="s">
        <v>9845</v>
      </c>
      <c r="H1108" s="15" t="s">
        <v>2863</v>
      </c>
      <c r="I1108" s="15" t="s">
        <v>80</v>
      </c>
      <c r="J1108" s="15" t="s">
        <v>9845</v>
      </c>
      <c r="K1108" s="15" t="s">
        <v>2863</v>
      </c>
      <c r="L1108" s="15" t="s">
        <v>80</v>
      </c>
      <c r="M1108" s="199" t="s">
        <v>9846</v>
      </c>
      <c r="N1108" s="13">
        <v>2615449573</v>
      </c>
      <c r="O1108" s="13"/>
      <c r="P1108" s="15" t="s">
        <v>8469</v>
      </c>
      <c r="Q1108" s="17" t="s">
        <v>9847</v>
      </c>
      <c r="R1108" s="18">
        <v>53</v>
      </c>
      <c r="S1108" s="19">
        <f t="shared" si="5"/>
        <v>8586</v>
      </c>
      <c r="T1108" s="12" t="s">
        <v>46</v>
      </c>
      <c r="U1108" s="15"/>
      <c r="V1108" s="19">
        <v>44610</v>
      </c>
      <c r="W1108" s="15" t="s">
        <v>71</v>
      </c>
      <c r="X1108" s="13"/>
      <c r="Y1108" s="20">
        <v>3109004</v>
      </c>
      <c r="Z1108" s="13">
        <v>3863464</v>
      </c>
      <c r="AA1108" s="13">
        <v>4738471</v>
      </c>
      <c r="AB1108" s="13"/>
      <c r="AC1108" s="15">
        <v>5613913</v>
      </c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</row>
    <row r="1109" spans="1:46" ht="45" customHeight="1">
      <c r="A1109" s="12" t="s">
        <v>9848</v>
      </c>
      <c r="B1109" s="13" t="s">
        <v>9849</v>
      </c>
      <c r="C1109" s="14" t="s">
        <v>9850</v>
      </c>
      <c r="D1109" s="15" t="s">
        <v>9851</v>
      </c>
      <c r="E1109" s="15" t="s">
        <v>9852</v>
      </c>
      <c r="F1109" s="15" t="s">
        <v>9852</v>
      </c>
      <c r="G1109" s="15" t="s">
        <v>9853</v>
      </c>
      <c r="H1109" s="15" t="s">
        <v>6345</v>
      </c>
      <c r="I1109" s="15" t="s">
        <v>149</v>
      </c>
      <c r="J1109" s="15" t="s">
        <v>9853</v>
      </c>
      <c r="K1109" s="15" t="s">
        <v>6345</v>
      </c>
      <c r="L1109" s="15" t="s">
        <v>149</v>
      </c>
      <c r="M1109" s="15" t="s">
        <v>9854</v>
      </c>
      <c r="N1109" s="94" t="s">
        <v>9855</v>
      </c>
      <c r="O1109" s="13"/>
      <c r="P1109" s="15" t="s">
        <v>8377</v>
      </c>
      <c r="Q1109" s="17" t="s">
        <v>9856</v>
      </c>
      <c r="R1109" s="18">
        <v>46.95</v>
      </c>
      <c r="S1109" s="19">
        <f t="shared" si="5"/>
        <v>7605.9000000000005</v>
      </c>
      <c r="T1109" s="12" t="s">
        <v>46</v>
      </c>
      <c r="U1109" s="15"/>
      <c r="V1109" s="19">
        <v>44610</v>
      </c>
      <c r="W1109" s="15" t="s">
        <v>71</v>
      </c>
      <c r="X1109" s="13"/>
      <c r="Y1109" s="20">
        <v>3171898</v>
      </c>
      <c r="Z1109" s="13"/>
      <c r="AA1109" s="13">
        <v>4650459</v>
      </c>
      <c r="AB1109" s="13"/>
      <c r="AC1109" s="15">
        <v>5596939</v>
      </c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</row>
    <row r="1110" spans="1:46" ht="45" customHeight="1">
      <c r="A1110" s="21" t="s">
        <v>9857</v>
      </c>
      <c r="B1110" s="22" t="s">
        <v>9858</v>
      </c>
      <c r="C1110" s="66" t="s">
        <v>9859</v>
      </c>
      <c r="D1110" s="24" t="s">
        <v>9204</v>
      </c>
      <c r="E1110" s="24" t="s">
        <v>4113</v>
      </c>
      <c r="F1110" s="24" t="s">
        <v>4113</v>
      </c>
      <c r="G1110" s="24" t="s">
        <v>9860</v>
      </c>
      <c r="H1110" s="24" t="s">
        <v>4398</v>
      </c>
      <c r="I1110" s="24" t="s">
        <v>80</v>
      </c>
      <c r="J1110" s="24" t="s">
        <v>9861</v>
      </c>
      <c r="K1110" s="24" t="s">
        <v>9862</v>
      </c>
      <c r="L1110" s="24" t="s">
        <v>1279</v>
      </c>
      <c r="M1110" s="205" t="s">
        <v>9863</v>
      </c>
      <c r="N1110" s="77" t="s">
        <v>9864</v>
      </c>
      <c r="O1110" s="22"/>
      <c r="P1110" s="24" t="s">
        <v>9208</v>
      </c>
      <c r="Q1110" s="28" t="s">
        <v>9865</v>
      </c>
      <c r="R1110" s="29">
        <v>1954.71</v>
      </c>
      <c r="S1110" s="30">
        <f t="shared" si="5"/>
        <v>316663.02</v>
      </c>
      <c r="T1110" s="21" t="s">
        <v>198</v>
      </c>
      <c r="U1110" s="24"/>
      <c r="V1110" s="30">
        <v>215940</v>
      </c>
      <c r="W1110" s="24" t="s">
        <v>71</v>
      </c>
      <c r="X1110" s="22"/>
      <c r="Y1110" s="31">
        <v>3183191</v>
      </c>
      <c r="Z1110" s="22"/>
      <c r="AA1110" s="22"/>
      <c r="AB1110" s="22">
        <v>4901661</v>
      </c>
      <c r="AC1110" s="24">
        <v>5606110</v>
      </c>
      <c r="AD1110" s="45">
        <v>6476907</v>
      </c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P1110" s="24"/>
      <c r="AQ1110" s="24"/>
      <c r="AR1110" s="24"/>
      <c r="AS1110" s="24"/>
      <c r="AT1110" s="24"/>
    </row>
    <row r="1111" spans="1:46" ht="45" customHeight="1">
      <c r="A1111" s="12" t="s">
        <v>9866</v>
      </c>
      <c r="B1111" s="13" t="s">
        <v>9867</v>
      </c>
      <c r="C1111" s="14" t="s">
        <v>9868</v>
      </c>
      <c r="D1111" s="15" t="s">
        <v>9869</v>
      </c>
      <c r="E1111" s="15" t="s">
        <v>9870</v>
      </c>
      <c r="F1111" s="15" t="s">
        <v>9870</v>
      </c>
      <c r="G1111" s="15" t="s">
        <v>9871</v>
      </c>
      <c r="H1111" s="15" t="s">
        <v>9872</v>
      </c>
      <c r="I1111" s="15" t="s">
        <v>332</v>
      </c>
      <c r="J1111" s="15" t="s">
        <v>9871</v>
      </c>
      <c r="K1111" s="15" t="s">
        <v>9872</v>
      </c>
      <c r="L1111" s="15" t="s">
        <v>332</v>
      </c>
      <c r="M1111" s="15" t="s">
        <v>9873</v>
      </c>
      <c r="N1111" s="13" t="s">
        <v>9874</v>
      </c>
      <c r="O1111" s="13"/>
      <c r="P1111" s="15" t="s">
        <v>8377</v>
      </c>
      <c r="Q1111" s="17" t="s">
        <v>9875</v>
      </c>
      <c r="R1111" s="18">
        <v>102.78</v>
      </c>
      <c r="S1111" s="19">
        <f t="shared" si="5"/>
        <v>16650.36</v>
      </c>
      <c r="T1111" s="12" t="s">
        <v>46</v>
      </c>
      <c r="U1111" s="15"/>
      <c r="V1111" s="19">
        <v>44610</v>
      </c>
      <c r="W1111" s="15" t="s">
        <v>47</v>
      </c>
      <c r="X1111" s="13"/>
      <c r="Y1111" s="20">
        <v>3184277</v>
      </c>
      <c r="Z1111" s="13">
        <v>3887847</v>
      </c>
      <c r="AA1111" s="13">
        <v>4740944</v>
      </c>
      <c r="AB1111" s="13"/>
      <c r="AC1111" s="15">
        <v>5548030</v>
      </c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</row>
    <row r="1112" spans="1:46" ht="45" customHeight="1">
      <c r="A1112" s="12" t="s">
        <v>9876</v>
      </c>
      <c r="B1112" s="13" t="s">
        <v>9877</v>
      </c>
      <c r="C1112" s="66" t="s">
        <v>9878</v>
      </c>
      <c r="D1112" s="15" t="s">
        <v>9879</v>
      </c>
      <c r="E1112" s="15" t="s">
        <v>9880</v>
      </c>
      <c r="F1112" s="15" t="s">
        <v>9880</v>
      </c>
      <c r="G1112" s="15" t="s">
        <v>9881</v>
      </c>
      <c r="H1112" s="15" t="s">
        <v>9882</v>
      </c>
      <c r="I1112" s="15" t="s">
        <v>41</v>
      </c>
      <c r="J1112" s="15" t="s">
        <v>9881</v>
      </c>
      <c r="K1112" s="15" t="s">
        <v>9882</v>
      </c>
      <c r="L1112" s="15" t="s">
        <v>41</v>
      </c>
      <c r="M1112" s="207" t="s">
        <v>9883</v>
      </c>
      <c r="N1112" s="13" t="s">
        <v>9884</v>
      </c>
      <c r="O1112" s="13"/>
      <c r="P1112" s="15" t="s">
        <v>9885</v>
      </c>
      <c r="Q1112" s="17" t="s">
        <v>9886</v>
      </c>
      <c r="R1112" s="18">
        <v>503</v>
      </c>
      <c r="S1112" s="19">
        <f t="shared" si="5"/>
        <v>81486</v>
      </c>
      <c r="T1112" s="12" t="s">
        <v>46</v>
      </c>
      <c r="U1112" s="15"/>
      <c r="V1112" s="19">
        <v>44610</v>
      </c>
      <c r="W1112" s="49" t="s">
        <v>71</v>
      </c>
      <c r="X1112" s="13"/>
      <c r="Y1112" s="20">
        <v>3172779</v>
      </c>
      <c r="Z1112" s="13"/>
      <c r="AA1112" s="13"/>
      <c r="AB1112" s="13"/>
      <c r="AC1112" s="49">
        <v>5629976</v>
      </c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</row>
    <row r="1113" spans="1:46" ht="45" customHeight="1">
      <c r="A1113" s="12" t="s">
        <v>9887</v>
      </c>
      <c r="B1113" s="13" t="s">
        <v>9888</v>
      </c>
      <c r="C1113" s="66" t="s">
        <v>9889</v>
      </c>
      <c r="D1113" s="15" t="s">
        <v>9890</v>
      </c>
      <c r="E1113" s="15" t="s">
        <v>9891</v>
      </c>
      <c r="F1113" s="15" t="s">
        <v>9891</v>
      </c>
      <c r="G1113" s="15" t="s">
        <v>9892</v>
      </c>
      <c r="H1113" s="15" t="s">
        <v>2863</v>
      </c>
      <c r="I1113" s="15" t="s">
        <v>80</v>
      </c>
      <c r="J1113" s="15" t="s">
        <v>9892</v>
      </c>
      <c r="K1113" s="15" t="s">
        <v>2863</v>
      </c>
      <c r="L1113" s="15" t="s">
        <v>80</v>
      </c>
      <c r="M1113" s="199" t="s">
        <v>9893</v>
      </c>
      <c r="N1113" s="13" t="s">
        <v>9894</v>
      </c>
      <c r="O1113" s="73">
        <v>46771</v>
      </c>
      <c r="P1113" s="15" t="s">
        <v>8377</v>
      </c>
      <c r="Q1113" s="17" t="s">
        <v>9895</v>
      </c>
      <c r="R1113" s="18">
        <v>289.45</v>
      </c>
      <c r="S1113" s="19">
        <f t="shared" si="5"/>
        <v>46890.9</v>
      </c>
      <c r="T1113" s="12" t="s">
        <v>46</v>
      </c>
      <c r="U1113" s="15"/>
      <c r="V1113" s="19">
        <v>44610</v>
      </c>
      <c r="W1113" s="15" t="s">
        <v>71</v>
      </c>
      <c r="X1113" s="13"/>
      <c r="Y1113" s="20">
        <v>3167864</v>
      </c>
      <c r="Z1113" s="13">
        <v>3833701</v>
      </c>
      <c r="AA1113" s="13"/>
      <c r="AB1113" s="13"/>
      <c r="AC1113" s="15">
        <v>5576272</v>
      </c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</row>
    <row r="1114" spans="1:46" ht="45" customHeight="1">
      <c r="A1114" s="12" t="s">
        <v>9896</v>
      </c>
      <c r="B1114" s="13" t="s">
        <v>9897</v>
      </c>
      <c r="C1114" s="14" t="s">
        <v>9898</v>
      </c>
      <c r="D1114" s="15" t="s">
        <v>9899</v>
      </c>
      <c r="E1114" s="15" t="s">
        <v>524</v>
      </c>
      <c r="F1114" s="15" t="s">
        <v>524</v>
      </c>
      <c r="G1114" s="15" t="s">
        <v>9900</v>
      </c>
      <c r="H1114" s="15"/>
      <c r="I1114" s="15" t="s">
        <v>149</v>
      </c>
      <c r="J1114" s="15" t="s">
        <v>9900</v>
      </c>
      <c r="K1114" s="15"/>
      <c r="L1114" s="15" t="s">
        <v>149</v>
      </c>
      <c r="M1114" s="15" t="s">
        <v>3283</v>
      </c>
      <c r="N1114" s="13">
        <v>2616631257</v>
      </c>
      <c r="O1114" s="13"/>
      <c r="P1114" s="15" t="s">
        <v>8574</v>
      </c>
      <c r="Q1114" s="17" t="s">
        <v>9901</v>
      </c>
      <c r="R1114" s="18">
        <v>23.71</v>
      </c>
      <c r="S1114" s="19">
        <f t="shared" si="5"/>
        <v>3841.02</v>
      </c>
      <c r="T1114" s="12" t="s">
        <v>46</v>
      </c>
      <c r="U1114" s="15"/>
      <c r="V1114" s="19">
        <v>44610</v>
      </c>
      <c r="W1114" s="15" t="s">
        <v>71</v>
      </c>
      <c r="X1114" s="13"/>
      <c r="Y1114" s="20">
        <v>3196758</v>
      </c>
      <c r="Z1114" s="13">
        <v>3832923</v>
      </c>
      <c r="AA1114" s="13">
        <v>4757947</v>
      </c>
      <c r="AB1114" s="13"/>
      <c r="AC1114" s="15">
        <v>5591572</v>
      </c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</row>
    <row r="1115" spans="1:46" ht="45" customHeight="1">
      <c r="A1115" s="21" t="s">
        <v>9902</v>
      </c>
      <c r="B1115" s="22" t="s">
        <v>9903</v>
      </c>
      <c r="C1115" s="23" t="s">
        <v>9904</v>
      </c>
      <c r="D1115" s="24" t="s">
        <v>9905</v>
      </c>
      <c r="E1115" s="24" t="s">
        <v>9906</v>
      </c>
      <c r="F1115" s="24" t="s">
        <v>9906</v>
      </c>
      <c r="G1115" s="24" t="s">
        <v>9907</v>
      </c>
      <c r="H1115" s="24" t="s">
        <v>8765</v>
      </c>
      <c r="I1115" s="24" t="s">
        <v>115</v>
      </c>
      <c r="J1115" s="24" t="s">
        <v>9907</v>
      </c>
      <c r="K1115" s="24" t="s">
        <v>8765</v>
      </c>
      <c r="L1115" s="24" t="s">
        <v>115</v>
      </c>
      <c r="M1115" s="208" t="s">
        <v>9908</v>
      </c>
      <c r="N1115" s="22" t="s">
        <v>9909</v>
      </c>
      <c r="O1115" s="22"/>
      <c r="P1115" s="24" t="s">
        <v>8377</v>
      </c>
      <c r="Q1115" s="28" t="s">
        <v>9910</v>
      </c>
      <c r="R1115" s="29">
        <v>944.15</v>
      </c>
      <c r="S1115" s="30">
        <f t="shared" si="5"/>
        <v>152952.29999999999</v>
      </c>
      <c r="T1115" s="21" t="s">
        <v>252</v>
      </c>
      <c r="U1115" s="24"/>
      <c r="V1115" s="30">
        <v>123900</v>
      </c>
      <c r="W1115" s="24" t="s">
        <v>71</v>
      </c>
      <c r="X1115" s="22"/>
      <c r="Y1115" s="31">
        <v>3212841</v>
      </c>
      <c r="Z1115" s="22"/>
      <c r="AA1115" s="22">
        <v>4671530</v>
      </c>
      <c r="AB1115" s="22"/>
      <c r="AC1115" s="24">
        <v>5511784</v>
      </c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4"/>
    </row>
    <row r="1116" spans="1:46" ht="45" customHeight="1">
      <c r="A1116" s="21" t="s">
        <v>9911</v>
      </c>
      <c r="B1116" s="22" t="s">
        <v>9912</v>
      </c>
      <c r="C1116" s="23" t="s">
        <v>9913</v>
      </c>
      <c r="D1116" s="24" t="s">
        <v>9914</v>
      </c>
      <c r="E1116" s="24" t="s">
        <v>9915</v>
      </c>
      <c r="F1116" s="24" t="s">
        <v>9915</v>
      </c>
      <c r="G1116" s="24" t="s">
        <v>9916</v>
      </c>
      <c r="H1116" s="24"/>
      <c r="I1116" s="24" t="s">
        <v>80</v>
      </c>
      <c r="J1116" s="24" t="s">
        <v>9916</v>
      </c>
      <c r="K1116" s="24"/>
      <c r="L1116" s="24" t="s">
        <v>80</v>
      </c>
      <c r="M1116" s="209" t="s">
        <v>9917</v>
      </c>
      <c r="N1116" s="22" t="s">
        <v>9918</v>
      </c>
      <c r="O1116" s="22"/>
      <c r="P1116" s="24" t="s">
        <v>9208</v>
      </c>
      <c r="Q1116" s="28" t="s">
        <v>9919</v>
      </c>
      <c r="R1116" s="29">
        <v>2219.84</v>
      </c>
      <c r="S1116" s="30">
        <f t="shared" si="5"/>
        <v>359614.08</v>
      </c>
      <c r="T1116" s="21" t="s">
        <v>96</v>
      </c>
      <c r="U1116" s="24"/>
      <c r="V1116" s="30">
        <v>368160</v>
      </c>
      <c r="W1116" s="45" t="s">
        <v>71</v>
      </c>
      <c r="X1116" s="22"/>
      <c r="Y1116" s="31">
        <v>3217255</v>
      </c>
      <c r="Z1116" s="22">
        <v>3899722</v>
      </c>
      <c r="AA1116" s="22"/>
      <c r="AB1116" s="22"/>
      <c r="AC1116" s="45">
        <v>5637433</v>
      </c>
      <c r="AD1116" s="24"/>
      <c r="AE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P1116" s="24"/>
      <c r="AQ1116" s="24"/>
      <c r="AR1116" s="24"/>
      <c r="AS1116" s="24"/>
      <c r="AT1116" s="24"/>
    </row>
    <row r="1117" spans="1:46" ht="45" customHeight="1">
      <c r="A1117" s="50" t="s">
        <v>9920</v>
      </c>
      <c r="B1117" s="51" t="s">
        <v>9921</v>
      </c>
      <c r="C1117" s="52" t="s">
        <v>9922</v>
      </c>
      <c r="D1117" s="53" t="s">
        <v>9923</v>
      </c>
      <c r="E1117" s="53" t="s">
        <v>9924</v>
      </c>
      <c r="F1117" s="53" t="s">
        <v>9924</v>
      </c>
      <c r="G1117" s="53" t="s">
        <v>9925</v>
      </c>
      <c r="H1117" s="53" t="s">
        <v>1078</v>
      </c>
      <c r="I1117" s="53" t="s">
        <v>149</v>
      </c>
      <c r="J1117" s="53" t="s">
        <v>9926</v>
      </c>
      <c r="K1117" s="53"/>
      <c r="L1117" s="53" t="s">
        <v>149</v>
      </c>
      <c r="M1117" s="210" t="s">
        <v>9927</v>
      </c>
      <c r="N1117" s="211" t="s">
        <v>9928</v>
      </c>
      <c r="O1117" s="51"/>
      <c r="P1117" s="53" t="s">
        <v>8377</v>
      </c>
      <c r="Q1117" s="55" t="s">
        <v>9929</v>
      </c>
      <c r="R1117" s="56">
        <v>481.96</v>
      </c>
      <c r="S1117" s="57">
        <f t="shared" si="5"/>
        <v>78077.51999999999</v>
      </c>
      <c r="T1117" s="50" t="s">
        <v>46</v>
      </c>
      <c r="U1117" s="53"/>
      <c r="V1117" s="57">
        <v>44610</v>
      </c>
      <c r="W1117" s="53"/>
      <c r="X1117" s="51"/>
      <c r="Y1117" s="58">
        <v>3225824</v>
      </c>
      <c r="Z1117" s="51">
        <v>3903819</v>
      </c>
      <c r="AA1117" s="51"/>
      <c r="AB1117" s="51"/>
      <c r="AC1117" s="53"/>
      <c r="AD1117" s="53"/>
      <c r="AE1117" s="53"/>
      <c r="AF1117" s="53"/>
      <c r="AG1117" s="53"/>
      <c r="AH1117" s="53"/>
      <c r="AI1117" s="53"/>
      <c r="AJ1117" s="53"/>
      <c r="AK1117" s="53"/>
      <c r="AL1117" s="53"/>
      <c r="AM1117" s="53"/>
      <c r="AN1117" s="53"/>
      <c r="AO1117" s="53"/>
      <c r="AP1117" s="53"/>
      <c r="AQ1117" s="53"/>
      <c r="AR1117" s="53"/>
      <c r="AS1117" s="53"/>
      <c r="AT1117" s="53"/>
    </row>
    <row r="1118" spans="1:46" ht="45" customHeight="1">
      <c r="A1118" s="12" t="s">
        <v>9930</v>
      </c>
      <c r="B1118" s="13" t="s">
        <v>9931</v>
      </c>
      <c r="C1118" s="14" t="s">
        <v>1413</v>
      </c>
      <c r="D1118" s="15" t="s">
        <v>1414</v>
      </c>
      <c r="E1118" s="15" t="s">
        <v>9932</v>
      </c>
      <c r="F1118" s="15" t="s">
        <v>9932</v>
      </c>
      <c r="G1118" s="15" t="s">
        <v>9933</v>
      </c>
      <c r="H1118" s="15" t="s">
        <v>1078</v>
      </c>
      <c r="I1118" s="15" t="s">
        <v>149</v>
      </c>
      <c r="J1118" s="15" t="s">
        <v>9934</v>
      </c>
      <c r="K1118" s="15"/>
      <c r="L1118" s="15" t="s">
        <v>115</v>
      </c>
      <c r="M1118" s="199" t="s">
        <v>9935</v>
      </c>
      <c r="N1118" s="94" t="s">
        <v>9936</v>
      </c>
      <c r="O1118" s="13"/>
      <c r="P1118" s="15" t="s">
        <v>8377</v>
      </c>
      <c r="Q1118" s="17" t="s">
        <v>9937</v>
      </c>
      <c r="R1118" s="18">
        <v>43.32</v>
      </c>
      <c r="S1118" s="19">
        <f t="shared" si="5"/>
        <v>7017.84</v>
      </c>
      <c r="T1118" s="12" t="s">
        <v>46</v>
      </c>
      <c r="U1118" s="15"/>
      <c r="V1118" s="19">
        <v>44610</v>
      </c>
      <c r="W1118" s="15"/>
      <c r="X1118" s="13"/>
      <c r="Y1118" s="20">
        <v>3225946</v>
      </c>
      <c r="Z1118" s="13">
        <v>3903823</v>
      </c>
      <c r="AA1118" s="13">
        <v>4745711</v>
      </c>
      <c r="AB1118" s="13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</row>
    <row r="1119" spans="1:46" ht="45" customHeight="1">
      <c r="A1119" s="12" t="s">
        <v>9938</v>
      </c>
      <c r="B1119" s="13" t="s">
        <v>9939</v>
      </c>
      <c r="C1119" s="66" t="s">
        <v>9940</v>
      </c>
      <c r="D1119" s="15" t="s">
        <v>9941</v>
      </c>
      <c r="E1119" s="15" t="s">
        <v>9942</v>
      </c>
      <c r="F1119" s="15" t="s">
        <v>9942</v>
      </c>
      <c r="G1119" s="15" t="s">
        <v>9933</v>
      </c>
      <c r="H1119" s="15"/>
      <c r="I1119" s="15" t="s">
        <v>149</v>
      </c>
      <c r="J1119" s="15" t="s">
        <v>9943</v>
      </c>
      <c r="K1119" s="15"/>
      <c r="L1119" s="15" t="s">
        <v>115</v>
      </c>
      <c r="M1119" s="199" t="s">
        <v>9944</v>
      </c>
      <c r="N1119" s="13" t="s">
        <v>9945</v>
      </c>
      <c r="O1119" s="13"/>
      <c r="P1119" s="15" t="s">
        <v>8377</v>
      </c>
      <c r="Q1119" s="17" t="s">
        <v>9946</v>
      </c>
      <c r="R1119" s="18">
        <v>365.33</v>
      </c>
      <c r="S1119" s="19">
        <f t="shared" si="5"/>
        <v>59183.46</v>
      </c>
      <c r="T1119" s="12" t="s">
        <v>46</v>
      </c>
      <c r="U1119" s="15"/>
      <c r="V1119" s="19">
        <v>44610</v>
      </c>
      <c r="W1119" s="15"/>
      <c r="X1119" s="13"/>
      <c r="Y1119" s="20">
        <v>3243234</v>
      </c>
      <c r="Z1119" s="13"/>
      <c r="AA1119" s="13"/>
      <c r="AB1119" s="13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</row>
    <row r="1120" spans="1:46" ht="45" customHeight="1">
      <c r="A1120" s="12" t="s">
        <v>9947</v>
      </c>
      <c r="B1120" s="13" t="s">
        <v>9948</v>
      </c>
      <c r="C1120" s="66" t="s">
        <v>1045</v>
      </c>
      <c r="D1120" s="15" t="s">
        <v>1046</v>
      </c>
      <c r="E1120" s="15" t="s">
        <v>9949</v>
      </c>
      <c r="F1120" s="15" t="s">
        <v>9949</v>
      </c>
      <c r="G1120" s="15" t="s">
        <v>9950</v>
      </c>
      <c r="H1120" s="15"/>
      <c r="I1120" s="15" t="s">
        <v>38</v>
      </c>
      <c r="J1120" s="15" t="s">
        <v>9950</v>
      </c>
      <c r="K1120" s="15"/>
      <c r="L1120" s="15" t="s">
        <v>38</v>
      </c>
      <c r="M1120" s="199" t="s">
        <v>9951</v>
      </c>
      <c r="N1120" s="94" t="s">
        <v>9952</v>
      </c>
      <c r="O1120" s="13"/>
      <c r="P1120" s="15" t="s">
        <v>8574</v>
      </c>
      <c r="Q1120" s="17" t="s">
        <v>9953</v>
      </c>
      <c r="R1120" s="18">
        <v>73.08</v>
      </c>
      <c r="S1120" s="19">
        <f t="shared" si="5"/>
        <v>11838.96</v>
      </c>
      <c r="T1120" s="12" t="s">
        <v>46</v>
      </c>
      <c r="U1120" s="15"/>
      <c r="V1120" s="19">
        <v>44610</v>
      </c>
      <c r="W1120" s="15"/>
      <c r="X1120" s="13"/>
      <c r="Y1120" s="20">
        <v>3189784</v>
      </c>
      <c r="Z1120" s="13"/>
      <c r="AA1120" s="13"/>
      <c r="AB1120" s="13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</row>
    <row r="1121" spans="1:46" ht="45" customHeight="1">
      <c r="A1121" s="12" t="s">
        <v>9954</v>
      </c>
      <c r="B1121" s="13" t="s">
        <v>9955</v>
      </c>
      <c r="C1121" s="139" t="s">
        <v>9956</v>
      </c>
      <c r="D1121" s="15" t="s">
        <v>9957</v>
      </c>
      <c r="E1121" s="15" t="s">
        <v>9958</v>
      </c>
      <c r="F1121" s="15" t="s">
        <v>9958</v>
      </c>
      <c r="G1121" s="15" t="s">
        <v>9959</v>
      </c>
      <c r="H1121" s="15" t="s">
        <v>2863</v>
      </c>
      <c r="I1121" s="15" t="s">
        <v>80</v>
      </c>
      <c r="J1121" s="15" t="s">
        <v>9959</v>
      </c>
      <c r="K1121" s="15" t="s">
        <v>2863</v>
      </c>
      <c r="L1121" s="15" t="s">
        <v>80</v>
      </c>
      <c r="M1121" s="16" t="s">
        <v>9960</v>
      </c>
      <c r="N1121" s="94" t="s">
        <v>9961</v>
      </c>
      <c r="O1121" s="13"/>
      <c r="P1121" s="15" t="s">
        <v>8377</v>
      </c>
      <c r="Q1121" s="17" t="s">
        <v>9962</v>
      </c>
      <c r="R1121" s="18">
        <v>53.19</v>
      </c>
      <c r="S1121" s="19">
        <f t="shared" si="5"/>
        <v>8616.7799999999988</v>
      </c>
      <c r="T1121" s="12" t="s">
        <v>46</v>
      </c>
      <c r="U1121" s="15"/>
      <c r="V1121" s="19">
        <v>44610</v>
      </c>
      <c r="W1121" s="15" t="s">
        <v>71</v>
      </c>
      <c r="X1121" s="13"/>
      <c r="Y1121" s="20">
        <v>3255014</v>
      </c>
      <c r="Z1121" s="13"/>
      <c r="AA1121" s="13"/>
      <c r="AB1121" s="13">
        <v>4836555</v>
      </c>
      <c r="AC1121" s="15">
        <v>5612579</v>
      </c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</row>
    <row r="1122" spans="1:46" ht="45" customHeight="1">
      <c r="A1122" s="50" t="s">
        <v>9963</v>
      </c>
      <c r="B1122" s="51" t="s">
        <v>9964</v>
      </c>
      <c r="C1122" s="52" t="s">
        <v>9965</v>
      </c>
      <c r="D1122" s="53" t="s">
        <v>9966</v>
      </c>
      <c r="E1122" s="53" t="s">
        <v>8273</v>
      </c>
      <c r="F1122" s="53" t="s">
        <v>8273</v>
      </c>
      <c r="G1122" s="53" t="s">
        <v>9967</v>
      </c>
      <c r="H1122" s="53" t="s">
        <v>41</v>
      </c>
      <c r="I1122" s="53" t="s">
        <v>53</v>
      </c>
      <c r="J1122" s="53" t="s">
        <v>9967</v>
      </c>
      <c r="K1122" s="53" t="s">
        <v>41</v>
      </c>
      <c r="L1122" s="53" t="s">
        <v>53</v>
      </c>
      <c r="M1122" s="202" t="s">
        <v>9968</v>
      </c>
      <c r="N1122" s="51"/>
      <c r="O1122" s="51"/>
      <c r="P1122" s="53" t="s">
        <v>8377</v>
      </c>
      <c r="Q1122" s="55" t="s">
        <v>9969</v>
      </c>
      <c r="R1122" s="56">
        <v>80.28</v>
      </c>
      <c r="S1122" s="57">
        <f t="shared" si="5"/>
        <v>13005.36</v>
      </c>
      <c r="T1122" s="50" t="s">
        <v>46</v>
      </c>
      <c r="U1122" s="53"/>
      <c r="V1122" s="57">
        <v>44610</v>
      </c>
      <c r="W1122" s="53"/>
      <c r="X1122" s="51"/>
      <c r="Y1122" s="58" t="s">
        <v>9970</v>
      </c>
      <c r="Z1122" s="51"/>
      <c r="AA1122" s="51"/>
      <c r="AB1122" s="51"/>
      <c r="AC1122" s="53"/>
      <c r="AD1122" s="53"/>
      <c r="AE1122" s="53"/>
      <c r="AF1122" s="53"/>
      <c r="AG1122" s="53"/>
      <c r="AH1122" s="53"/>
      <c r="AI1122" s="53"/>
      <c r="AJ1122" s="53"/>
      <c r="AK1122" s="53"/>
      <c r="AL1122" s="53"/>
      <c r="AM1122" s="53"/>
      <c r="AN1122" s="53"/>
      <c r="AO1122" s="53"/>
      <c r="AP1122" s="53"/>
      <c r="AQ1122" s="53"/>
      <c r="AR1122" s="53"/>
      <c r="AS1122" s="53"/>
      <c r="AT1122" s="53"/>
    </row>
    <row r="1123" spans="1:46" ht="45" customHeight="1">
      <c r="A1123" s="12" t="s">
        <v>9971</v>
      </c>
      <c r="B1123" s="13" t="s">
        <v>9972</v>
      </c>
      <c r="C1123" s="14" t="s">
        <v>9973</v>
      </c>
      <c r="D1123" s="15" t="s">
        <v>9974</v>
      </c>
      <c r="E1123" s="15" t="s">
        <v>9975</v>
      </c>
      <c r="F1123" s="15" t="s">
        <v>9975</v>
      </c>
      <c r="G1123" s="15" t="s">
        <v>9976</v>
      </c>
      <c r="H1123" s="15" t="s">
        <v>2652</v>
      </c>
      <c r="I1123" s="15" t="s">
        <v>53</v>
      </c>
      <c r="J1123" s="15" t="s">
        <v>9977</v>
      </c>
      <c r="K1123" s="15"/>
      <c r="L1123" s="15" t="s">
        <v>41</v>
      </c>
      <c r="M1123" s="201" t="s">
        <v>3283</v>
      </c>
      <c r="N1123" s="94" t="s">
        <v>9978</v>
      </c>
      <c r="O1123" s="13"/>
      <c r="P1123" s="15" t="s">
        <v>1381</v>
      </c>
      <c r="Q1123" s="17" t="s">
        <v>9979</v>
      </c>
      <c r="R1123" s="18">
        <v>43.197000000000003</v>
      </c>
      <c r="S1123" s="19">
        <f t="shared" si="5"/>
        <v>6997.9140000000007</v>
      </c>
      <c r="T1123" s="12" t="s">
        <v>46</v>
      </c>
      <c r="U1123" s="15"/>
      <c r="V1123" s="19">
        <v>44610</v>
      </c>
      <c r="W1123" s="15" t="s">
        <v>47</v>
      </c>
      <c r="X1123" s="13"/>
      <c r="Y1123" s="20">
        <v>3292028</v>
      </c>
      <c r="Z1123" s="13">
        <v>3869674</v>
      </c>
      <c r="AA1123" s="13">
        <v>4668990</v>
      </c>
      <c r="AB1123" s="13"/>
      <c r="AC1123" s="15">
        <v>5528211</v>
      </c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</row>
    <row r="1124" spans="1:46" ht="45" customHeight="1">
      <c r="A1124" s="12" t="s">
        <v>9980</v>
      </c>
      <c r="B1124" s="13" t="s">
        <v>9981</v>
      </c>
      <c r="C1124" s="14" t="s">
        <v>9982</v>
      </c>
      <c r="D1124" s="15" t="s">
        <v>9983</v>
      </c>
      <c r="E1124" s="15" t="s">
        <v>8304</v>
      </c>
      <c r="F1124" s="15" t="s">
        <v>8304</v>
      </c>
      <c r="G1124" s="15" t="s">
        <v>9984</v>
      </c>
      <c r="H1124" s="15" t="s">
        <v>490</v>
      </c>
      <c r="I1124" s="15" t="s">
        <v>115</v>
      </c>
      <c r="J1124" s="15" t="s">
        <v>9984</v>
      </c>
      <c r="K1124" s="15" t="s">
        <v>490</v>
      </c>
      <c r="L1124" s="15" t="s">
        <v>115</v>
      </c>
      <c r="M1124" s="15" t="s">
        <v>9985</v>
      </c>
      <c r="N1124" s="13" t="s">
        <v>9986</v>
      </c>
      <c r="O1124" s="13"/>
      <c r="P1124" s="15" t="s">
        <v>94</v>
      </c>
      <c r="Q1124" s="17" t="s">
        <v>9987</v>
      </c>
      <c r="R1124" s="18">
        <v>52.1</v>
      </c>
      <c r="S1124" s="19">
        <f t="shared" si="5"/>
        <v>8440.2000000000007</v>
      </c>
      <c r="T1124" s="12" t="s">
        <v>46</v>
      </c>
      <c r="U1124" s="15"/>
      <c r="V1124" s="19">
        <v>44610</v>
      </c>
      <c r="W1124" s="15" t="s">
        <v>47</v>
      </c>
      <c r="X1124" s="13"/>
      <c r="Y1124" s="20">
        <v>3291758</v>
      </c>
      <c r="Z1124" s="13"/>
      <c r="AA1124" s="13"/>
      <c r="AB1124" s="13">
        <v>4839733</v>
      </c>
      <c r="AC1124" s="15">
        <v>5532823</v>
      </c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</row>
    <row r="1125" spans="1:46" ht="45" customHeight="1">
      <c r="A1125" s="79" t="s">
        <v>9988</v>
      </c>
      <c r="B1125" s="80" t="s">
        <v>9989</v>
      </c>
      <c r="C1125" s="81" t="s">
        <v>9990</v>
      </c>
      <c r="D1125" s="82" t="s">
        <v>9991</v>
      </c>
      <c r="E1125" s="82" t="s">
        <v>9992</v>
      </c>
      <c r="F1125" s="82" t="s">
        <v>9992</v>
      </c>
      <c r="G1125" s="82" t="s">
        <v>9993</v>
      </c>
      <c r="H1125" s="82"/>
      <c r="I1125" s="82" t="s">
        <v>53</v>
      </c>
      <c r="J1125" s="82" t="s">
        <v>9993</v>
      </c>
      <c r="K1125" s="82"/>
      <c r="L1125" s="82" t="s">
        <v>53</v>
      </c>
      <c r="M1125" s="82" t="s">
        <v>9994</v>
      </c>
      <c r="N1125" s="80" t="s">
        <v>9995</v>
      </c>
      <c r="O1125" s="80"/>
      <c r="P1125" s="82" t="s">
        <v>9996</v>
      </c>
      <c r="Q1125" s="84" t="s">
        <v>9997</v>
      </c>
      <c r="R1125" s="85" t="s">
        <v>770</v>
      </c>
      <c r="S1125" s="86" t="e">
        <f t="shared" si="5"/>
        <v>#VALUE!</v>
      </c>
      <c r="T1125" s="87" t="s">
        <v>770</v>
      </c>
      <c r="U1125" s="82"/>
      <c r="V1125" s="86">
        <v>0</v>
      </c>
      <c r="W1125" s="82" t="s">
        <v>71</v>
      </c>
      <c r="X1125" s="80"/>
      <c r="Y1125" s="88">
        <v>3288551</v>
      </c>
      <c r="Z1125" s="80"/>
      <c r="AA1125" s="80">
        <v>4757712</v>
      </c>
      <c r="AB1125" s="80"/>
      <c r="AC1125" s="82">
        <v>5599037</v>
      </c>
      <c r="AD1125" s="82"/>
      <c r="AE1125" s="82"/>
      <c r="AF1125" s="82"/>
      <c r="AG1125" s="82"/>
      <c r="AH1125" s="82"/>
      <c r="AI1125" s="82"/>
      <c r="AJ1125" s="82"/>
      <c r="AK1125" s="82"/>
      <c r="AL1125" s="82"/>
      <c r="AM1125" s="82"/>
      <c r="AN1125" s="82"/>
      <c r="AO1125" s="82"/>
      <c r="AP1125" s="82"/>
      <c r="AQ1125" s="82"/>
      <c r="AR1125" s="82"/>
      <c r="AS1125" s="82"/>
      <c r="AT1125" s="82"/>
    </row>
    <row r="1126" spans="1:46" ht="45" customHeight="1">
      <c r="A1126" s="12" t="s">
        <v>9998</v>
      </c>
      <c r="B1126" s="13" t="s">
        <v>9999</v>
      </c>
      <c r="C1126" s="14" t="s">
        <v>10000</v>
      </c>
      <c r="D1126" s="15" t="s">
        <v>10001</v>
      </c>
      <c r="E1126" s="15" t="s">
        <v>10002</v>
      </c>
      <c r="F1126" s="15" t="s">
        <v>10002</v>
      </c>
      <c r="G1126" s="15" t="s">
        <v>10003</v>
      </c>
      <c r="H1126" s="15" t="s">
        <v>6345</v>
      </c>
      <c r="I1126" s="15" t="s">
        <v>149</v>
      </c>
      <c r="J1126" s="15" t="s">
        <v>10003</v>
      </c>
      <c r="K1126" s="15" t="s">
        <v>6345</v>
      </c>
      <c r="L1126" s="15" t="s">
        <v>149</v>
      </c>
      <c r="M1126" s="145" t="s">
        <v>10004</v>
      </c>
      <c r="N1126" s="13">
        <v>2615921246</v>
      </c>
      <c r="O1126" s="13"/>
      <c r="P1126" s="15" t="s">
        <v>44</v>
      </c>
      <c r="Q1126" s="17" t="s">
        <v>10005</v>
      </c>
      <c r="R1126" s="18">
        <v>23.43</v>
      </c>
      <c r="S1126" s="19">
        <f t="shared" si="5"/>
        <v>3795.66</v>
      </c>
      <c r="T1126" s="12" t="s">
        <v>46</v>
      </c>
      <c r="U1126" s="15"/>
      <c r="V1126" s="19">
        <v>44610</v>
      </c>
      <c r="W1126" s="15" t="s">
        <v>47</v>
      </c>
      <c r="X1126" s="13"/>
      <c r="Y1126" s="20">
        <v>3285165</v>
      </c>
      <c r="Z1126" s="13">
        <v>3796218</v>
      </c>
      <c r="AA1126" s="13">
        <v>4633658</v>
      </c>
      <c r="AB1126" s="13"/>
      <c r="AC1126" s="15">
        <v>5511777</v>
      </c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</row>
    <row r="1127" spans="1:46" ht="45" customHeight="1">
      <c r="A1127" s="182" t="s">
        <v>10006</v>
      </c>
      <c r="B1127" s="178" t="s">
        <v>10007</v>
      </c>
      <c r="C1127" s="212" t="s">
        <v>10008</v>
      </c>
      <c r="D1127" s="180"/>
      <c r="E1127" s="180"/>
      <c r="F1127" s="180"/>
      <c r="G1127" s="180"/>
      <c r="H1127" s="180"/>
      <c r="I1127" s="180"/>
      <c r="J1127" s="180"/>
      <c r="K1127" s="180"/>
      <c r="L1127" s="180"/>
      <c r="M1127" s="180"/>
      <c r="N1127" s="178"/>
      <c r="O1127" s="178"/>
      <c r="P1127" s="180"/>
      <c r="Q1127" s="213"/>
      <c r="R1127" s="183"/>
      <c r="S1127" s="214">
        <f t="shared" si="5"/>
        <v>0</v>
      </c>
      <c r="T1127" s="182"/>
      <c r="U1127" s="180"/>
      <c r="V1127" s="214"/>
      <c r="W1127" s="180"/>
      <c r="X1127" s="178"/>
      <c r="Y1127" s="187"/>
      <c r="Z1127" s="178"/>
      <c r="AA1127" s="178"/>
      <c r="AB1127" s="178"/>
      <c r="AC1127" s="180"/>
      <c r="AD1127" s="180"/>
      <c r="AE1127" s="180"/>
      <c r="AF1127" s="180"/>
      <c r="AG1127" s="180"/>
      <c r="AH1127" s="180"/>
      <c r="AI1127" s="180"/>
      <c r="AJ1127" s="180"/>
      <c r="AK1127" s="180"/>
      <c r="AL1127" s="180"/>
      <c r="AM1127" s="180"/>
      <c r="AN1127" s="180"/>
      <c r="AO1127" s="180"/>
      <c r="AP1127" s="180"/>
      <c r="AQ1127" s="180"/>
      <c r="AR1127" s="180"/>
      <c r="AS1127" s="180"/>
      <c r="AT1127" s="180"/>
    </row>
    <row r="1128" spans="1:46" ht="45" customHeight="1">
      <c r="A1128" s="12" t="s">
        <v>10009</v>
      </c>
      <c r="B1128" s="13" t="s">
        <v>10010</v>
      </c>
      <c r="C1128" s="14" t="s">
        <v>10011</v>
      </c>
      <c r="D1128" s="15" t="s">
        <v>10012</v>
      </c>
      <c r="E1128" s="15" t="s">
        <v>10013</v>
      </c>
      <c r="F1128" s="15" t="s">
        <v>10013</v>
      </c>
      <c r="G1128" s="15" t="s">
        <v>10014</v>
      </c>
      <c r="H1128" s="15"/>
      <c r="I1128" s="15" t="s">
        <v>38</v>
      </c>
      <c r="J1128" s="15" t="s">
        <v>10014</v>
      </c>
      <c r="K1128" s="15"/>
      <c r="L1128" s="15" t="s">
        <v>38</v>
      </c>
      <c r="M1128" s="199" t="s">
        <v>10015</v>
      </c>
      <c r="N1128" s="13" t="s">
        <v>10016</v>
      </c>
      <c r="O1128" s="13"/>
      <c r="P1128" s="15" t="s">
        <v>94</v>
      </c>
      <c r="Q1128" s="17" t="s">
        <v>10017</v>
      </c>
      <c r="R1128" s="18">
        <v>116.24</v>
      </c>
      <c r="S1128" s="19">
        <f t="shared" si="5"/>
        <v>18830.879999999997</v>
      </c>
      <c r="T1128" s="12" t="s">
        <v>46</v>
      </c>
      <c r="U1128" s="15"/>
      <c r="V1128" s="19">
        <v>44610</v>
      </c>
      <c r="W1128" s="49" t="s">
        <v>71</v>
      </c>
      <c r="X1128" s="13"/>
      <c r="Y1128" s="20">
        <v>3276262</v>
      </c>
      <c r="Z1128" s="13"/>
      <c r="AA1128" s="13">
        <v>4621730</v>
      </c>
      <c r="AB1128" s="13"/>
      <c r="AC1128" s="49">
        <v>5635591</v>
      </c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</row>
    <row r="1129" spans="1:46" ht="45" customHeight="1">
      <c r="A1129" s="12" t="s">
        <v>10018</v>
      </c>
      <c r="B1129" s="13" t="s">
        <v>10019</v>
      </c>
      <c r="C1129" s="14" t="s">
        <v>10020</v>
      </c>
      <c r="D1129" s="15" t="s">
        <v>10021</v>
      </c>
      <c r="E1129" s="15" t="s">
        <v>10022</v>
      </c>
      <c r="F1129" s="15" t="s">
        <v>10022</v>
      </c>
      <c r="G1129" s="15" t="s">
        <v>10023</v>
      </c>
      <c r="H1129" s="15" t="s">
        <v>2652</v>
      </c>
      <c r="I1129" s="15" t="s">
        <v>53</v>
      </c>
      <c r="J1129" s="15" t="s">
        <v>10024</v>
      </c>
      <c r="K1129" s="15"/>
      <c r="L1129" s="15" t="s">
        <v>41</v>
      </c>
      <c r="M1129" s="199" t="s">
        <v>10025</v>
      </c>
      <c r="N1129" s="13" t="s">
        <v>10026</v>
      </c>
      <c r="O1129" s="13"/>
      <c r="P1129" s="15" t="s">
        <v>94</v>
      </c>
      <c r="Q1129" s="17" t="s">
        <v>10027</v>
      </c>
      <c r="R1129" s="18">
        <v>77.760000000000005</v>
      </c>
      <c r="S1129" s="19">
        <f t="shared" si="5"/>
        <v>12597.12</v>
      </c>
      <c r="T1129" s="12" t="s">
        <v>46</v>
      </c>
      <c r="U1129" s="15"/>
      <c r="V1129" s="19">
        <v>44610</v>
      </c>
      <c r="W1129" s="49" t="s">
        <v>71</v>
      </c>
      <c r="X1129" s="13"/>
      <c r="Y1129" s="20">
        <v>3275344</v>
      </c>
      <c r="Z1129" s="13"/>
      <c r="AA1129" s="13">
        <v>4718801</v>
      </c>
      <c r="AB1129" s="13"/>
      <c r="AC1129" s="49">
        <v>5634532</v>
      </c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</row>
    <row r="1130" spans="1:46" ht="45" customHeight="1">
      <c r="A1130" s="12" t="s">
        <v>10028</v>
      </c>
      <c r="B1130" s="13" t="s">
        <v>10029</v>
      </c>
      <c r="C1130" s="14" t="s">
        <v>10030</v>
      </c>
      <c r="D1130" s="15" t="s">
        <v>10031</v>
      </c>
      <c r="E1130" s="15" t="s">
        <v>10032</v>
      </c>
      <c r="F1130" s="15" t="s">
        <v>10032</v>
      </c>
      <c r="G1130" s="15" t="s">
        <v>10033</v>
      </c>
      <c r="H1130" s="15" t="s">
        <v>8765</v>
      </c>
      <c r="I1130" s="15" t="s">
        <v>115</v>
      </c>
      <c r="J1130" s="15" t="s">
        <v>10034</v>
      </c>
      <c r="K1130" s="15"/>
      <c r="L1130" s="15" t="s">
        <v>65</v>
      </c>
      <c r="M1130" s="199" t="s">
        <v>10035</v>
      </c>
      <c r="N1130" s="13" t="s">
        <v>10036</v>
      </c>
      <c r="O1130" s="13"/>
      <c r="P1130" s="49" t="s">
        <v>10037</v>
      </c>
      <c r="Q1130" s="17" t="s">
        <v>10038</v>
      </c>
      <c r="R1130" s="18">
        <v>152.33000000000001</v>
      </c>
      <c r="S1130" s="19">
        <f t="shared" si="5"/>
        <v>24677.460000000003</v>
      </c>
      <c r="T1130" s="12" t="s">
        <v>46</v>
      </c>
      <c r="U1130" s="15"/>
      <c r="V1130" s="19">
        <v>44610</v>
      </c>
      <c r="W1130" s="49" t="s">
        <v>71</v>
      </c>
      <c r="X1130" s="13"/>
      <c r="Y1130" s="20">
        <v>3300107</v>
      </c>
      <c r="Z1130" s="13">
        <v>3860154</v>
      </c>
      <c r="AA1130" s="13">
        <v>4757907</v>
      </c>
      <c r="AB1130" s="13"/>
      <c r="AC1130" s="49">
        <v>5626622</v>
      </c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</row>
    <row r="1131" spans="1:46" ht="45" customHeight="1">
      <c r="A1131" s="12" t="s">
        <v>10039</v>
      </c>
      <c r="B1131" s="13" t="s">
        <v>10040</v>
      </c>
      <c r="C1131" s="66" t="s">
        <v>10041</v>
      </c>
      <c r="D1131" s="15" t="s">
        <v>10042</v>
      </c>
      <c r="E1131" s="15" t="s">
        <v>10043</v>
      </c>
      <c r="F1131" s="15" t="s">
        <v>10043</v>
      </c>
      <c r="G1131" s="15" t="s">
        <v>10044</v>
      </c>
      <c r="H1131" s="15"/>
      <c r="I1131" s="15" t="s">
        <v>80</v>
      </c>
      <c r="J1131" s="15" t="s">
        <v>10044</v>
      </c>
      <c r="K1131" s="15"/>
      <c r="L1131" s="15" t="s">
        <v>80</v>
      </c>
      <c r="M1131" s="199" t="s">
        <v>10045</v>
      </c>
      <c r="N1131" s="94">
        <v>2617003006</v>
      </c>
      <c r="O1131" s="13"/>
      <c r="P1131" s="15" t="s">
        <v>8574</v>
      </c>
      <c r="Q1131" s="17" t="s">
        <v>10046</v>
      </c>
      <c r="R1131" s="18">
        <v>56.79</v>
      </c>
      <c r="S1131" s="19">
        <f t="shared" si="5"/>
        <v>9199.98</v>
      </c>
      <c r="T1131" s="12" t="s">
        <v>46</v>
      </c>
      <c r="U1131" s="15"/>
      <c r="V1131" s="19">
        <v>44610</v>
      </c>
      <c r="W1131" s="15"/>
      <c r="X1131" s="13"/>
      <c r="Y1131" s="20">
        <v>3300518</v>
      </c>
      <c r="Z1131" s="13"/>
      <c r="AA1131" s="13"/>
      <c r="AB1131" s="13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</row>
    <row r="1132" spans="1:46" ht="45" customHeight="1">
      <c r="A1132" s="21" t="s">
        <v>10047</v>
      </c>
      <c r="B1132" s="22" t="s">
        <v>10048</v>
      </c>
      <c r="C1132" s="23" t="s">
        <v>10049</v>
      </c>
      <c r="D1132" s="24" t="s">
        <v>10050</v>
      </c>
      <c r="E1132" s="24" t="s">
        <v>9335</v>
      </c>
      <c r="F1132" s="24" t="s">
        <v>9335</v>
      </c>
      <c r="G1132" s="24" t="s">
        <v>10051</v>
      </c>
      <c r="H1132" s="24" t="s">
        <v>52</v>
      </c>
      <c r="I1132" s="24" t="s">
        <v>53</v>
      </c>
      <c r="J1132" s="24" t="s">
        <v>10052</v>
      </c>
      <c r="K1132" s="24" t="s">
        <v>9339</v>
      </c>
      <c r="L1132" s="24" t="s">
        <v>8505</v>
      </c>
      <c r="M1132" s="205" t="s">
        <v>10053</v>
      </c>
      <c r="N1132" s="22" t="s">
        <v>9341</v>
      </c>
      <c r="O1132" s="22"/>
      <c r="P1132" s="24" t="s">
        <v>10054</v>
      </c>
      <c r="Q1132" s="28" t="s">
        <v>10055</v>
      </c>
      <c r="R1132" s="29">
        <v>929.45</v>
      </c>
      <c r="S1132" s="30">
        <f t="shared" si="5"/>
        <v>150570.9</v>
      </c>
      <c r="T1132" s="21" t="s">
        <v>252</v>
      </c>
      <c r="U1132" s="24"/>
      <c r="V1132" s="30">
        <v>123900</v>
      </c>
      <c r="W1132" s="24" t="s">
        <v>71</v>
      </c>
      <c r="X1132" s="22"/>
      <c r="Y1132" s="31">
        <v>3311790</v>
      </c>
      <c r="Z1132" s="22">
        <v>3851375</v>
      </c>
      <c r="AA1132" s="22">
        <v>4713191</v>
      </c>
      <c r="AB1132" s="22"/>
      <c r="AC1132" s="24">
        <v>5605166</v>
      </c>
      <c r="AD1132" s="24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P1132" s="24"/>
      <c r="AQ1132" s="24"/>
      <c r="AR1132" s="24"/>
      <c r="AS1132" s="24"/>
      <c r="AT1132" s="24"/>
    </row>
    <row r="1133" spans="1:46" ht="45" customHeight="1">
      <c r="A1133" s="21" t="s">
        <v>10056</v>
      </c>
      <c r="B1133" s="22" t="s">
        <v>10057</v>
      </c>
      <c r="C1133" s="23" t="s">
        <v>10058</v>
      </c>
      <c r="D1133" s="24" t="s">
        <v>7058</v>
      </c>
      <c r="E1133" s="24" t="s">
        <v>9099</v>
      </c>
      <c r="F1133" s="24" t="s">
        <v>9099</v>
      </c>
      <c r="G1133" s="24" t="s">
        <v>10059</v>
      </c>
      <c r="H1133" s="24" t="s">
        <v>52</v>
      </c>
      <c r="I1133" s="24" t="s">
        <v>53</v>
      </c>
      <c r="J1133" s="24" t="s">
        <v>10060</v>
      </c>
      <c r="K1133" s="24"/>
      <c r="L1133" s="24" t="s">
        <v>7704</v>
      </c>
      <c r="M1133" s="205" t="s">
        <v>9102</v>
      </c>
      <c r="N1133" s="22" t="s">
        <v>10061</v>
      </c>
      <c r="O1133" s="22"/>
      <c r="P1133" s="24" t="s">
        <v>8377</v>
      </c>
      <c r="Q1133" s="28" t="s">
        <v>10062</v>
      </c>
      <c r="R1133" s="29">
        <v>981.74</v>
      </c>
      <c r="S1133" s="30">
        <f t="shared" si="5"/>
        <v>159041.88</v>
      </c>
      <c r="T1133" s="21" t="s">
        <v>252</v>
      </c>
      <c r="U1133" s="24"/>
      <c r="V1133" s="30">
        <v>123900</v>
      </c>
      <c r="W1133" s="24"/>
      <c r="X1133" s="22"/>
      <c r="Y1133" s="31">
        <v>3311981</v>
      </c>
      <c r="Z1133" s="22">
        <v>3902934</v>
      </c>
      <c r="AA1133" s="22">
        <v>4719989</v>
      </c>
      <c r="AB1133" s="22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24"/>
      <c r="AS1133" s="24"/>
      <c r="AT1133" s="24"/>
    </row>
    <row r="1134" spans="1:46" ht="45" customHeight="1">
      <c r="A1134" s="50" t="s">
        <v>10063</v>
      </c>
      <c r="B1134" s="51" t="s">
        <v>10064</v>
      </c>
      <c r="C1134" s="95" t="s">
        <v>10065</v>
      </c>
      <c r="D1134" s="53" t="s">
        <v>10066</v>
      </c>
      <c r="E1134" s="53" t="s">
        <v>10067</v>
      </c>
      <c r="F1134" s="53" t="s">
        <v>10067</v>
      </c>
      <c r="G1134" s="53" t="s">
        <v>10068</v>
      </c>
      <c r="H1134" s="53" t="s">
        <v>2863</v>
      </c>
      <c r="I1134" s="53" t="s">
        <v>80</v>
      </c>
      <c r="J1134" s="53" t="s">
        <v>10069</v>
      </c>
      <c r="K1134" s="53"/>
      <c r="L1134" s="53" t="s">
        <v>149</v>
      </c>
      <c r="M1134" s="215" t="s">
        <v>10070</v>
      </c>
      <c r="N1134" s="51" t="s">
        <v>10071</v>
      </c>
      <c r="O1134" s="51"/>
      <c r="P1134" s="53" t="s">
        <v>8574</v>
      </c>
      <c r="Q1134" s="55" t="s">
        <v>10072</v>
      </c>
      <c r="R1134" s="56">
        <v>29</v>
      </c>
      <c r="S1134" s="57">
        <f t="shared" si="5"/>
        <v>4698</v>
      </c>
      <c r="T1134" s="50" t="s">
        <v>46</v>
      </c>
      <c r="U1134" s="53"/>
      <c r="V1134" s="57">
        <v>44610</v>
      </c>
      <c r="W1134" s="53"/>
      <c r="X1134" s="51"/>
      <c r="Y1134" s="58">
        <v>3318111</v>
      </c>
      <c r="Z1134" s="51"/>
      <c r="AA1134" s="51"/>
      <c r="AB1134" s="51"/>
      <c r="AC1134" s="53"/>
      <c r="AD1134" s="53"/>
      <c r="AE1134" s="53"/>
      <c r="AF1134" s="53"/>
      <c r="AG1134" s="53"/>
      <c r="AH1134" s="53"/>
      <c r="AI1134" s="53"/>
      <c r="AJ1134" s="53"/>
      <c r="AK1134" s="53"/>
      <c r="AL1134" s="53"/>
      <c r="AM1134" s="53"/>
      <c r="AN1134" s="53"/>
      <c r="AO1134" s="53"/>
      <c r="AP1134" s="53"/>
      <c r="AQ1134" s="53"/>
      <c r="AR1134" s="53"/>
      <c r="AS1134" s="53"/>
      <c r="AT1134" s="53"/>
    </row>
    <row r="1135" spans="1:46" ht="45" customHeight="1">
      <c r="A1135" s="50" t="s">
        <v>10073</v>
      </c>
      <c r="B1135" s="51" t="s">
        <v>10074</v>
      </c>
      <c r="C1135" s="52" t="s">
        <v>10075</v>
      </c>
      <c r="D1135" s="53" t="s">
        <v>10076</v>
      </c>
      <c r="E1135" s="53" t="s">
        <v>4113</v>
      </c>
      <c r="F1135" s="53" t="s">
        <v>4113</v>
      </c>
      <c r="G1135" s="53" t="s">
        <v>10077</v>
      </c>
      <c r="H1135" s="53" t="s">
        <v>8872</v>
      </c>
      <c r="I1135" s="53" t="s">
        <v>149</v>
      </c>
      <c r="J1135" s="53" t="s">
        <v>10077</v>
      </c>
      <c r="K1135" s="53" t="s">
        <v>8872</v>
      </c>
      <c r="L1135" s="53" t="s">
        <v>149</v>
      </c>
      <c r="M1135" s="210" t="s">
        <v>10078</v>
      </c>
      <c r="N1135" s="211" t="s">
        <v>10079</v>
      </c>
      <c r="O1135" s="51"/>
      <c r="P1135" s="53" t="s">
        <v>8615</v>
      </c>
      <c r="Q1135" s="55" t="s">
        <v>10080</v>
      </c>
      <c r="R1135" s="56">
        <v>1224</v>
      </c>
      <c r="S1135" s="57">
        <f t="shared" si="5"/>
        <v>198288</v>
      </c>
      <c r="T1135" s="50" t="s">
        <v>198</v>
      </c>
      <c r="U1135" s="53"/>
      <c r="V1135" s="57">
        <v>215940</v>
      </c>
      <c r="W1135" s="53"/>
      <c r="X1135" s="51"/>
      <c r="Y1135" s="58">
        <v>3319991</v>
      </c>
      <c r="Z1135" s="51">
        <v>3834469</v>
      </c>
      <c r="AA1135" s="51"/>
      <c r="AB1135" s="51"/>
      <c r="AC1135" s="53"/>
      <c r="AD1135" s="53"/>
      <c r="AE1135" s="53"/>
      <c r="AF1135" s="53"/>
      <c r="AG1135" s="53"/>
      <c r="AH1135" s="53"/>
      <c r="AI1135" s="53"/>
      <c r="AJ1135" s="53"/>
      <c r="AK1135" s="53"/>
      <c r="AL1135" s="53"/>
      <c r="AM1135" s="53"/>
      <c r="AN1135" s="53"/>
      <c r="AO1135" s="53"/>
      <c r="AP1135" s="53"/>
      <c r="AQ1135" s="53"/>
      <c r="AR1135" s="53"/>
      <c r="AS1135" s="53"/>
      <c r="AT1135" s="53"/>
    </row>
    <row r="1136" spans="1:46" ht="45" customHeight="1">
      <c r="A1136" s="21" t="s">
        <v>10081</v>
      </c>
      <c r="B1136" s="22" t="s">
        <v>10082</v>
      </c>
      <c r="C1136" s="23" t="s">
        <v>10083</v>
      </c>
      <c r="D1136" s="24" t="s">
        <v>10076</v>
      </c>
      <c r="E1136" s="24" t="s">
        <v>10084</v>
      </c>
      <c r="F1136" s="24" t="s">
        <v>10084</v>
      </c>
      <c r="G1136" s="24" t="s">
        <v>10077</v>
      </c>
      <c r="H1136" s="24" t="s">
        <v>1078</v>
      </c>
      <c r="I1136" s="24" t="s">
        <v>149</v>
      </c>
      <c r="J1136" s="24" t="s">
        <v>10085</v>
      </c>
      <c r="K1136" s="24"/>
      <c r="L1136" s="24" t="s">
        <v>38</v>
      </c>
      <c r="M1136" s="205" t="s">
        <v>10086</v>
      </c>
      <c r="N1136" s="22" t="s">
        <v>10087</v>
      </c>
      <c r="O1136" s="22"/>
      <c r="P1136" s="24" t="s">
        <v>8615</v>
      </c>
      <c r="Q1136" s="28" t="s">
        <v>10088</v>
      </c>
      <c r="R1136" s="29">
        <v>881.94</v>
      </c>
      <c r="S1136" s="30">
        <f t="shared" si="5"/>
        <v>142874.28</v>
      </c>
      <c r="T1136" s="21" t="s">
        <v>252</v>
      </c>
      <c r="U1136" s="24"/>
      <c r="V1136" s="30">
        <v>123900</v>
      </c>
      <c r="W1136" s="24"/>
      <c r="X1136" s="22"/>
      <c r="Y1136" s="31">
        <v>3320071</v>
      </c>
      <c r="Z1136" s="22">
        <v>3848814</v>
      </c>
      <c r="AA1136" s="22">
        <v>4747273</v>
      </c>
      <c r="AB1136" s="22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24"/>
      <c r="AS1136" s="24"/>
      <c r="AT1136" s="24"/>
    </row>
    <row r="1137" spans="1:46" ht="45" customHeight="1">
      <c r="A1137" s="21" t="s">
        <v>10089</v>
      </c>
      <c r="B1137" s="22" t="s">
        <v>10090</v>
      </c>
      <c r="C1137" s="23" t="s">
        <v>10091</v>
      </c>
      <c r="D1137" s="24" t="s">
        <v>10092</v>
      </c>
      <c r="E1137" s="24" t="s">
        <v>10093</v>
      </c>
      <c r="F1137" s="24" t="s">
        <v>10093</v>
      </c>
      <c r="G1137" s="24" t="s">
        <v>10094</v>
      </c>
      <c r="H1137" s="24"/>
      <c r="I1137" s="24" t="s">
        <v>38</v>
      </c>
      <c r="J1137" s="24" t="s">
        <v>10094</v>
      </c>
      <c r="K1137" s="24"/>
      <c r="L1137" s="24" t="s">
        <v>38</v>
      </c>
      <c r="M1137" s="205" t="s">
        <v>10095</v>
      </c>
      <c r="N1137" s="22">
        <v>2616921231</v>
      </c>
      <c r="O1137" s="22"/>
      <c r="P1137" s="24" t="s">
        <v>8393</v>
      </c>
      <c r="Q1137" s="28" t="s">
        <v>10096</v>
      </c>
      <c r="R1137" s="29">
        <v>1893.78</v>
      </c>
      <c r="S1137" s="30">
        <f t="shared" si="5"/>
        <v>306792.36</v>
      </c>
      <c r="T1137" s="21" t="s">
        <v>198</v>
      </c>
      <c r="U1137" s="24"/>
      <c r="V1137" s="30">
        <v>215940</v>
      </c>
      <c r="W1137" s="24" t="s">
        <v>71</v>
      </c>
      <c r="X1137" s="22"/>
      <c r="Y1137" s="31">
        <v>3320473</v>
      </c>
      <c r="Z1137" s="22">
        <v>3905258</v>
      </c>
      <c r="AA1137" s="22">
        <v>4755120</v>
      </c>
      <c r="AB1137" s="22"/>
      <c r="AC1137" s="24">
        <v>5591769</v>
      </c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24"/>
      <c r="AS1137" s="24"/>
      <c r="AT1137" s="24"/>
    </row>
    <row r="1138" spans="1:46" ht="45" customHeight="1">
      <c r="A1138" s="12" t="s">
        <v>10097</v>
      </c>
      <c r="B1138" s="13" t="s">
        <v>10098</v>
      </c>
      <c r="C1138" s="14" t="s">
        <v>10099</v>
      </c>
      <c r="D1138" s="15" t="s">
        <v>10100</v>
      </c>
      <c r="E1138" s="15" t="s">
        <v>6130</v>
      </c>
      <c r="F1138" s="15" t="s">
        <v>6130</v>
      </c>
      <c r="G1138" s="15" t="s">
        <v>10101</v>
      </c>
      <c r="H1138" s="15"/>
      <c r="I1138" s="15" t="s">
        <v>149</v>
      </c>
      <c r="J1138" s="15" t="s">
        <v>10101</v>
      </c>
      <c r="K1138" s="15"/>
      <c r="L1138" s="15" t="s">
        <v>149</v>
      </c>
      <c r="M1138" s="199" t="s">
        <v>10102</v>
      </c>
      <c r="N1138" s="13">
        <v>2614672884</v>
      </c>
      <c r="O1138" s="13"/>
      <c r="P1138" s="15" t="s">
        <v>8574</v>
      </c>
      <c r="Q1138" s="17" t="s">
        <v>10103</v>
      </c>
      <c r="R1138" s="18">
        <v>24.01</v>
      </c>
      <c r="S1138" s="19">
        <f t="shared" si="5"/>
        <v>3889.6200000000003</v>
      </c>
      <c r="T1138" s="12" t="s">
        <v>46</v>
      </c>
      <c r="U1138" s="15"/>
      <c r="V1138" s="19">
        <v>44610</v>
      </c>
      <c r="W1138" s="15" t="s">
        <v>71</v>
      </c>
      <c r="X1138" s="13"/>
      <c r="Y1138" s="20">
        <v>3326824</v>
      </c>
      <c r="Z1138" s="13">
        <v>3895575</v>
      </c>
      <c r="AA1138" s="13">
        <v>4713067</v>
      </c>
      <c r="AB1138" s="13"/>
      <c r="AC1138" s="15">
        <v>5578812</v>
      </c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</row>
    <row r="1139" spans="1:46" ht="45" customHeight="1">
      <c r="A1139" s="12" t="s">
        <v>10104</v>
      </c>
      <c r="B1139" s="13" t="s">
        <v>10105</v>
      </c>
      <c r="C1139" s="14" t="s">
        <v>10106</v>
      </c>
      <c r="D1139" s="15" t="s">
        <v>10107</v>
      </c>
      <c r="E1139" s="15" t="s">
        <v>2387</v>
      </c>
      <c r="F1139" s="15" t="s">
        <v>2387</v>
      </c>
      <c r="G1139" s="216">
        <v>29411</v>
      </c>
      <c r="H1139" s="15" t="s">
        <v>331</v>
      </c>
      <c r="I1139" s="15" t="s">
        <v>53</v>
      </c>
      <c r="J1139" s="216">
        <v>29411</v>
      </c>
      <c r="K1139" s="15" t="s">
        <v>331</v>
      </c>
      <c r="L1139" s="15" t="s">
        <v>53</v>
      </c>
      <c r="M1139" s="199" t="s">
        <v>10108</v>
      </c>
      <c r="N1139" s="13">
        <v>2612204338</v>
      </c>
      <c r="O1139" s="13"/>
      <c r="P1139" s="15" t="s">
        <v>8607</v>
      </c>
      <c r="Q1139" s="17" t="s">
        <v>10109</v>
      </c>
      <c r="R1139" s="18">
        <v>40.47</v>
      </c>
      <c r="S1139" s="19">
        <f t="shared" si="5"/>
        <v>6556.1399999999994</v>
      </c>
      <c r="T1139" s="12" t="s">
        <v>46</v>
      </c>
      <c r="U1139" s="15"/>
      <c r="V1139" s="19">
        <v>44610</v>
      </c>
      <c r="W1139" s="15"/>
      <c r="X1139" s="13"/>
      <c r="Y1139" s="20">
        <v>3331467</v>
      </c>
      <c r="Z1139" s="13"/>
      <c r="AA1139" s="13"/>
      <c r="AB1139" s="13">
        <v>4902441</v>
      </c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</row>
    <row r="1140" spans="1:46" ht="45" customHeight="1">
      <c r="A1140" s="12" t="s">
        <v>10110</v>
      </c>
      <c r="B1140" s="13" t="s">
        <v>10111</v>
      </c>
      <c r="C1140" s="14" t="s">
        <v>7036</v>
      </c>
      <c r="D1140" s="15" t="s">
        <v>7037</v>
      </c>
      <c r="E1140" s="15" t="s">
        <v>10112</v>
      </c>
      <c r="F1140" s="15" t="s">
        <v>10112</v>
      </c>
      <c r="G1140" s="15" t="s">
        <v>10113</v>
      </c>
      <c r="H1140" s="15"/>
      <c r="I1140" s="15" t="s">
        <v>7704</v>
      </c>
      <c r="J1140" s="15" t="s">
        <v>10113</v>
      </c>
      <c r="K1140" s="15"/>
      <c r="L1140" s="15" t="s">
        <v>7704</v>
      </c>
      <c r="M1140" s="199" t="s">
        <v>10114</v>
      </c>
      <c r="N1140" s="13" t="s">
        <v>10115</v>
      </c>
      <c r="O1140" s="13"/>
      <c r="P1140" s="15" t="s">
        <v>10116</v>
      </c>
      <c r="Q1140" s="17" t="s">
        <v>10117</v>
      </c>
      <c r="R1140" s="18">
        <v>77.63</v>
      </c>
      <c r="S1140" s="19">
        <f t="shared" si="5"/>
        <v>12576.06</v>
      </c>
      <c r="T1140" s="12" t="s">
        <v>46</v>
      </c>
      <c r="U1140" s="15"/>
      <c r="V1140" s="19">
        <v>44610</v>
      </c>
      <c r="W1140" s="15"/>
      <c r="X1140" s="13"/>
      <c r="Y1140" s="20">
        <v>3332968</v>
      </c>
      <c r="Z1140" s="13">
        <v>3889346</v>
      </c>
      <c r="AA1140" s="13"/>
      <c r="AB1140" s="13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</row>
    <row r="1141" spans="1:46" ht="45" customHeight="1">
      <c r="A1141" s="12" t="s">
        <v>10118</v>
      </c>
      <c r="B1141" s="13" t="s">
        <v>10119</v>
      </c>
      <c r="C1141" s="14" t="s">
        <v>10120</v>
      </c>
      <c r="D1141" s="15" t="s">
        <v>10121</v>
      </c>
      <c r="E1141" s="15" t="s">
        <v>10122</v>
      </c>
      <c r="F1141" s="15" t="s">
        <v>10122</v>
      </c>
      <c r="G1141" s="15" t="s">
        <v>10123</v>
      </c>
      <c r="H1141" s="15" t="s">
        <v>8800</v>
      </c>
      <c r="I1141" s="15" t="s">
        <v>38</v>
      </c>
      <c r="J1141" s="15" t="s">
        <v>10123</v>
      </c>
      <c r="K1141" s="15" t="s">
        <v>8800</v>
      </c>
      <c r="L1141" s="15" t="s">
        <v>38</v>
      </c>
      <c r="M1141" s="199" t="s">
        <v>10124</v>
      </c>
      <c r="N1141" s="13" t="s">
        <v>10125</v>
      </c>
      <c r="O1141" s="13"/>
      <c r="P1141" s="15" t="s">
        <v>8607</v>
      </c>
      <c r="Q1141" s="17" t="s">
        <v>10126</v>
      </c>
      <c r="R1141" s="18">
        <v>67.11</v>
      </c>
      <c r="S1141" s="19">
        <f t="shared" si="5"/>
        <v>10871.82</v>
      </c>
      <c r="T1141" s="12" t="s">
        <v>46</v>
      </c>
      <c r="U1141" s="15"/>
      <c r="V1141" s="19">
        <v>44610</v>
      </c>
      <c r="W1141" s="15"/>
      <c r="X1141" s="13"/>
      <c r="Y1141" s="20">
        <v>3336850</v>
      </c>
      <c r="Z1141" s="13"/>
      <c r="AA1141" s="13"/>
      <c r="AB1141" s="13">
        <v>4851474</v>
      </c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</row>
    <row r="1142" spans="1:46" ht="45" customHeight="1">
      <c r="A1142" s="12" t="s">
        <v>10127</v>
      </c>
      <c r="B1142" s="13" t="s">
        <v>10128</v>
      </c>
      <c r="C1142" s="66" t="s">
        <v>10129</v>
      </c>
      <c r="D1142" s="15" t="s">
        <v>10130</v>
      </c>
      <c r="E1142" s="15" t="s">
        <v>10131</v>
      </c>
      <c r="F1142" s="15" t="s">
        <v>10131</v>
      </c>
      <c r="G1142" s="15" t="s">
        <v>10132</v>
      </c>
      <c r="H1142" s="15" t="s">
        <v>10133</v>
      </c>
      <c r="I1142" s="15" t="s">
        <v>115</v>
      </c>
      <c r="J1142" s="15" t="s">
        <v>10134</v>
      </c>
      <c r="K1142" s="15"/>
      <c r="L1142" s="15" t="s">
        <v>149</v>
      </c>
      <c r="M1142" s="217" t="s">
        <v>10135</v>
      </c>
      <c r="N1142" s="13">
        <v>2615275225</v>
      </c>
      <c r="O1142" s="13"/>
      <c r="P1142" s="15" t="s">
        <v>8574</v>
      </c>
      <c r="Q1142" s="17" t="s">
        <v>10136</v>
      </c>
      <c r="R1142" s="18">
        <v>239.51</v>
      </c>
      <c r="S1142" s="19">
        <f t="shared" si="5"/>
        <v>38800.619999999995</v>
      </c>
      <c r="T1142" s="12" t="s">
        <v>46</v>
      </c>
      <c r="U1142" s="15"/>
      <c r="V1142" s="19">
        <v>44610</v>
      </c>
      <c r="W1142" s="15"/>
      <c r="X1142" s="13"/>
      <c r="Y1142" s="20">
        <v>3336887</v>
      </c>
      <c r="Z1142" s="13"/>
      <c r="AA1142" s="13"/>
      <c r="AB1142" s="13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</row>
    <row r="1143" spans="1:46" ht="45" customHeight="1">
      <c r="A1143" s="12" t="s">
        <v>10137</v>
      </c>
      <c r="B1143" s="13" t="s">
        <v>10138</v>
      </c>
      <c r="C1143" s="14" t="s">
        <v>10139</v>
      </c>
      <c r="D1143" s="15" t="s">
        <v>5851</v>
      </c>
      <c r="E1143" s="15" t="s">
        <v>10140</v>
      </c>
      <c r="F1143" s="15" t="s">
        <v>10140</v>
      </c>
      <c r="G1143" s="15" t="s">
        <v>10141</v>
      </c>
      <c r="H1143" s="15" t="s">
        <v>10142</v>
      </c>
      <c r="I1143" s="15" t="s">
        <v>2691</v>
      </c>
      <c r="J1143" s="15" t="s">
        <v>10143</v>
      </c>
      <c r="K1143" s="15" t="s">
        <v>2652</v>
      </c>
      <c r="L1143" s="15" t="s">
        <v>6584</v>
      </c>
      <c r="M1143" s="199" t="s">
        <v>10144</v>
      </c>
      <c r="N1143" s="13">
        <v>26915911306</v>
      </c>
      <c r="O1143" s="13"/>
      <c r="P1143" s="15" t="s">
        <v>8574</v>
      </c>
      <c r="Q1143" s="17" t="s">
        <v>10145</v>
      </c>
      <c r="R1143" s="18">
        <v>339</v>
      </c>
      <c r="S1143" s="19">
        <f t="shared" si="5"/>
        <v>54918</v>
      </c>
      <c r="T1143" s="12" t="s">
        <v>46</v>
      </c>
      <c r="U1143" s="15"/>
      <c r="V1143" s="19">
        <v>44610</v>
      </c>
      <c r="W1143" s="15"/>
      <c r="X1143" s="13"/>
      <c r="Y1143" s="20">
        <v>3341236</v>
      </c>
      <c r="Z1143" s="13">
        <v>3822283</v>
      </c>
      <c r="AA1143" s="13">
        <v>4906368</v>
      </c>
      <c r="AB1143" s="13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</row>
    <row r="1144" spans="1:46" ht="45" customHeight="1">
      <c r="A1144" s="12" t="s">
        <v>10146</v>
      </c>
      <c r="B1144" s="13" t="s">
        <v>10147</v>
      </c>
      <c r="C1144" s="66" t="s">
        <v>10148</v>
      </c>
      <c r="D1144" s="15" t="s">
        <v>10149</v>
      </c>
      <c r="E1144" s="15" t="s">
        <v>10150</v>
      </c>
      <c r="F1144" s="15" t="s">
        <v>10150</v>
      </c>
      <c r="G1144" s="15" t="s">
        <v>10151</v>
      </c>
      <c r="H1144" s="15"/>
      <c r="I1144" s="15" t="s">
        <v>5916</v>
      </c>
      <c r="J1144" s="15" t="s">
        <v>10152</v>
      </c>
      <c r="K1144" s="15" t="s">
        <v>2863</v>
      </c>
      <c r="L1144" s="15" t="s">
        <v>80</v>
      </c>
      <c r="M1144" s="199" t="s">
        <v>10153</v>
      </c>
      <c r="N1144" s="13">
        <v>2615920504</v>
      </c>
      <c r="O1144" s="13"/>
      <c r="P1144" s="15" t="s">
        <v>10154</v>
      </c>
      <c r="Q1144" s="17" t="s">
        <v>10155</v>
      </c>
      <c r="R1144" s="18">
        <v>64.27</v>
      </c>
      <c r="S1144" s="19">
        <f t="shared" si="5"/>
        <v>10411.74</v>
      </c>
      <c r="T1144" s="12" t="s">
        <v>46</v>
      </c>
      <c r="U1144" s="15"/>
      <c r="V1144" s="19">
        <v>44610</v>
      </c>
      <c r="W1144" s="15" t="s">
        <v>47</v>
      </c>
      <c r="X1144" s="13"/>
      <c r="Y1144" s="20">
        <v>3042805</v>
      </c>
      <c r="Z1144" s="13"/>
      <c r="AA1144" s="13"/>
      <c r="AB1144" s="13"/>
      <c r="AC1144" s="15">
        <v>5514615</v>
      </c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</row>
    <row r="1145" spans="1:46" ht="45" customHeight="1">
      <c r="A1145" s="21" t="s">
        <v>10156</v>
      </c>
      <c r="B1145" s="22" t="s">
        <v>10157</v>
      </c>
      <c r="C1145" s="23" t="s">
        <v>10158</v>
      </c>
      <c r="D1145" s="24" t="s">
        <v>10159</v>
      </c>
      <c r="E1145" s="24" t="s">
        <v>10160</v>
      </c>
      <c r="F1145" s="24" t="s">
        <v>10160</v>
      </c>
      <c r="G1145" s="24" t="s">
        <v>10161</v>
      </c>
      <c r="H1145" s="24" t="s">
        <v>9375</v>
      </c>
      <c r="I1145" s="24" t="s">
        <v>6584</v>
      </c>
      <c r="J1145" s="24" t="s">
        <v>10162</v>
      </c>
      <c r="K1145" s="24"/>
      <c r="L1145" s="24" t="s">
        <v>6584</v>
      </c>
      <c r="M1145" s="199" t="s">
        <v>10163</v>
      </c>
      <c r="N1145" s="22" t="s">
        <v>10164</v>
      </c>
      <c r="O1145" s="22"/>
      <c r="P1145" s="24" t="s">
        <v>10165</v>
      </c>
      <c r="Q1145" s="28" t="s">
        <v>10166</v>
      </c>
      <c r="R1145" s="29">
        <v>1980</v>
      </c>
      <c r="S1145" s="30">
        <f t="shared" si="5"/>
        <v>320760</v>
      </c>
      <c r="T1145" s="21" t="s">
        <v>198</v>
      </c>
      <c r="U1145" s="24"/>
      <c r="V1145" s="30">
        <v>215940</v>
      </c>
      <c r="W1145" s="24" t="s">
        <v>71</v>
      </c>
      <c r="X1145" s="22"/>
      <c r="Y1145" s="31">
        <v>3374967</v>
      </c>
      <c r="Z1145" s="22"/>
      <c r="AA1145" s="22">
        <v>4715909</v>
      </c>
      <c r="AB1145" s="22"/>
      <c r="AC1145" s="24">
        <v>5606715</v>
      </c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24"/>
      <c r="AS1145" s="24"/>
      <c r="AT1145" s="24"/>
    </row>
    <row r="1146" spans="1:46" ht="45" customHeight="1">
      <c r="A1146" s="12" t="s">
        <v>10167</v>
      </c>
      <c r="B1146" s="13" t="s">
        <v>10168</v>
      </c>
      <c r="C1146" s="14" t="s">
        <v>10169</v>
      </c>
      <c r="D1146" s="15" t="s">
        <v>10170</v>
      </c>
      <c r="E1146" s="15" t="s">
        <v>10171</v>
      </c>
      <c r="F1146" s="15" t="s">
        <v>10171</v>
      </c>
      <c r="G1146" s="15" t="s">
        <v>10172</v>
      </c>
      <c r="H1146" s="15" t="s">
        <v>6345</v>
      </c>
      <c r="I1146" s="15" t="s">
        <v>149</v>
      </c>
      <c r="J1146" s="15" t="s">
        <v>10173</v>
      </c>
      <c r="K1146" s="15"/>
      <c r="L1146" s="15" t="s">
        <v>149</v>
      </c>
      <c r="M1146" s="199" t="s">
        <v>10174</v>
      </c>
      <c r="N1146" s="13" t="s">
        <v>10175</v>
      </c>
      <c r="O1146" s="13"/>
      <c r="P1146" s="15" t="s">
        <v>8574</v>
      </c>
      <c r="Q1146" s="17" t="s">
        <v>10176</v>
      </c>
      <c r="R1146" s="18">
        <v>223.56</v>
      </c>
      <c r="S1146" s="19">
        <f t="shared" si="5"/>
        <v>36216.720000000001</v>
      </c>
      <c r="T1146" s="12" t="s">
        <v>46</v>
      </c>
      <c r="U1146" s="15"/>
      <c r="V1146" s="19">
        <v>44610</v>
      </c>
      <c r="W1146" s="15"/>
      <c r="X1146" s="13"/>
      <c r="Y1146" s="20">
        <v>3377029</v>
      </c>
      <c r="Z1146" s="13"/>
      <c r="AA1146" s="13"/>
      <c r="AB1146" s="13">
        <v>4853462</v>
      </c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</row>
    <row r="1147" spans="1:46" ht="45" customHeight="1">
      <c r="A1147" s="12" t="s">
        <v>10177</v>
      </c>
      <c r="B1147" s="13" t="s">
        <v>10178</v>
      </c>
      <c r="C1147" s="66" t="s">
        <v>10179</v>
      </c>
      <c r="D1147" s="15" t="s">
        <v>10180</v>
      </c>
      <c r="E1147" s="15" t="s">
        <v>2101</v>
      </c>
      <c r="F1147" s="15" t="s">
        <v>2101</v>
      </c>
      <c r="G1147" s="15" t="s">
        <v>10181</v>
      </c>
      <c r="H1147" s="15"/>
      <c r="I1147" s="15" t="s">
        <v>52</v>
      </c>
      <c r="J1147" s="15" t="s">
        <v>10182</v>
      </c>
      <c r="K1147" s="15"/>
      <c r="L1147" s="15" t="s">
        <v>149</v>
      </c>
      <c r="M1147" s="199" t="s">
        <v>10183</v>
      </c>
      <c r="N1147" s="13">
        <v>2616810125</v>
      </c>
      <c r="O1147" s="13"/>
      <c r="P1147" s="15" t="s">
        <v>8607</v>
      </c>
      <c r="Q1147" s="17" t="s">
        <v>10184</v>
      </c>
      <c r="R1147" s="18">
        <v>42.66</v>
      </c>
      <c r="S1147" s="19">
        <f t="shared" si="5"/>
        <v>6910.9199999999992</v>
      </c>
      <c r="T1147" s="12" t="s">
        <v>46</v>
      </c>
      <c r="U1147" s="15"/>
      <c r="V1147" s="19">
        <v>44610</v>
      </c>
      <c r="W1147" s="15"/>
      <c r="X1147" s="13"/>
      <c r="Y1147" s="20">
        <v>3387546</v>
      </c>
      <c r="Z1147" s="13"/>
      <c r="AA1147" s="13"/>
      <c r="AB1147" s="13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</row>
    <row r="1148" spans="1:46" ht="45" customHeight="1">
      <c r="A1148" s="12" t="s">
        <v>10185</v>
      </c>
      <c r="B1148" s="13" t="s">
        <v>10186</v>
      </c>
      <c r="C1148" s="14" t="s">
        <v>10187</v>
      </c>
      <c r="D1148" s="15" t="s">
        <v>10188</v>
      </c>
      <c r="E1148" s="15" t="s">
        <v>10189</v>
      </c>
      <c r="F1148" s="15" t="s">
        <v>10189</v>
      </c>
      <c r="G1148" s="15" t="s">
        <v>10190</v>
      </c>
      <c r="H1148" s="15"/>
      <c r="I1148" s="15" t="s">
        <v>65</v>
      </c>
      <c r="J1148" s="15" t="s">
        <v>10190</v>
      </c>
      <c r="K1148" s="15"/>
      <c r="L1148" s="15" t="s">
        <v>65</v>
      </c>
      <c r="M1148" s="201" t="s">
        <v>3283</v>
      </c>
      <c r="N1148" s="13">
        <v>2616631257</v>
      </c>
      <c r="O1148" s="13"/>
      <c r="P1148" s="15" t="s">
        <v>8574</v>
      </c>
      <c r="Q1148" s="17" t="s">
        <v>10191</v>
      </c>
      <c r="R1148" s="18">
        <v>10.58</v>
      </c>
      <c r="S1148" s="19">
        <f t="shared" si="5"/>
        <v>1713.96</v>
      </c>
      <c r="T1148" s="12" t="s">
        <v>46</v>
      </c>
      <c r="U1148" s="15"/>
      <c r="V1148" s="19">
        <v>44610</v>
      </c>
      <c r="W1148" s="49" t="s">
        <v>47</v>
      </c>
      <c r="X1148" s="13"/>
      <c r="Y1148" s="20">
        <v>3436534</v>
      </c>
      <c r="Z1148" s="13">
        <v>3832925</v>
      </c>
      <c r="AA1148" s="13">
        <v>4709418</v>
      </c>
      <c r="AB1148" s="13"/>
      <c r="AC1148" s="49">
        <v>5623239</v>
      </c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</row>
    <row r="1149" spans="1:46" ht="45" customHeight="1">
      <c r="A1149" s="21" t="s">
        <v>10192</v>
      </c>
      <c r="B1149" s="22" t="s">
        <v>10193</v>
      </c>
      <c r="C1149" s="23" t="s">
        <v>10194</v>
      </c>
      <c r="D1149" s="24" t="s">
        <v>1948</v>
      </c>
      <c r="E1149" s="24" t="s">
        <v>10195</v>
      </c>
      <c r="F1149" s="24" t="s">
        <v>10195</v>
      </c>
      <c r="G1149" s="24" t="s">
        <v>10196</v>
      </c>
      <c r="H1149" s="24"/>
      <c r="I1149" s="24" t="s">
        <v>149</v>
      </c>
      <c r="J1149" s="24" t="s">
        <v>10197</v>
      </c>
      <c r="K1149" s="24"/>
      <c r="L1149" s="24" t="s">
        <v>149</v>
      </c>
      <c r="M1149" s="205" t="s">
        <v>1951</v>
      </c>
      <c r="N1149" s="22">
        <v>2613601260</v>
      </c>
      <c r="O1149" s="22"/>
      <c r="P1149" s="24" t="s">
        <v>8393</v>
      </c>
      <c r="Q1149" s="28" t="s">
        <v>10198</v>
      </c>
      <c r="R1149" s="29">
        <v>1206.8800000000001</v>
      </c>
      <c r="S1149" s="30">
        <f t="shared" si="5"/>
        <v>195514.56000000003</v>
      </c>
      <c r="T1149" s="21" t="s">
        <v>198</v>
      </c>
      <c r="U1149" s="24"/>
      <c r="V1149" s="30">
        <v>215940</v>
      </c>
      <c r="W1149" s="45" t="s">
        <v>71</v>
      </c>
      <c r="X1149" s="22"/>
      <c r="Y1149" s="31">
        <v>3395915</v>
      </c>
      <c r="Z1149" s="22">
        <v>3882780</v>
      </c>
      <c r="AA1149" s="22">
        <v>4753574</v>
      </c>
      <c r="AB1149" s="22"/>
      <c r="AC1149" s="45">
        <v>5626911</v>
      </c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  <c r="AT1149" s="24"/>
    </row>
    <row r="1150" spans="1:46" ht="45" customHeight="1">
      <c r="A1150" s="12" t="s">
        <v>10199</v>
      </c>
      <c r="B1150" s="13" t="s">
        <v>10200</v>
      </c>
      <c r="C1150" s="14" t="s">
        <v>10201</v>
      </c>
      <c r="D1150" s="15" t="s">
        <v>10202</v>
      </c>
      <c r="E1150" s="15"/>
      <c r="F1150" s="15"/>
      <c r="G1150" s="15" t="s">
        <v>10203</v>
      </c>
      <c r="H1150" s="15"/>
      <c r="I1150" s="15" t="s">
        <v>38</v>
      </c>
      <c r="J1150" s="15" t="s">
        <v>10203</v>
      </c>
      <c r="K1150" s="15"/>
      <c r="L1150" s="15" t="s">
        <v>38</v>
      </c>
      <c r="M1150" s="207" t="s">
        <v>10204</v>
      </c>
      <c r="N1150" s="13">
        <v>2614543341</v>
      </c>
      <c r="O1150" s="13"/>
      <c r="P1150" s="15" t="s">
        <v>8393</v>
      </c>
      <c r="Q1150" s="17" t="s">
        <v>10205</v>
      </c>
      <c r="R1150" s="18">
        <v>205.79</v>
      </c>
      <c r="S1150" s="19">
        <f t="shared" si="5"/>
        <v>33337.979999999996</v>
      </c>
      <c r="T1150" s="12" t="s">
        <v>46</v>
      </c>
      <c r="U1150" s="15"/>
      <c r="V1150" s="19">
        <v>44610</v>
      </c>
      <c r="W1150" s="49" t="s">
        <v>71</v>
      </c>
      <c r="X1150" s="13"/>
      <c r="Y1150" s="20">
        <v>3430407</v>
      </c>
      <c r="Z1150" s="13">
        <v>3832936</v>
      </c>
      <c r="AA1150" s="13">
        <v>4860248</v>
      </c>
      <c r="AB1150" s="13"/>
      <c r="AC1150" s="49">
        <v>5633968</v>
      </c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</row>
    <row r="1151" spans="1:46" ht="45" customHeight="1">
      <c r="A1151" s="12" t="s">
        <v>10206</v>
      </c>
      <c r="B1151" s="13" t="s">
        <v>10207</v>
      </c>
      <c r="C1151" s="66" t="s">
        <v>10208</v>
      </c>
      <c r="D1151" s="15" t="s">
        <v>10209</v>
      </c>
      <c r="E1151" s="15" t="s">
        <v>10210</v>
      </c>
      <c r="F1151" s="15" t="s">
        <v>10210</v>
      </c>
      <c r="G1151" s="15" t="s">
        <v>10211</v>
      </c>
      <c r="H1151" s="15" t="s">
        <v>9375</v>
      </c>
      <c r="I1151" s="15" t="s">
        <v>6584</v>
      </c>
      <c r="J1151" s="15" t="s">
        <v>10212</v>
      </c>
      <c r="K1151" s="15"/>
      <c r="L1151" s="15" t="s">
        <v>6221</v>
      </c>
      <c r="M1151" s="207" t="s">
        <v>10213</v>
      </c>
      <c r="N1151" s="13">
        <v>2634728045</v>
      </c>
      <c r="O1151" s="13"/>
      <c r="P1151" s="15" t="s">
        <v>8574</v>
      </c>
      <c r="Q1151" s="17" t="s">
        <v>10214</v>
      </c>
      <c r="R1151" s="18">
        <v>25.35</v>
      </c>
      <c r="S1151" s="19">
        <f t="shared" si="5"/>
        <v>4106.7</v>
      </c>
      <c r="T1151" s="12" t="s">
        <v>46</v>
      </c>
      <c r="U1151" s="15"/>
      <c r="V1151" s="19">
        <v>44610</v>
      </c>
      <c r="W1151" s="15"/>
      <c r="X1151" s="13"/>
      <c r="Y1151" s="20">
        <v>3452229</v>
      </c>
      <c r="Z1151" s="13"/>
      <c r="AA1151" s="13"/>
      <c r="AB1151" s="13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</row>
    <row r="1152" spans="1:46" ht="45" customHeight="1">
      <c r="A1152" s="21" t="s">
        <v>10215</v>
      </c>
      <c r="B1152" s="22" t="s">
        <v>10216</v>
      </c>
      <c r="C1152" s="23" t="s">
        <v>10217</v>
      </c>
      <c r="D1152" s="24" t="s">
        <v>5130</v>
      </c>
      <c r="E1152" s="24" t="s">
        <v>10218</v>
      </c>
      <c r="F1152" s="24" t="s">
        <v>10218</v>
      </c>
      <c r="G1152" s="24" t="s">
        <v>10219</v>
      </c>
      <c r="H1152" s="24" t="s">
        <v>9754</v>
      </c>
      <c r="I1152" s="24" t="s">
        <v>332</v>
      </c>
      <c r="J1152" s="24" t="s">
        <v>10220</v>
      </c>
      <c r="K1152" s="24"/>
      <c r="L1152" s="24" t="s">
        <v>38</v>
      </c>
      <c r="M1152" s="205" t="s">
        <v>10221</v>
      </c>
      <c r="N1152" s="22" t="s">
        <v>10222</v>
      </c>
      <c r="O1152" s="22"/>
      <c r="P1152" s="24" t="s">
        <v>8393</v>
      </c>
      <c r="Q1152" s="28" t="s">
        <v>10223</v>
      </c>
      <c r="R1152" s="29">
        <v>2096.7199999999998</v>
      </c>
      <c r="S1152" s="30">
        <f t="shared" si="5"/>
        <v>339668.63999999996</v>
      </c>
      <c r="T1152" s="21" t="s">
        <v>96</v>
      </c>
      <c r="U1152" s="24"/>
      <c r="V1152" s="30">
        <v>368160</v>
      </c>
      <c r="W1152" s="24"/>
      <c r="X1152" s="22"/>
      <c r="Y1152" s="31">
        <v>3458374</v>
      </c>
      <c r="Z1152" s="22">
        <v>3908244</v>
      </c>
      <c r="AA1152" s="22">
        <v>4751508</v>
      </c>
      <c r="AB1152" s="22"/>
      <c r="AC1152" s="24"/>
      <c r="AD1152" s="24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24"/>
      <c r="AS1152" s="24"/>
      <c r="AT1152" s="24"/>
    </row>
    <row r="1153" spans="1:46" ht="45" customHeight="1">
      <c r="A1153" s="12" t="s">
        <v>10224</v>
      </c>
      <c r="B1153" s="13" t="s">
        <v>10225</v>
      </c>
      <c r="C1153" s="14" t="s">
        <v>10226</v>
      </c>
      <c r="D1153" s="15" t="s">
        <v>10227</v>
      </c>
      <c r="E1153" s="15" t="s">
        <v>10228</v>
      </c>
      <c r="F1153" s="15" t="s">
        <v>10228</v>
      </c>
      <c r="G1153" s="15" t="s">
        <v>10229</v>
      </c>
      <c r="H1153" s="15" t="s">
        <v>2234</v>
      </c>
      <c r="I1153" s="15" t="s">
        <v>149</v>
      </c>
      <c r="J1153" s="15" t="s">
        <v>10230</v>
      </c>
      <c r="K1153" s="15" t="s">
        <v>2234</v>
      </c>
      <c r="L1153" s="15" t="s">
        <v>149</v>
      </c>
      <c r="M1153" s="217" t="s">
        <v>10231</v>
      </c>
      <c r="N1153" s="13" t="s">
        <v>10232</v>
      </c>
      <c r="O1153" s="13"/>
      <c r="P1153" s="15" t="s">
        <v>1381</v>
      </c>
      <c r="Q1153" s="17" t="s">
        <v>10233</v>
      </c>
      <c r="R1153" s="18">
        <v>92.81</v>
      </c>
      <c r="S1153" s="19">
        <f t="shared" si="5"/>
        <v>15035.220000000001</v>
      </c>
      <c r="T1153" s="12" t="s">
        <v>46</v>
      </c>
      <c r="U1153" s="15"/>
      <c r="V1153" s="19">
        <v>44610</v>
      </c>
      <c r="W1153" s="15" t="s">
        <v>71</v>
      </c>
      <c r="X1153" s="13"/>
      <c r="Y1153" s="20">
        <v>3461941</v>
      </c>
      <c r="Z1153" s="13">
        <v>3894300</v>
      </c>
      <c r="AA1153" s="13">
        <v>4705420</v>
      </c>
      <c r="AB1153" s="13"/>
      <c r="AC1153" s="15">
        <v>5606423</v>
      </c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</row>
    <row r="1154" spans="1:46" ht="45" customHeight="1">
      <c r="A1154" s="50" t="s">
        <v>10234</v>
      </c>
      <c r="B1154" s="51" t="s">
        <v>10235</v>
      </c>
      <c r="C1154" s="52" t="s">
        <v>10236</v>
      </c>
      <c r="D1154" s="53" t="s">
        <v>10237</v>
      </c>
      <c r="E1154" s="53"/>
      <c r="F1154" s="53"/>
      <c r="G1154" s="53" t="s">
        <v>10238</v>
      </c>
      <c r="H1154" s="53" t="s">
        <v>52</v>
      </c>
      <c r="I1154" s="53" t="s">
        <v>53</v>
      </c>
      <c r="J1154" s="53" t="s">
        <v>10239</v>
      </c>
      <c r="K1154" s="53"/>
      <c r="L1154" s="53" t="s">
        <v>5916</v>
      </c>
      <c r="M1154" s="210" t="s">
        <v>10240</v>
      </c>
      <c r="N1154" s="51" t="s">
        <v>10241</v>
      </c>
      <c r="O1154" s="51"/>
      <c r="P1154" s="53" t="s">
        <v>10242</v>
      </c>
      <c r="Q1154" s="55" t="s">
        <v>10243</v>
      </c>
      <c r="R1154" s="149" t="s">
        <v>770</v>
      </c>
      <c r="S1154" s="57" t="e">
        <f t="shared" si="5"/>
        <v>#VALUE!</v>
      </c>
      <c r="T1154" s="150" t="s">
        <v>770</v>
      </c>
      <c r="U1154" s="53"/>
      <c r="V1154" s="57">
        <v>0</v>
      </c>
      <c r="W1154" s="53"/>
      <c r="X1154" s="51"/>
      <c r="Y1154" s="58">
        <v>3529465</v>
      </c>
      <c r="Z1154" s="51"/>
      <c r="AA1154" s="51"/>
      <c r="AB1154" s="51"/>
      <c r="AC1154" s="53"/>
      <c r="AD1154" s="53"/>
      <c r="AE1154" s="53"/>
      <c r="AF1154" s="53"/>
      <c r="AG1154" s="53"/>
      <c r="AH1154" s="53"/>
      <c r="AI1154" s="53"/>
      <c r="AJ1154" s="53"/>
      <c r="AK1154" s="53"/>
      <c r="AL1154" s="53"/>
      <c r="AM1154" s="53"/>
      <c r="AN1154" s="53"/>
      <c r="AO1154" s="53"/>
      <c r="AP1154" s="53"/>
      <c r="AQ1154" s="53"/>
      <c r="AR1154" s="53"/>
      <c r="AS1154" s="53"/>
      <c r="AT1154" s="53"/>
    </row>
    <row r="1155" spans="1:46" ht="45" customHeight="1">
      <c r="A1155" s="12" t="s">
        <v>10244</v>
      </c>
      <c r="B1155" s="13" t="s">
        <v>10245</v>
      </c>
      <c r="C1155" s="14" t="s">
        <v>10246</v>
      </c>
      <c r="D1155" s="15" t="s">
        <v>10247</v>
      </c>
      <c r="E1155" s="15" t="s">
        <v>10248</v>
      </c>
      <c r="F1155" s="15" t="s">
        <v>10248</v>
      </c>
      <c r="G1155" s="15" t="s">
        <v>10249</v>
      </c>
      <c r="H1155" s="15"/>
      <c r="I1155" s="15" t="s">
        <v>65</v>
      </c>
      <c r="J1155" s="15" t="s">
        <v>10249</v>
      </c>
      <c r="K1155" s="15"/>
      <c r="L1155" s="15" t="s">
        <v>65</v>
      </c>
      <c r="M1155" s="199" t="s">
        <v>10250</v>
      </c>
      <c r="N1155" s="13" t="s">
        <v>10251</v>
      </c>
      <c r="O1155" s="13"/>
      <c r="P1155" s="49" t="s">
        <v>10252</v>
      </c>
      <c r="Q1155" s="17" t="s">
        <v>10253</v>
      </c>
      <c r="R1155" s="18">
        <v>177</v>
      </c>
      <c r="S1155" s="19">
        <f t="shared" si="5"/>
        <v>28674</v>
      </c>
      <c r="T1155" s="12" t="s">
        <v>46</v>
      </c>
      <c r="U1155" s="15"/>
      <c r="V1155" s="19">
        <v>44610</v>
      </c>
      <c r="W1155" s="49" t="s">
        <v>71</v>
      </c>
      <c r="X1155" s="13"/>
      <c r="Y1155" s="20">
        <v>3536269</v>
      </c>
      <c r="Z1155" s="13">
        <v>3887953</v>
      </c>
      <c r="AA1155" s="13">
        <v>4755175</v>
      </c>
      <c r="AB1155" s="13"/>
      <c r="AC1155" s="49">
        <v>5626943</v>
      </c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</row>
    <row r="1156" spans="1:46" ht="45" customHeight="1">
      <c r="A1156" s="21" t="s">
        <v>10254</v>
      </c>
      <c r="B1156" s="22" t="s">
        <v>10255</v>
      </c>
      <c r="C1156" s="23" t="s">
        <v>10256</v>
      </c>
      <c r="D1156" s="24" t="s">
        <v>10257</v>
      </c>
      <c r="E1156" s="24" t="s">
        <v>10258</v>
      </c>
      <c r="F1156" s="24" t="s">
        <v>10258</v>
      </c>
      <c r="G1156" s="24" t="s">
        <v>10259</v>
      </c>
      <c r="H1156" s="24" t="s">
        <v>10260</v>
      </c>
      <c r="I1156" s="24" t="s">
        <v>1279</v>
      </c>
      <c r="J1156" s="24" t="s">
        <v>10259</v>
      </c>
      <c r="K1156" s="24" t="s">
        <v>10260</v>
      </c>
      <c r="L1156" s="24" t="s">
        <v>1279</v>
      </c>
      <c r="M1156" s="206" t="s">
        <v>10261</v>
      </c>
      <c r="N1156" s="22" t="s">
        <v>10262</v>
      </c>
      <c r="O1156" s="22"/>
      <c r="P1156" s="24" t="s">
        <v>9208</v>
      </c>
      <c r="Q1156" s="28" t="s">
        <v>10263</v>
      </c>
      <c r="R1156" s="29">
        <v>1932</v>
      </c>
      <c r="S1156" s="30">
        <f t="shared" si="5"/>
        <v>312984</v>
      </c>
      <c r="T1156" s="21" t="s">
        <v>198</v>
      </c>
      <c r="U1156" s="24"/>
      <c r="V1156" s="30">
        <v>215940</v>
      </c>
      <c r="W1156" s="45" t="s">
        <v>71</v>
      </c>
      <c r="X1156" s="22"/>
      <c r="Y1156" s="31">
        <v>3536262</v>
      </c>
      <c r="Z1156" s="22">
        <v>3887966</v>
      </c>
      <c r="AA1156" s="22">
        <v>4753628</v>
      </c>
      <c r="AB1156" s="22"/>
      <c r="AC1156" s="45">
        <v>5626414</v>
      </c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P1156" s="24"/>
      <c r="AQ1156" s="24"/>
      <c r="AR1156" s="24"/>
      <c r="AS1156" s="24"/>
      <c r="AT1156" s="24"/>
    </row>
    <row r="1157" spans="1:46" ht="45" customHeight="1">
      <c r="A1157" s="12" t="s">
        <v>10264</v>
      </c>
      <c r="B1157" s="13" t="s">
        <v>10265</v>
      </c>
      <c r="C1157" s="14" t="s">
        <v>10266</v>
      </c>
      <c r="D1157" s="15" t="s">
        <v>10267</v>
      </c>
      <c r="E1157" s="15" t="s">
        <v>10268</v>
      </c>
      <c r="F1157" s="15" t="s">
        <v>10268</v>
      </c>
      <c r="G1157" s="15" t="s">
        <v>10269</v>
      </c>
      <c r="H1157" s="15" t="s">
        <v>8765</v>
      </c>
      <c r="I1157" s="15" t="s">
        <v>115</v>
      </c>
      <c r="J1157" s="15" t="s">
        <v>10269</v>
      </c>
      <c r="K1157" s="15" t="s">
        <v>8765</v>
      </c>
      <c r="L1157" s="15" t="s">
        <v>115</v>
      </c>
      <c r="M1157" s="199" t="s">
        <v>10270</v>
      </c>
      <c r="N1157" s="13" t="s">
        <v>10271</v>
      </c>
      <c r="O1157" s="13"/>
      <c r="P1157" s="15" t="s">
        <v>8630</v>
      </c>
      <c r="Q1157" s="17" t="s">
        <v>10272</v>
      </c>
      <c r="R1157" s="18">
        <v>36</v>
      </c>
      <c r="S1157" s="19">
        <f t="shared" si="5"/>
        <v>5832</v>
      </c>
      <c r="T1157" s="12" t="s">
        <v>46</v>
      </c>
      <c r="U1157" s="15"/>
      <c r="V1157" s="19">
        <v>44610</v>
      </c>
      <c r="W1157" s="15"/>
      <c r="X1157" s="13"/>
      <c r="Y1157" s="20">
        <v>3530535</v>
      </c>
      <c r="Z1157" s="13">
        <v>3785807</v>
      </c>
      <c r="AA1157" s="13"/>
      <c r="AB1157" s="13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</row>
    <row r="1158" spans="1:46" ht="51" customHeight="1">
      <c r="A1158" s="79" t="s">
        <v>10273</v>
      </c>
      <c r="B1158" s="80" t="s">
        <v>10274</v>
      </c>
      <c r="C1158" s="81" t="s">
        <v>10275</v>
      </c>
      <c r="D1158" s="82" t="s">
        <v>10276</v>
      </c>
      <c r="E1158" s="82" t="s">
        <v>3315</v>
      </c>
      <c r="F1158" s="82" t="s">
        <v>3315</v>
      </c>
      <c r="G1158" s="82" t="s">
        <v>10277</v>
      </c>
      <c r="H1158" s="82"/>
      <c r="I1158" s="82" t="s">
        <v>2691</v>
      </c>
      <c r="J1158" s="82" t="s">
        <v>10277</v>
      </c>
      <c r="K1158" s="82"/>
      <c r="L1158" s="82" t="s">
        <v>2691</v>
      </c>
      <c r="M1158" s="218" t="s">
        <v>10278</v>
      </c>
      <c r="N1158" s="80">
        <v>2634492050</v>
      </c>
      <c r="O1158" s="80"/>
      <c r="P1158" s="82" t="s">
        <v>10279</v>
      </c>
      <c r="Q1158" s="84" t="s">
        <v>10280</v>
      </c>
      <c r="R1158" s="85" t="s">
        <v>770</v>
      </c>
      <c r="S1158" s="86" t="e">
        <f t="shared" si="5"/>
        <v>#VALUE!</v>
      </c>
      <c r="T1158" s="87" t="s">
        <v>770</v>
      </c>
      <c r="U1158" s="82"/>
      <c r="V1158" s="86">
        <v>0</v>
      </c>
      <c r="W1158" s="82"/>
      <c r="X1158" s="80"/>
      <c r="Y1158" s="88"/>
      <c r="Z1158" s="80"/>
      <c r="AA1158" s="80"/>
      <c r="AB1158" s="80"/>
      <c r="AC1158" s="82"/>
      <c r="AD1158" s="82"/>
      <c r="AE1158" s="82"/>
      <c r="AF1158" s="82"/>
      <c r="AG1158" s="82"/>
      <c r="AH1158" s="82"/>
      <c r="AI1158" s="82"/>
      <c r="AJ1158" s="82"/>
      <c r="AK1158" s="82"/>
      <c r="AL1158" s="82"/>
      <c r="AM1158" s="82"/>
      <c r="AN1158" s="82"/>
      <c r="AO1158" s="82"/>
      <c r="AP1158" s="82"/>
      <c r="AQ1158" s="82"/>
      <c r="AR1158" s="82"/>
      <c r="AS1158" s="82"/>
      <c r="AT1158" s="82"/>
    </row>
    <row r="1159" spans="1:46" ht="45" customHeight="1">
      <c r="A1159" s="21" t="s">
        <v>10281</v>
      </c>
      <c r="B1159" s="22" t="s">
        <v>10282</v>
      </c>
      <c r="C1159" s="23" t="s">
        <v>10283</v>
      </c>
      <c r="D1159" s="24" t="s">
        <v>10284</v>
      </c>
      <c r="E1159" s="24" t="s">
        <v>10285</v>
      </c>
      <c r="F1159" s="24" t="s">
        <v>10285</v>
      </c>
      <c r="G1159" s="24" t="s">
        <v>10286</v>
      </c>
      <c r="H1159" s="24"/>
      <c r="I1159" s="24" t="s">
        <v>115</v>
      </c>
      <c r="J1159" s="24" t="s">
        <v>10287</v>
      </c>
      <c r="K1159" s="24"/>
      <c r="L1159" s="24" t="s">
        <v>115</v>
      </c>
      <c r="M1159" s="206" t="s">
        <v>10288</v>
      </c>
      <c r="N1159" s="22" t="s">
        <v>10289</v>
      </c>
      <c r="O1159" s="22"/>
      <c r="P1159" s="24" t="s">
        <v>8615</v>
      </c>
      <c r="Q1159" s="28" t="s">
        <v>10290</v>
      </c>
      <c r="R1159" s="29">
        <v>746</v>
      </c>
      <c r="S1159" s="30">
        <f t="shared" si="5"/>
        <v>120852</v>
      </c>
      <c r="T1159" s="21" t="s">
        <v>252</v>
      </c>
      <c r="U1159" s="24"/>
      <c r="V1159" s="30">
        <v>123900</v>
      </c>
      <c r="W1159" s="24" t="s">
        <v>71</v>
      </c>
      <c r="X1159" s="22"/>
      <c r="Y1159" s="31"/>
      <c r="Z1159" s="22"/>
      <c r="AA1159" s="22">
        <v>4662433</v>
      </c>
      <c r="AB1159" s="22"/>
      <c r="AC1159" s="24">
        <v>5532357</v>
      </c>
      <c r="AD1159" s="45">
        <v>6466253</v>
      </c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P1159" s="24"/>
      <c r="AQ1159" s="24"/>
      <c r="AR1159" s="24"/>
      <c r="AS1159" s="24"/>
      <c r="AT1159" s="24"/>
    </row>
    <row r="1160" spans="1:46" ht="45" customHeight="1">
      <c r="A1160" s="21" t="s">
        <v>10291</v>
      </c>
      <c r="B1160" s="22" t="s">
        <v>10292</v>
      </c>
      <c r="C1160" s="23" t="s">
        <v>10293</v>
      </c>
      <c r="D1160" s="24" t="s">
        <v>10294</v>
      </c>
      <c r="E1160" s="24" t="s">
        <v>8225</v>
      </c>
      <c r="F1160" s="24" t="s">
        <v>8225</v>
      </c>
      <c r="G1160" s="24" t="s">
        <v>10295</v>
      </c>
      <c r="H1160" s="24"/>
      <c r="I1160" s="24" t="s">
        <v>41</v>
      </c>
      <c r="J1160" s="24" t="s">
        <v>10295</v>
      </c>
      <c r="K1160" s="24"/>
      <c r="L1160" s="24" t="s">
        <v>41</v>
      </c>
      <c r="M1160" s="205" t="s">
        <v>10296</v>
      </c>
      <c r="N1160" s="22" t="s">
        <v>10297</v>
      </c>
      <c r="O1160" s="22"/>
      <c r="P1160" s="24" t="s">
        <v>10298</v>
      </c>
      <c r="Q1160" s="28" t="s">
        <v>10299</v>
      </c>
      <c r="R1160" s="29">
        <v>3673</v>
      </c>
      <c r="S1160" s="30">
        <f t="shared" si="5"/>
        <v>595026</v>
      </c>
      <c r="T1160" s="21" t="s">
        <v>129</v>
      </c>
      <c r="U1160" s="24"/>
      <c r="V1160" s="30">
        <v>545160</v>
      </c>
      <c r="W1160" s="24" t="s">
        <v>71</v>
      </c>
      <c r="X1160" s="22"/>
      <c r="Y1160" s="31"/>
      <c r="Z1160" s="22"/>
      <c r="AA1160" s="22">
        <v>4717877</v>
      </c>
      <c r="AB1160" s="22"/>
      <c r="AC1160" s="24">
        <v>5504517</v>
      </c>
      <c r="AD1160" s="24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24"/>
      <c r="AS1160" s="24"/>
      <c r="AT1160" s="24"/>
    </row>
    <row r="1161" spans="1:46" ht="45" customHeight="1">
      <c r="A1161" s="12" t="s">
        <v>10300</v>
      </c>
      <c r="B1161" s="13" t="s">
        <v>10301</v>
      </c>
      <c r="C1161" s="14" t="s">
        <v>10302</v>
      </c>
      <c r="D1161" s="15" t="s">
        <v>10303</v>
      </c>
      <c r="E1161" s="15" t="s">
        <v>7991</v>
      </c>
      <c r="F1161" s="15" t="s">
        <v>7991</v>
      </c>
      <c r="G1161" s="15" t="s">
        <v>10304</v>
      </c>
      <c r="H1161" s="15"/>
      <c r="I1161" s="15" t="s">
        <v>115</v>
      </c>
      <c r="J1161" s="15" t="s">
        <v>10304</v>
      </c>
      <c r="K1161" s="15"/>
      <c r="L1161" s="15" t="s">
        <v>115</v>
      </c>
      <c r="M1161" s="200" t="s">
        <v>10305</v>
      </c>
      <c r="N1161" s="13">
        <v>4216981</v>
      </c>
      <c r="O1161" s="13"/>
      <c r="P1161" s="15" t="s">
        <v>94</v>
      </c>
      <c r="Q1161" s="17" t="s">
        <v>10306</v>
      </c>
      <c r="R1161" s="18">
        <v>212</v>
      </c>
      <c r="S1161" s="19">
        <f t="shared" si="5"/>
        <v>34344</v>
      </c>
      <c r="T1161" s="12" t="s">
        <v>46</v>
      </c>
      <c r="U1161" s="15"/>
      <c r="V1161" s="19">
        <v>44610</v>
      </c>
      <c r="W1161" s="15" t="s">
        <v>71</v>
      </c>
      <c r="X1161" s="13"/>
      <c r="Y1161" s="20"/>
      <c r="Z1161" s="13"/>
      <c r="AA1161" s="13">
        <v>4740996</v>
      </c>
      <c r="AB1161" s="13"/>
      <c r="AC1161" s="15">
        <v>5606456</v>
      </c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</row>
    <row r="1162" spans="1:46" ht="45" customHeight="1">
      <c r="A1162" s="12" t="s">
        <v>10307</v>
      </c>
      <c r="B1162" s="13" t="s">
        <v>10308</v>
      </c>
      <c r="C1162" s="14" t="s">
        <v>10309</v>
      </c>
      <c r="D1162" s="15" t="s">
        <v>10310</v>
      </c>
      <c r="E1162" s="15" t="s">
        <v>7991</v>
      </c>
      <c r="F1162" s="15" t="s">
        <v>7991</v>
      </c>
      <c r="G1162" s="15" t="s">
        <v>10311</v>
      </c>
      <c r="H1162" s="15"/>
      <c r="I1162" s="15" t="s">
        <v>65</v>
      </c>
      <c r="J1162" s="15" t="s">
        <v>10311</v>
      </c>
      <c r="K1162" s="15"/>
      <c r="L1162" s="15" t="s">
        <v>65</v>
      </c>
      <c r="M1162" s="200" t="s">
        <v>438</v>
      </c>
      <c r="N1162" s="13">
        <v>2612061024</v>
      </c>
      <c r="O1162" s="13"/>
      <c r="P1162" s="15" t="s">
        <v>94</v>
      </c>
      <c r="Q1162" s="17" t="s">
        <v>10312</v>
      </c>
      <c r="R1162" s="18">
        <v>287</v>
      </c>
      <c r="S1162" s="19">
        <f t="shared" si="5"/>
        <v>46494</v>
      </c>
      <c r="T1162" s="12" t="s">
        <v>46</v>
      </c>
      <c r="U1162" s="15"/>
      <c r="V1162" s="19">
        <v>44610</v>
      </c>
      <c r="W1162" s="15" t="s">
        <v>71</v>
      </c>
      <c r="X1162" s="13"/>
      <c r="Y1162" s="20"/>
      <c r="Z1162" s="13"/>
      <c r="AA1162" s="13">
        <v>4744999</v>
      </c>
      <c r="AB1162" s="13"/>
      <c r="AC1162" s="15">
        <v>5606458</v>
      </c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</row>
    <row r="1163" spans="1:46" ht="45" customHeight="1">
      <c r="A1163" s="12" t="s">
        <v>10313</v>
      </c>
      <c r="B1163" s="13" t="s">
        <v>10314</v>
      </c>
      <c r="C1163" s="14" t="s">
        <v>10315</v>
      </c>
      <c r="D1163" s="15" t="s">
        <v>10316</v>
      </c>
      <c r="E1163" s="15" t="s">
        <v>7991</v>
      </c>
      <c r="F1163" s="15" t="s">
        <v>7991</v>
      </c>
      <c r="G1163" s="15" t="s">
        <v>10317</v>
      </c>
      <c r="H1163" s="15"/>
      <c r="I1163" s="15" t="s">
        <v>149</v>
      </c>
      <c r="J1163" s="15" t="s">
        <v>10317</v>
      </c>
      <c r="K1163" s="15"/>
      <c r="L1163" s="15" t="s">
        <v>149</v>
      </c>
      <c r="M1163" s="200" t="s">
        <v>10318</v>
      </c>
      <c r="N1163" s="13">
        <v>2615971393</v>
      </c>
      <c r="O1163" s="13"/>
      <c r="P1163" s="15" t="s">
        <v>94</v>
      </c>
      <c r="Q1163" s="17" t="s">
        <v>10319</v>
      </c>
      <c r="R1163" s="18">
        <v>508</v>
      </c>
      <c r="S1163" s="19">
        <f t="shared" si="5"/>
        <v>82296</v>
      </c>
      <c r="T1163" s="12" t="s">
        <v>46</v>
      </c>
      <c r="U1163" s="15"/>
      <c r="V1163" s="19">
        <v>44610</v>
      </c>
      <c r="W1163" s="15" t="s">
        <v>71</v>
      </c>
      <c r="X1163" s="13"/>
      <c r="Y1163" s="20"/>
      <c r="Z1163" s="13">
        <v>3906485</v>
      </c>
      <c r="AA1163" s="13">
        <v>4757921</v>
      </c>
      <c r="AB1163" s="13"/>
      <c r="AC1163" s="15">
        <v>5596157</v>
      </c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</row>
    <row r="1164" spans="1:46" ht="45" customHeight="1">
      <c r="A1164" s="12" t="s">
        <v>10320</v>
      </c>
      <c r="B1164" s="13" t="s">
        <v>10321</v>
      </c>
      <c r="C1164" s="66" t="s">
        <v>10322</v>
      </c>
      <c r="D1164" s="15" t="s">
        <v>10323</v>
      </c>
      <c r="E1164" s="15" t="s">
        <v>10324</v>
      </c>
      <c r="F1164" s="15" t="s">
        <v>8225</v>
      </c>
      <c r="G1164" s="15" t="s">
        <v>10325</v>
      </c>
      <c r="H1164" s="15"/>
      <c r="I1164" s="15" t="s">
        <v>6104</v>
      </c>
      <c r="J1164" s="15" t="s">
        <v>10325</v>
      </c>
      <c r="K1164" s="15"/>
      <c r="L1164" s="15" t="s">
        <v>6104</v>
      </c>
      <c r="M1164" s="200" t="s">
        <v>10326</v>
      </c>
      <c r="N1164" s="13">
        <v>2622310791</v>
      </c>
      <c r="O1164" s="13"/>
      <c r="P1164" s="15" t="s">
        <v>94</v>
      </c>
      <c r="Q1164" s="17" t="s">
        <v>10327</v>
      </c>
      <c r="R1164" s="18" t="s">
        <v>5746</v>
      </c>
      <c r="S1164" s="19" t="e">
        <f t="shared" si="5"/>
        <v>#VALUE!</v>
      </c>
      <c r="T1164" s="12" t="s">
        <v>5746</v>
      </c>
      <c r="U1164" s="15"/>
      <c r="V1164" s="19">
        <v>6300</v>
      </c>
      <c r="W1164" s="15"/>
      <c r="X1164" s="13"/>
      <c r="Y1164" s="20"/>
      <c r="Z1164" s="13"/>
      <c r="AA1164" s="13"/>
      <c r="AB1164" s="13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</row>
    <row r="1165" spans="1:46" ht="45" customHeight="1">
      <c r="A1165" s="12" t="s">
        <v>10328</v>
      </c>
      <c r="B1165" s="13" t="s">
        <v>10329</v>
      </c>
      <c r="C1165" s="66" t="s">
        <v>10330</v>
      </c>
      <c r="D1165" s="15" t="s">
        <v>10331</v>
      </c>
      <c r="E1165" s="15"/>
      <c r="F1165" s="15"/>
      <c r="G1165" s="15" t="s">
        <v>10332</v>
      </c>
      <c r="H1165" s="15"/>
      <c r="I1165" s="15" t="s">
        <v>6584</v>
      </c>
      <c r="J1165" s="15" t="s">
        <v>10333</v>
      </c>
      <c r="K1165" s="15"/>
      <c r="L1165" s="15" t="s">
        <v>6584</v>
      </c>
      <c r="M1165" s="200" t="s">
        <v>10334</v>
      </c>
      <c r="N1165" s="13">
        <v>2615005877</v>
      </c>
      <c r="O1165" s="13"/>
      <c r="P1165" s="15" t="s">
        <v>94</v>
      </c>
      <c r="Q1165" s="17" t="s">
        <v>10335</v>
      </c>
      <c r="R1165" s="18">
        <v>186</v>
      </c>
      <c r="S1165" s="19">
        <f t="shared" si="5"/>
        <v>30132</v>
      </c>
      <c r="T1165" s="12" t="s">
        <v>46</v>
      </c>
      <c r="U1165" s="15"/>
      <c r="V1165" s="19">
        <v>44610</v>
      </c>
      <c r="W1165" s="15" t="s">
        <v>71</v>
      </c>
      <c r="X1165" s="13"/>
      <c r="Y1165" s="20"/>
      <c r="Z1165" s="13"/>
      <c r="AA1165" s="13"/>
      <c r="AB1165" s="13"/>
      <c r="AC1165" s="15">
        <v>5499760</v>
      </c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</row>
    <row r="1166" spans="1:46" ht="45" customHeight="1">
      <c r="A1166" s="21" t="s">
        <v>10336</v>
      </c>
      <c r="B1166" s="22" t="s">
        <v>10337</v>
      </c>
      <c r="C1166" s="23" t="s">
        <v>10338</v>
      </c>
      <c r="D1166" s="24" t="s">
        <v>10339</v>
      </c>
      <c r="E1166" s="24" t="s">
        <v>8225</v>
      </c>
      <c r="F1166" s="24" t="s">
        <v>8225</v>
      </c>
      <c r="G1166" s="24" t="s">
        <v>10340</v>
      </c>
      <c r="H1166" s="24"/>
      <c r="I1166" s="24" t="s">
        <v>10341</v>
      </c>
      <c r="J1166" s="24" t="s">
        <v>10340</v>
      </c>
      <c r="K1166" s="24"/>
      <c r="L1166" s="24" t="s">
        <v>6584</v>
      </c>
      <c r="M1166" s="206" t="s">
        <v>10342</v>
      </c>
      <c r="N1166" s="22" t="s">
        <v>10343</v>
      </c>
      <c r="O1166" s="22"/>
      <c r="P1166" s="24" t="s">
        <v>408</v>
      </c>
      <c r="Q1166" s="28" t="s">
        <v>10344</v>
      </c>
      <c r="R1166" s="29">
        <v>2724</v>
      </c>
      <c r="S1166" s="30">
        <f t="shared" si="5"/>
        <v>441288</v>
      </c>
      <c r="T1166" s="21" t="s">
        <v>96</v>
      </c>
      <c r="U1166" s="24"/>
      <c r="V1166" s="30">
        <v>368160</v>
      </c>
      <c r="W1166" s="24"/>
      <c r="X1166" s="22"/>
      <c r="Y1166" s="31"/>
      <c r="Z1166" s="22"/>
      <c r="AA1166" s="22">
        <v>4756436</v>
      </c>
      <c r="AB1166" s="22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24"/>
      <c r="AS1166" s="24"/>
      <c r="AT1166" s="24"/>
    </row>
    <row r="1167" spans="1:46" ht="45" customHeight="1">
      <c r="A1167" s="12" t="s">
        <v>10345</v>
      </c>
      <c r="B1167" s="13" t="s">
        <v>10346</v>
      </c>
      <c r="C1167" s="66" t="s">
        <v>10347</v>
      </c>
      <c r="D1167" s="15" t="s">
        <v>10348</v>
      </c>
      <c r="E1167" s="15"/>
      <c r="F1167" s="15"/>
      <c r="G1167" s="15" t="s">
        <v>10325</v>
      </c>
      <c r="H1167" s="15"/>
      <c r="I1167" s="15" t="s">
        <v>6104</v>
      </c>
      <c r="J1167" s="15" t="s">
        <v>10325</v>
      </c>
      <c r="K1167" s="15"/>
      <c r="L1167" s="15" t="s">
        <v>6104</v>
      </c>
      <c r="M1167" s="200" t="s">
        <v>10349</v>
      </c>
      <c r="N1167" s="13">
        <v>2616751931</v>
      </c>
      <c r="O1167" s="13"/>
      <c r="P1167" s="15" t="s">
        <v>1381</v>
      </c>
      <c r="Q1167" s="17" t="s">
        <v>10350</v>
      </c>
      <c r="R1167" s="18" t="s">
        <v>5746</v>
      </c>
      <c r="S1167" s="19" t="e">
        <f t="shared" si="5"/>
        <v>#VALUE!</v>
      </c>
      <c r="T1167" s="12" t="s">
        <v>5746</v>
      </c>
      <c r="U1167" s="15"/>
      <c r="V1167" s="19">
        <v>6300</v>
      </c>
      <c r="W1167" s="15"/>
      <c r="X1167" s="13"/>
      <c r="Y1167" s="20"/>
      <c r="Z1167" s="13"/>
      <c r="AA1167" s="13"/>
      <c r="AB1167" s="13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</row>
    <row r="1168" spans="1:46" ht="45" customHeight="1">
      <c r="A1168" s="21" t="s">
        <v>10351</v>
      </c>
      <c r="B1168" s="22" t="s">
        <v>10352</v>
      </c>
      <c r="C1168" s="23" t="s">
        <v>3653</v>
      </c>
      <c r="D1168" s="24" t="s">
        <v>3654</v>
      </c>
      <c r="E1168" s="24" t="s">
        <v>8225</v>
      </c>
      <c r="F1168" s="24" t="s">
        <v>8225</v>
      </c>
      <c r="G1168" s="24" t="s">
        <v>10353</v>
      </c>
      <c r="H1168" s="24" t="s">
        <v>9482</v>
      </c>
      <c r="I1168" s="24" t="s">
        <v>80</v>
      </c>
      <c r="J1168" s="24" t="s">
        <v>10354</v>
      </c>
      <c r="K1168" s="24" t="s">
        <v>2792</v>
      </c>
      <c r="L1168" s="24" t="s">
        <v>8944</v>
      </c>
      <c r="M1168" s="208" t="s">
        <v>10355</v>
      </c>
      <c r="N1168" s="22" t="s">
        <v>10356</v>
      </c>
      <c r="O1168" s="22"/>
      <c r="P1168" s="24" t="s">
        <v>117</v>
      </c>
      <c r="Q1168" s="28" t="s">
        <v>10357</v>
      </c>
      <c r="R1168" s="29">
        <v>1206</v>
      </c>
      <c r="S1168" s="30">
        <f t="shared" si="5"/>
        <v>195372</v>
      </c>
      <c r="T1168" s="21" t="s">
        <v>198</v>
      </c>
      <c r="U1168" s="24"/>
      <c r="V1168" s="30">
        <v>215940</v>
      </c>
      <c r="W1168" s="24"/>
      <c r="X1168" s="22"/>
      <c r="Y1168" s="31"/>
      <c r="Z1168" s="22">
        <v>3891406</v>
      </c>
      <c r="AA1168" s="22"/>
      <c r="AB1168" s="22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24"/>
      <c r="AS1168" s="24"/>
      <c r="AT1168" s="24"/>
    </row>
    <row r="1169" spans="1:46" ht="45" customHeight="1">
      <c r="A1169" s="12" t="s">
        <v>10358</v>
      </c>
      <c r="B1169" s="13" t="s">
        <v>10359</v>
      </c>
      <c r="C1169" s="14" t="s">
        <v>10360</v>
      </c>
      <c r="D1169" s="15" t="s">
        <v>10361</v>
      </c>
      <c r="E1169" s="15" t="s">
        <v>10362</v>
      </c>
      <c r="F1169" s="15" t="s">
        <v>10362</v>
      </c>
      <c r="G1169" s="15" t="s">
        <v>10363</v>
      </c>
      <c r="H1169" s="15" t="s">
        <v>52</v>
      </c>
      <c r="I1169" s="15" t="s">
        <v>10364</v>
      </c>
      <c r="J1169" s="15" t="s">
        <v>10363</v>
      </c>
      <c r="K1169" s="15" t="s">
        <v>52</v>
      </c>
      <c r="L1169" s="15" t="s">
        <v>10364</v>
      </c>
      <c r="M1169" s="200" t="s">
        <v>10365</v>
      </c>
      <c r="N1169" s="13" t="s">
        <v>10366</v>
      </c>
      <c r="O1169" s="13"/>
      <c r="P1169" s="15" t="s">
        <v>44</v>
      </c>
      <c r="Q1169" s="17" t="s">
        <v>10367</v>
      </c>
      <c r="R1169" s="18">
        <v>28</v>
      </c>
      <c r="S1169" s="19">
        <f t="shared" si="5"/>
        <v>4536</v>
      </c>
      <c r="T1169" s="12" t="s">
        <v>46</v>
      </c>
      <c r="U1169" s="15"/>
      <c r="V1169" s="19">
        <v>44610</v>
      </c>
      <c r="W1169" s="15"/>
      <c r="X1169" s="13"/>
      <c r="Y1169" s="20"/>
      <c r="Z1169" s="13">
        <v>3772290</v>
      </c>
      <c r="AA1169" s="13"/>
      <c r="AB1169" s="13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</row>
    <row r="1170" spans="1:46" ht="45" customHeight="1">
      <c r="A1170" s="12" t="s">
        <v>10368</v>
      </c>
      <c r="B1170" s="13" t="s">
        <v>10369</v>
      </c>
      <c r="C1170" s="14" t="s">
        <v>10370</v>
      </c>
      <c r="D1170" s="15" t="s">
        <v>8501</v>
      </c>
      <c r="E1170" s="15" t="s">
        <v>10371</v>
      </c>
      <c r="F1170" s="15" t="s">
        <v>10371</v>
      </c>
      <c r="G1170" s="15" t="s">
        <v>10372</v>
      </c>
      <c r="H1170" s="15"/>
      <c r="I1170" s="15" t="s">
        <v>41</v>
      </c>
      <c r="J1170" s="15" t="s">
        <v>10373</v>
      </c>
      <c r="K1170" s="15"/>
      <c r="L1170" s="15" t="s">
        <v>115</v>
      </c>
      <c r="M1170" s="207" t="s">
        <v>6983</v>
      </c>
      <c r="N1170" s="13" t="s">
        <v>10374</v>
      </c>
      <c r="O1170" s="13"/>
      <c r="P1170" s="15" t="s">
        <v>94</v>
      </c>
      <c r="Q1170" s="17" t="s">
        <v>10375</v>
      </c>
      <c r="R1170" s="18">
        <v>527</v>
      </c>
      <c r="S1170" s="19">
        <f t="shared" si="5"/>
        <v>85374</v>
      </c>
      <c r="T1170" s="12" t="s">
        <v>46</v>
      </c>
      <c r="U1170" s="15"/>
      <c r="V1170" s="19">
        <v>44610</v>
      </c>
      <c r="W1170" s="15"/>
      <c r="X1170" s="13"/>
      <c r="Y1170" s="20">
        <v>3573023</v>
      </c>
      <c r="Z1170" s="13"/>
      <c r="AA1170" s="13">
        <v>4756657</v>
      </c>
      <c r="AB1170" s="13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</row>
    <row r="1171" spans="1:46" ht="45" customHeight="1">
      <c r="A1171" s="12" t="s">
        <v>10376</v>
      </c>
      <c r="B1171" s="13" t="s">
        <v>10377</v>
      </c>
      <c r="C1171" s="66" t="s">
        <v>10378</v>
      </c>
      <c r="D1171" s="15" t="s">
        <v>10379</v>
      </c>
      <c r="E1171" s="15"/>
      <c r="F1171" s="15"/>
      <c r="G1171" s="15" t="s">
        <v>10380</v>
      </c>
      <c r="H1171" s="15"/>
      <c r="I1171" s="15" t="s">
        <v>6584</v>
      </c>
      <c r="J1171" s="15" t="s">
        <v>10380</v>
      </c>
      <c r="K1171" s="15"/>
      <c r="L1171" s="15" t="s">
        <v>6584</v>
      </c>
      <c r="M1171" s="200" t="s">
        <v>10381</v>
      </c>
      <c r="N1171" s="13"/>
      <c r="O1171" s="13"/>
      <c r="P1171" s="15" t="s">
        <v>94</v>
      </c>
      <c r="Q1171" s="17" t="s">
        <v>10382</v>
      </c>
      <c r="R1171" s="18" t="s">
        <v>5746</v>
      </c>
      <c r="S1171" s="19" t="e">
        <f t="shared" si="5"/>
        <v>#VALUE!</v>
      </c>
      <c r="T1171" s="12" t="s">
        <v>5746</v>
      </c>
      <c r="U1171" s="15"/>
      <c r="V1171" s="19">
        <v>6300</v>
      </c>
      <c r="W1171" s="15"/>
      <c r="X1171" s="13"/>
      <c r="Y1171" s="20"/>
      <c r="Z1171" s="13"/>
      <c r="AA1171" s="13"/>
      <c r="AB1171" s="13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</row>
    <row r="1172" spans="1:46" ht="45" customHeight="1">
      <c r="A1172" s="21" t="s">
        <v>10383</v>
      </c>
      <c r="B1172" s="22" t="s">
        <v>10384</v>
      </c>
      <c r="C1172" s="23" t="s">
        <v>10385</v>
      </c>
      <c r="D1172" s="24" t="s">
        <v>10159</v>
      </c>
      <c r="E1172" s="24"/>
      <c r="F1172" s="24"/>
      <c r="G1172" s="24" t="s">
        <v>10386</v>
      </c>
      <c r="H1172" s="24"/>
      <c r="I1172" s="24" t="s">
        <v>6584</v>
      </c>
      <c r="J1172" s="24" t="s">
        <v>10386</v>
      </c>
      <c r="K1172" s="24"/>
      <c r="L1172" s="24" t="s">
        <v>6584</v>
      </c>
      <c r="M1172" s="205" t="s">
        <v>10387</v>
      </c>
      <c r="N1172" s="22">
        <v>2614766000</v>
      </c>
      <c r="O1172" s="22"/>
      <c r="P1172" s="24" t="s">
        <v>10165</v>
      </c>
      <c r="Q1172" s="28" t="s">
        <v>10388</v>
      </c>
      <c r="R1172" s="29">
        <v>753</v>
      </c>
      <c r="S1172" s="30">
        <f t="shared" si="5"/>
        <v>121986</v>
      </c>
      <c r="T1172" s="21" t="s">
        <v>252</v>
      </c>
      <c r="U1172" s="24"/>
      <c r="V1172" s="30">
        <v>123900</v>
      </c>
      <c r="W1172" s="24" t="s">
        <v>71</v>
      </c>
      <c r="X1172" s="22"/>
      <c r="Y1172" s="31"/>
      <c r="Z1172" s="22"/>
      <c r="AA1172" s="22">
        <v>4749612</v>
      </c>
      <c r="AB1172" s="22"/>
      <c r="AC1172" s="24">
        <v>5606826</v>
      </c>
      <c r="AD1172" s="24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P1172" s="24"/>
      <c r="AQ1172" s="24"/>
      <c r="AR1172" s="24"/>
      <c r="AS1172" s="24"/>
      <c r="AT1172" s="24"/>
    </row>
    <row r="1173" spans="1:46" ht="45" customHeight="1">
      <c r="A1173" s="21" t="s">
        <v>10389</v>
      </c>
      <c r="B1173" s="22" t="s">
        <v>10390</v>
      </c>
      <c r="C1173" s="23" t="s">
        <v>10391</v>
      </c>
      <c r="D1173" s="24" t="s">
        <v>10392</v>
      </c>
      <c r="E1173" s="24" t="s">
        <v>10393</v>
      </c>
      <c r="F1173" s="24" t="s">
        <v>8953</v>
      </c>
      <c r="G1173" s="24" t="s">
        <v>10394</v>
      </c>
      <c r="H1173" s="24"/>
      <c r="I1173" s="24" t="s">
        <v>149</v>
      </c>
      <c r="J1173" s="24" t="s">
        <v>10394</v>
      </c>
      <c r="K1173" s="24"/>
      <c r="L1173" s="24" t="s">
        <v>149</v>
      </c>
      <c r="M1173" s="25" t="s">
        <v>10395</v>
      </c>
      <c r="N1173" s="22">
        <v>2615638723</v>
      </c>
      <c r="O1173" s="22"/>
      <c r="P1173" s="24" t="s">
        <v>10252</v>
      </c>
      <c r="Q1173" s="28" t="s">
        <v>10396</v>
      </c>
      <c r="R1173" s="29">
        <v>365</v>
      </c>
      <c r="S1173" s="30">
        <f t="shared" si="5"/>
        <v>59130</v>
      </c>
      <c r="T1173" s="21" t="s">
        <v>252</v>
      </c>
      <c r="U1173" s="24"/>
      <c r="V1173" s="30">
        <v>123900</v>
      </c>
      <c r="W1173" s="24" t="s">
        <v>71</v>
      </c>
      <c r="X1173" s="22"/>
      <c r="Y1173" s="31"/>
      <c r="Z1173" s="22"/>
      <c r="AA1173" s="22">
        <v>4734335</v>
      </c>
      <c r="AB1173" s="22"/>
      <c r="AC1173" s="24">
        <v>5506210</v>
      </c>
      <c r="AD1173" s="24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P1173" s="24"/>
      <c r="AQ1173" s="24"/>
      <c r="AR1173" s="24"/>
      <c r="AS1173" s="24"/>
      <c r="AT1173" s="24"/>
    </row>
    <row r="1174" spans="1:46" ht="45" customHeight="1">
      <c r="A1174" s="12" t="s">
        <v>10397</v>
      </c>
      <c r="B1174" s="13" t="s">
        <v>10398</v>
      </c>
      <c r="C1174" s="14" t="s">
        <v>10399</v>
      </c>
      <c r="D1174" s="15" t="s">
        <v>10400</v>
      </c>
      <c r="E1174" s="15" t="s">
        <v>10401</v>
      </c>
      <c r="F1174" s="15" t="s">
        <v>10401</v>
      </c>
      <c r="G1174" s="15" t="s">
        <v>10402</v>
      </c>
      <c r="H1174" s="15"/>
      <c r="I1174" s="15" t="s">
        <v>5916</v>
      </c>
      <c r="J1174" s="15" t="s">
        <v>10402</v>
      </c>
      <c r="K1174" s="15"/>
      <c r="L1174" s="15" t="s">
        <v>5916</v>
      </c>
      <c r="M1174" s="199" t="s">
        <v>10403</v>
      </c>
      <c r="N1174" s="13" t="s">
        <v>10404</v>
      </c>
      <c r="O1174" s="13"/>
      <c r="P1174" s="15" t="s">
        <v>10252</v>
      </c>
      <c r="Q1174" s="17" t="s">
        <v>10405</v>
      </c>
      <c r="R1174" s="18">
        <v>45</v>
      </c>
      <c r="S1174" s="19">
        <f t="shared" si="5"/>
        <v>7290</v>
      </c>
      <c r="T1174" s="12" t="s">
        <v>46</v>
      </c>
      <c r="U1174" s="15"/>
      <c r="V1174" s="19">
        <v>44610</v>
      </c>
      <c r="W1174" s="15" t="s">
        <v>71</v>
      </c>
      <c r="X1174" s="13"/>
      <c r="Y1174" s="20"/>
      <c r="Z1174" s="13">
        <v>3901207</v>
      </c>
      <c r="AA1174" s="13">
        <v>4757807</v>
      </c>
      <c r="AB1174" s="13"/>
      <c r="AC1174" s="15">
        <v>5609941</v>
      </c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</row>
    <row r="1175" spans="1:46" ht="45" customHeight="1">
      <c r="A1175" s="182" t="s">
        <v>10406</v>
      </c>
      <c r="B1175" s="178" t="s">
        <v>10407</v>
      </c>
      <c r="C1175" s="212" t="s">
        <v>10408</v>
      </c>
      <c r="D1175" s="180" t="s">
        <v>10409</v>
      </c>
      <c r="E1175" s="180" t="s">
        <v>3444</v>
      </c>
      <c r="F1175" s="180" t="s">
        <v>3444</v>
      </c>
      <c r="G1175" s="180" t="s">
        <v>10410</v>
      </c>
      <c r="H1175" s="180"/>
      <c r="I1175" s="180" t="s">
        <v>80</v>
      </c>
      <c r="J1175" s="180" t="s">
        <v>10410</v>
      </c>
      <c r="K1175" s="180"/>
      <c r="L1175" s="180" t="s">
        <v>80</v>
      </c>
      <c r="M1175" s="180" t="s">
        <v>10411</v>
      </c>
      <c r="N1175" s="178" t="s">
        <v>10412</v>
      </c>
      <c r="O1175" s="178"/>
      <c r="P1175" s="180" t="s">
        <v>10413</v>
      </c>
      <c r="Q1175" s="213"/>
      <c r="R1175" s="183" t="s">
        <v>5746</v>
      </c>
      <c r="S1175" s="214" t="e">
        <f t="shared" si="5"/>
        <v>#VALUE!</v>
      </c>
      <c r="T1175" s="182" t="s">
        <v>5746</v>
      </c>
      <c r="U1175" s="180"/>
      <c r="V1175" s="214">
        <v>30500</v>
      </c>
      <c r="W1175" s="180"/>
      <c r="X1175" s="178">
        <v>1705222</v>
      </c>
      <c r="Y1175" s="187"/>
      <c r="Z1175" s="178"/>
      <c r="AA1175" s="178"/>
      <c r="AB1175" s="178"/>
      <c r="AC1175" s="180"/>
      <c r="AD1175" s="180"/>
      <c r="AE1175" s="180"/>
      <c r="AF1175" s="180"/>
      <c r="AG1175" s="180"/>
      <c r="AH1175" s="180"/>
      <c r="AI1175" s="180"/>
      <c r="AJ1175" s="180"/>
      <c r="AK1175" s="180"/>
      <c r="AL1175" s="180"/>
      <c r="AM1175" s="180"/>
      <c r="AN1175" s="180"/>
      <c r="AO1175" s="180"/>
      <c r="AP1175" s="180"/>
      <c r="AQ1175" s="180"/>
      <c r="AR1175" s="180"/>
      <c r="AS1175" s="180"/>
      <c r="AT1175" s="180"/>
    </row>
    <row r="1176" spans="1:46" ht="45" customHeight="1">
      <c r="A1176" s="50" t="s">
        <v>10414</v>
      </c>
      <c r="B1176" s="51" t="s">
        <v>10415</v>
      </c>
      <c r="C1176" s="52" t="s">
        <v>10416</v>
      </c>
      <c r="D1176" s="53" t="s">
        <v>10417</v>
      </c>
      <c r="E1176" s="53" t="s">
        <v>3315</v>
      </c>
      <c r="F1176" s="53" t="s">
        <v>3315</v>
      </c>
      <c r="G1176" s="53" t="s">
        <v>10418</v>
      </c>
      <c r="H1176" s="53"/>
      <c r="I1176" s="53" t="s">
        <v>8973</v>
      </c>
      <c r="J1176" s="53" t="s">
        <v>10418</v>
      </c>
      <c r="K1176" s="53"/>
      <c r="L1176" s="53" t="s">
        <v>8973</v>
      </c>
      <c r="M1176" s="210" t="s">
        <v>10419</v>
      </c>
      <c r="N1176" s="51" t="s">
        <v>10420</v>
      </c>
      <c r="O1176" s="51"/>
      <c r="P1176" s="53" t="s">
        <v>94</v>
      </c>
      <c r="Q1176" s="55" t="s">
        <v>10421</v>
      </c>
      <c r="R1176" s="56">
        <v>88</v>
      </c>
      <c r="S1176" s="57">
        <f t="shared" si="5"/>
        <v>14256</v>
      </c>
      <c r="T1176" s="50" t="s">
        <v>46</v>
      </c>
      <c r="U1176" s="53"/>
      <c r="V1176" s="57">
        <v>44610</v>
      </c>
      <c r="W1176" s="53"/>
      <c r="X1176" s="51"/>
      <c r="Y1176" s="58">
        <v>3592722</v>
      </c>
      <c r="Z1176" s="51"/>
      <c r="AA1176" s="51"/>
      <c r="AB1176" s="51"/>
      <c r="AC1176" s="53"/>
      <c r="AD1176" s="53"/>
      <c r="AE1176" s="53"/>
      <c r="AF1176" s="53"/>
      <c r="AG1176" s="53"/>
      <c r="AH1176" s="53"/>
      <c r="AI1176" s="53"/>
      <c r="AJ1176" s="53"/>
      <c r="AK1176" s="53"/>
      <c r="AL1176" s="53"/>
      <c r="AM1176" s="53"/>
      <c r="AN1176" s="53"/>
      <c r="AO1176" s="53"/>
      <c r="AP1176" s="53"/>
      <c r="AQ1176" s="53"/>
      <c r="AR1176" s="53"/>
      <c r="AS1176" s="53"/>
      <c r="AT1176" s="53"/>
    </row>
    <row r="1177" spans="1:46" ht="45" customHeight="1">
      <c r="A1177" s="50" t="s">
        <v>10422</v>
      </c>
      <c r="B1177" s="51" t="s">
        <v>10423</v>
      </c>
      <c r="C1177" s="95" t="s">
        <v>10424</v>
      </c>
      <c r="D1177" s="53" t="s">
        <v>10425</v>
      </c>
      <c r="E1177" s="53" t="s">
        <v>3315</v>
      </c>
      <c r="F1177" s="53" t="s">
        <v>3315</v>
      </c>
      <c r="G1177" s="53" t="s">
        <v>10426</v>
      </c>
      <c r="H1177" s="53" t="s">
        <v>2652</v>
      </c>
      <c r="I1177" s="53" t="s">
        <v>53</v>
      </c>
      <c r="J1177" s="53" t="s">
        <v>10427</v>
      </c>
      <c r="K1177" s="53"/>
      <c r="L1177" s="53" t="s">
        <v>53</v>
      </c>
      <c r="M1177" s="210"/>
      <c r="N1177" s="51"/>
      <c r="O1177" s="51"/>
      <c r="P1177" s="53" t="s">
        <v>94</v>
      </c>
      <c r="Q1177" s="55" t="s">
        <v>10428</v>
      </c>
      <c r="R1177" s="56">
        <v>90</v>
      </c>
      <c r="S1177" s="57">
        <f t="shared" si="5"/>
        <v>14580</v>
      </c>
      <c r="T1177" s="50" t="s">
        <v>46</v>
      </c>
      <c r="U1177" s="53"/>
      <c r="V1177" s="57">
        <v>44610</v>
      </c>
      <c r="W1177" s="53"/>
      <c r="X1177" s="51"/>
      <c r="Y1177" s="58">
        <v>3592673</v>
      </c>
      <c r="Z1177" s="51"/>
      <c r="AA1177" s="51"/>
      <c r="AB1177" s="51"/>
      <c r="AC1177" s="53"/>
      <c r="AD1177" s="53"/>
      <c r="AE1177" s="53"/>
      <c r="AF1177" s="53"/>
      <c r="AG1177" s="53"/>
      <c r="AH1177" s="53"/>
      <c r="AI1177" s="53"/>
      <c r="AJ1177" s="53"/>
      <c r="AK1177" s="53"/>
      <c r="AL1177" s="53"/>
      <c r="AM1177" s="53"/>
      <c r="AN1177" s="53"/>
      <c r="AO1177" s="53"/>
      <c r="AP1177" s="53"/>
      <c r="AQ1177" s="53"/>
      <c r="AR1177" s="53"/>
      <c r="AS1177" s="53"/>
      <c r="AT1177" s="53"/>
    </row>
    <row r="1178" spans="1:46" ht="45" customHeight="1">
      <c r="A1178" s="79" t="s">
        <v>10429</v>
      </c>
      <c r="B1178" s="80" t="s">
        <v>10430</v>
      </c>
      <c r="C1178" s="81" t="s">
        <v>10431</v>
      </c>
      <c r="D1178" s="82" t="s">
        <v>10432</v>
      </c>
      <c r="E1178" s="82" t="s">
        <v>10433</v>
      </c>
      <c r="F1178" s="82" t="s">
        <v>10433</v>
      </c>
      <c r="G1178" s="82" t="s">
        <v>10434</v>
      </c>
      <c r="H1178" s="82"/>
      <c r="I1178" s="82" t="s">
        <v>53</v>
      </c>
      <c r="J1178" s="82" t="s">
        <v>10435</v>
      </c>
      <c r="K1178" s="82"/>
      <c r="L1178" s="82" t="s">
        <v>38</v>
      </c>
      <c r="M1178" s="219" t="s">
        <v>10436</v>
      </c>
      <c r="N1178" s="80">
        <v>2612582018</v>
      </c>
      <c r="O1178" s="80"/>
      <c r="P1178" s="82" t="s">
        <v>44</v>
      </c>
      <c r="Q1178" s="84" t="s">
        <v>10437</v>
      </c>
      <c r="R1178" s="85" t="s">
        <v>770</v>
      </c>
      <c r="S1178" s="86" t="e">
        <f t="shared" si="5"/>
        <v>#VALUE!</v>
      </c>
      <c r="T1178" s="87" t="s">
        <v>770</v>
      </c>
      <c r="U1178" s="82"/>
      <c r="V1178" s="86">
        <v>0</v>
      </c>
      <c r="W1178" s="82"/>
      <c r="X1178" s="80"/>
      <c r="Y1178" s="88">
        <v>3608957</v>
      </c>
      <c r="Z1178" s="80"/>
      <c r="AA1178" s="80"/>
      <c r="AB1178" s="80"/>
      <c r="AC1178" s="82"/>
      <c r="AD1178" s="82"/>
      <c r="AE1178" s="82"/>
      <c r="AF1178" s="82"/>
      <c r="AG1178" s="82"/>
      <c r="AH1178" s="82"/>
      <c r="AI1178" s="82"/>
      <c r="AJ1178" s="82"/>
      <c r="AK1178" s="82"/>
      <c r="AL1178" s="82"/>
      <c r="AM1178" s="82"/>
      <c r="AN1178" s="82"/>
      <c r="AO1178" s="82"/>
      <c r="AP1178" s="82"/>
      <c r="AQ1178" s="82"/>
      <c r="AR1178" s="82"/>
      <c r="AS1178" s="82"/>
      <c r="AT1178" s="82"/>
    </row>
    <row r="1179" spans="1:46" ht="45" customHeight="1">
      <c r="A1179" s="79" t="s">
        <v>10438</v>
      </c>
      <c r="B1179" s="80" t="s">
        <v>10439</v>
      </c>
      <c r="C1179" s="81" t="s">
        <v>10440</v>
      </c>
      <c r="D1179" s="82" t="s">
        <v>10441</v>
      </c>
      <c r="E1179" s="82" t="s">
        <v>10442</v>
      </c>
      <c r="F1179" s="82" t="s">
        <v>10442</v>
      </c>
      <c r="G1179" s="82" t="s">
        <v>10443</v>
      </c>
      <c r="H1179" s="82"/>
      <c r="I1179" s="82" t="s">
        <v>115</v>
      </c>
      <c r="J1179" s="82" t="s">
        <v>10443</v>
      </c>
      <c r="K1179" s="82"/>
      <c r="L1179" s="82" t="s">
        <v>115</v>
      </c>
      <c r="M1179" s="219" t="s">
        <v>10444</v>
      </c>
      <c r="N1179" s="80" t="s">
        <v>10445</v>
      </c>
      <c r="O1179" s="80"/>
      <c r="P1179" s="82" t="s">
        <v>10446</v>
      </c>
      <c r="Q1179" s="84" t="s">
        <v>10447</v>
      </c>
      <c r="R1179" s="85" t="s">
        <v>770</v>
      </c>
      <c r="S1179" s="86" t="e">
        <f t="shared" si="5"/>
        <v>#VALUE!</v>
      </c>
      <c r="T1179" s="87" t="s">
        <v>770</v>
      </c>
      <c r="U1179" s="82"/>
      <c r="V1179" s="86">
        <v>0</v>
      </c>
      <c r="W1179" s="82" t="s">
        <v>47</v>
      </c>
      <c r="X1179" s="80"/>
      <c r="Y1179" s="88">
        <v>3612563</v>
      </c>
      <c r="Z1179" s="80"/>
      <c r="AA1179" s="80">
        <v>4632842</v>
      </c>
      <c r="AB1179" s="80"/>
      <c r="AC1179" s="82">
        <v>5572980</v>
      </c>
      <c r="AD1179" s="82"/>
      <c r="AE1179" s="82"/>
      <c r="AF1179" s="82"/>
      <c r="AG1179" s="82"/>
      <c r="AH1179" s="82"/>
      <c r="AI1179" s="82"/>
      <c r="AJ1179" s="82"/>
      <c r="AK1179" s="82"/>
      <c r="AL1179" s="82"/>
      <c r="AM1179" s="82"/>
      <c r="AN1179" s="82"/>
      <c r="AO1179" s="82"/>
      <c r="AP1179" s="82"/>
      <c r="AQ1179" s="82"/>
      <c r="AR1179" s="82"/>
      <c r="AS1179" s="82"/>
      <c r="AT1179" s="82"/>
    </row>
    <row r="1180" spans="1:46" ht="45" customHeight="1">
      <c r="A1180" s="12" t="s">
        <v>10448</v>
      </c>
      <c r="B1180" s="13" t="s">
        <v>10449</v>
      </c>
      <c r="C1180" s="14" t="s">
        <v>10450</v>
      </c>
      <c r="D1180" s="15" t="s">
        <v>10451</v>
      </c>
      <c r="E1180" s="15" t="s">
        <v>10452</v>
      </c>
      <c r="F1180" s="15" t="s">
        <v>10452</v>
      </c>
      <c r="G1180" s="15" t="s">
        <v>10453</v>
      </c>
      <c r="H1180" s="15"/>
      <c r="I1180" s="15" t="s">
        <v>80</v>
      </c>
      <c r="J1180" s="15" t="s">
        <v>10453</v>
      </c>
      <c r="K1180" s="15"/>
      <c r="L1180" s="15" t="s">
        <v>80</v>
      </c>
      <c r="M1180" s="207" t="s">
        <v>10454</v>
      </c>
      <c r="N1180" s="47" t="s">
        <v>10455</v>
      </c>
      <c r="O1180" s="168">
        <v>47006</v>
      </c>
      <c r="P1180" s="15" t="s">
        <v>10456</v>
      </c>
      <c r="Q1180" s="17" t="s">
        <v>10457</v>
      </c>
      <c r="R1180" s="18">
        <v>100</v>
      </c>
      <c r="S1180" s="19">
        <f t="shared" si="5"/>
        <v>16200</v>
      </c>
      <c r="T1180" s="12" t="s">
        <v>46</v>
      </c>
      <c r="U1180" s="15"/>
      <c r="V1180" s="19">
        <v>44610</v>
      </c>
      <c r="W1180" s="49" t="s">
        <v>71</v>
      </c>
      <c r="X1180" s="13"/>
      <c r="Y1180" s="20">
        <v>3605824</v>
      </c>
      <c r="Z1180" s="13"/>
      <c r="AA1180" s="13">
        <v>4636163</v>
      </c>
      <c r="AB1180" s="13"/>
      <c r="AC1180" s="15">
        <v>5518173</v>
      </c>
      <c r="AD1180" s="49">
        <v>6471076</v>
      </c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</row>
    <row r="1181" spans="1:46" ht="45" customHeight="1">
      <c r="A1181" s="12" t="s">
        <v>10458</v>
      </c>
      <c r="B1181" s="13" t="s">
        <v>10459</v>
      </c>
      <c r="C1181" s="14" t="s">
        <v>10460</v>
      </c>
      <c r="D1181" s="15" t="s">
        <v>10461</v>
      </c>
      <c r="E1181" s="15" t="s">
        <v>10462</v>
      </c>
      <c r="F1181" s="15" t="s">
        <v>10462</v>
      </c>
      <c r="G1181" s="15" t="s">
        <v>10463</v>
      </c>
      <c r="H1181" s="15" t="s">
        <v>2652</v>
      </c>
      <c r="I1181" s="15" t="s">
        <v>53</v>
      </c>
      <c r="J1181" s="15" t="s">
        <v>10463</v>
      </c>
      <c r="K1181" s="15" t="s">
        <v>2652</v>
      </c>
      <c r="L1181" s="15" t="s">
        <v>53</v>
      </c>
      <c r="M1181" s="217" t="s">
        <v>10464</v>
      </c>
      <c r="N1181" s="13">
        <v>2615551033</v>
      </c>
      <c r="O1181" s="13"/>
      <c r="P1181" s="15" t="s">
        <v>10465</v>
      </c>
      <c r="Q1181" s="17" t="s">
        <v>10466</v>
      </c>
      <c r="R1181" s="18">
        <v>169</v>
      </c>
      <c r="S1181" s="19">
        <f t="shared" si="5"/>
        <v>27378</v>
      </c>
      <c r="T1181" s="12" t="s">
        <v>46</v>
      </c>
      <c r="U1181" s="15"/>
      <c r="V1181" s="19">
        <v>44610</v>
      </c>
      <c r="W1181" s="15">
        <v>6300</v>
      </c>
      <c r="X1181" s="13"/>
      <c r="Y1181" s="20">
        <v>3625479</v>
      </c>
      <c r="Z1181" s="13"/>
      <c r="AA1181" s="13"/>
      <c r="AB1181" s="13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</row>
    <row r="1182" spans="1:46" ht="45" customHeight="1">
      <c r="A1182" s="12" t="s">
        <v>10467</v>
      </c>
      <c r="B1182" s="13" t="s">
        <v>10468</v>
      </c>
      <c r="C1182" s="14" t="s">
        <v>10469</v>
      </c>
      <c r="D1182" s="15" t="s">
        <v>10470</v>
      </c>
      <c r="E1182" s="15" t="s">
        <v>10471</v>
      </c>
      <c r="F1182" s="15" t="s">
        <v>10471</v>
      </c>
      <c r="G1182" s="15" t="s">
        <v>10472</v>
      </c>
      <c r="H1182" s="15"/>
      <c r="I1182" s="15" t="s">
        <v>80</v>
      </c>
      <c r="J1182" s="15" t="s">
        <v>10472</v>
      </c>
      <c r="K1182" s="15"/>
      <c r="L1182" s="15" t="s">
        <v>80</v>
      </c>
      <c r="M1182" s="199" t="s">
        <v>10473</v>
      </c>
      <c r="N1182" s="13" t="s">
        <v>10474</v>
      </c>
      <c r="O1182" s="13"/>
      <c r="P1182" s="15" t="s">
        <v>94</v>
      </c>
      <c r="Q1182" s="17" t="s">
        <v>10475</v>
      </c>
      <c r="R1182" s="18">
        <v>409</v>
      </c>
      <c r="S1182" s="19">
        <f t="shared" si="5"/>
        <v>66258</v>
      </c>
      <c r="T1182" s="12" t="s">
        <v>46</v>
      </c>
      <c r="U1182" s="15"/>
      <c r="V1182" s="19">
        <v>44610</v>
      </c>
      <c r="W1182" s="15" t="s">
        <v>71</v>
      </c>
      <c r="X1182" s="13"/>
      <c r="Y1182" s="20">
        <v>3646301</v>
      </c>
      <c r="Z1182" s="13"/>
      <c r="AA1182" s="13"/>
      <c r="AB1182" s="13"/>
      <c r="AC1182" s="15">
        <v>5576880</v>
      </c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</row>
    <row r="1183" spans="1:46" ht="45" customHeight="1">
      <c r="A1183" s="12" t="s">
        <v>10476</v>
      </c>
      <c r="B1183" s="13" t="s">
        <v>10477</v>
      </c>
      <c r="C1183" s="14" t="s">
        <v>10478</v>
      </c>
      <c r="D1183" s="15" t="s">
        <v>10479</v>
      </c>
      <c r="E1183" s="15" t="s">
        <v>10480</v>
      </c>
      <c r="F1183" s="15" t="s">
        <v>10480</v>
      </c>
      <c r="G1183" s="15" t="s">
        <v>10481</v>
      </c>
      <c r="H1183" s="15"/>
      <c r="I1183" s="15" t="s">
        <v>149</v>
      </c>
      <c r="J1183" s="15" t="s">
        <v>10481</v>
      </c>
      <c r="K1183" s="15"/>
      <c r="L1183" s="15" t="s">
        <v>149</v>
      </c>
      <c r="M1183" s="217" t="s">
        <v>10482</v>
      </c>
      <c r="N1183" s="13">
        <v>2615653216</v>
      </c>
      <c r="O1183" s="13"/>
      <c r="P1183" s="15" t="s">
        <v>117</v>
      </c>
      <c r="Q1183" s="17" t="s">
        <v>10483</v>
      </c>
      <c r="R1183" s="18">
        <v>101</v>
      </c>
      <c r="S1183" s="19">
        <f t="shared" si="5"/>
        <v>16362</v>
      </c>
      <c r="T1183" s="12" t="s">
        <v>46</v>
      </c>
      <c r="U1183" s="15"/>
      <c r="V1183" s="19">
        <v>44610</v>
      </c>
      <c r="W1183" s="15" t="s">
        <v>71</v>
      </c>
      <c r="X1183" s="13"/>
      <c r="Y1183" s="20">
        <v>3643902</v>
      </c>
      <c r="Z1183" s="13"/>
      <c r="AA1183" s="13">
        <v>4697935</v>
      </c>
      <c r="AB1183" s="13"/>
      <c r="AC1183" s="15">
        <v>5528348</v>
      </c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</row>
    <row r="1184" spans="1:46" ht="45" customHeight="1">
      <c r="A1184" s="12" t="s">
        <v>10484</v>
      </c>
      <c r="B1184" s="13" t="s">
        <v>10485</v>
      </c>
      <c r="C1184" s="14" t="s">
        <v>10486</v>
      </c>
      <c r="D1184" s="15" t="s">
        <v>10487</v>
      </c>
      <c r="E1184" s="15" t="s">
        <v>10488</v>
      </c>
      <c r="F1184" s="15" t="s">
        <v>10488</v>
      </c>
      <c r="G1184" s="15" t="s">
        <v>10489</v>
      </c>
      <c r="H1184" s="15" t="s">
        <v>10490</v>
      </c>
      <c r="I1184" s="15" t="s">
        <v>149</v>
      </c>
      <c r="J1184" s="15" t="s">
        <v>10489</v>
      </c>
      <c r="K1184" s="15" t="s">
        <v>10490</v>
      </c>
      <c r="L1184" s="15" t="s">
        <v>149</v>
      </c>
      <c r="M1184" s="199" t="s">
        <v>10491</v>
      </c>
      <c r="N1184" s="13">
        <v>2615110932</v>
      </c>
      <c r="O1184" s="13"/>
      <c r="P1184" s="15" t="s">
        <v>1381</v>
      </c>
      <c r="Q1184" s="17" t="s">
        <v>10492</v>
      </c>
      <c r="R1184" s="18">
        <v>103</v>
      </c>
      <c r="S1184" s="19">
        <f t="shared" si="5"/>
        <v>16686</v>
      </c>
      <c r="T1184" s="12" t="s">
        <v>46</v>
      </c>
      <c r="U1184" s="15"/>
      <c r="V1184" s="19">
        <v>44610</v>
      </c>
      <c r="W1184" s="15" t="s">
        <v>71</v>
      </c>
      <c r="X1184" s="13"/>
      <c r="Y1184" s="20">
        <v>3642948</v>
      </c>
      <c r="Z1184" s="13">
        <v>3863194</v>
      </c>
      <c r="AA1184" s="13">
        <v>4651945</v>
      </c>
      <c r="AB1184" s="13"/>
      <c r="AC1184" s="15">
        <v>5609945</v>
      </c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</row>
    <row r="1185" spans="1:46" ht="45" customHeight="1">
      <c r="A1185" s="12" t="s">
        <v>10493</v>
      </c>
      <c r="B1185" s="13" t="s">
        <v>10494</v>
      </c>
      <c r="C1185" s="14" t="s">
        <v>10495</v>
      </c>
      <c r="D1185" s="15" t="s">
        <v>10496</v>
      </c>
      <c r="E1185" s="15" t="s">
        <v>10497</v>
      </c>
      <c r="F1185" s="15" t="s">
        <v>10497</v>
      </c>
      <c r="G1185" s="15" t="s">
        <v>10498</v>
      </c>
      <c r="H1185" s="15"/>
      <c r="I1185" s="15" t="s">
        <v>38</v>
      </c>
      <c r="J1185" s="15" t="s">
        <v>10498</v>
      </c>
      <c r="K1185" s="15"/>
      <c r="L1185" s="15" t="s">
        <v>38</v>
      </c>
      <c r="M1185" s="199" t="s">
        <v>10499</v>
      </c>
      <c r="N1185" s="13" t="s">
        <v>10500</v>
      </c>
      <c r="O1185" s="13"/>
      <c r="P1185" s="15" t="s">
        <v>10501</v>
      </c>
      <c r="Q1185" s="17" t="s">
        <v>10502</v>
      </c>
      <c r="R1185" s="18">
        <v>160</v>
      </c>
      <c r="S1185" s="19">
        <f t="shared" si="5"/>
        <v>25920</v>
      </c>
      <c r="T1185" s="12" t="s">
        <v>46</v>
      </c>
      <c r="U1185" s="15"/>
      <c r="V1185" s="19">
        <v>44610</v>
      </c>
      <c r="W1185" s="49" t="s">
        <v>71</v>
      </c>
      <c r="X1185" s="13"/>
      <c r="Y1185" s="20">
        <v>3689477</v>
      </c>
      <c r="Z1185" s="13"/>
      <c r="AA1185" s="13"/>
      <c r="AB1185" s="13">
        <v>4857962</v>
      </c>
      <c r="AC1185" s="49">
        <v>5637383</v>
      </c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</row>
    <row r="1186" spans="1:46" ht="45" customHeight="1">
      <c r="A1186" s="12" t="s">
        <v>10503</v>
      </c>
      <c r="B1186" s="13" t="s">
        <v>10504</v>
      </c>
      <c r="C1186" s="14" t="s">
        <v>10505</v>
      </c>
      <c r="D1186" s="15" t="s">
        <v>10506</v>
      </c>
      <c r="E1186" s="15" t="s">
        <v>10507</v>
      </c>
      <c r="F1186" s="15" t="s">
        <v>10507</v>
      </c>
      <c r="G1186" s="15" t="s">
        <v>10508</v>
      </c>
      <c r="H1186" s="15" t="s">
        <v>52</v>
      </c>
      <c r="I1186" s="15" t="s">
        <v>53</v>
      </c>
      <c r="J1186" s="15" t="s">
        <v>10509</v>
      </c>
      <c r="K1186" s="15"/>
      <c r="L1186" s="15" t="s">
        <v>7704</v>
      </c>
      <c r="M1186" s="67" t="s">
        <v>10510</v>
      </c>
      <c r="N1186" s="13">
        <v>2612087105</v>
      </c>
      <c r="O1186" s="13"/>
      <c r="P1186" s="15" t="s">
        <v>94</v>
      </c>
      <c r="Q1186" s="17" t="s">
        <v>10511</v>
      </c>
      <c r="R1186" s="18">
        <v>24</v>
      </c>
      <c r="S1186" s="19">
        <f t="shared" si="5"/>
        <v>3888</v>
      </c>
      <c r="T1186" s="12" t="s">
        <v>46</v>
      </c>
      <c r="U1186" s="15"/>
      <c r="V1186" s="19">
        <v>44610</v>
      </c>
      <c r="W1186" s="49" t="s">
        <v>47</v>
      </c>
      <c r="X1186" s="13"/>
      <c r="Y1186" s="20">
        <v>3702272</v>
      </c>
      <c r="Z1186" s="13">
        <v>3903784</v>
      </c>
      <c r="AA1186" s="13">
        <v>4745575</v>
      </c>
      <c r="AB1186" s="13"/>
      <c r="AC1186" s="49">
        <v>5633479</v>
      </c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</row>
    <row r="1187" spans="1:46" ht="45" customHeight="1">
      <c r="A1187" s="12" t="s">
        <v>10512</v>
      </c>
      <c r="B1187" s="13" t="s">
        <v>10513</v>
      </c>
      <c r="C1187" s="14" t="s">
        <v>10514</v>
      </c>
      <c r="D1187" s="15" t="s">
        <v>10515</v>
      </c>
      <c r="E1187" s="15" t="s">
        <v>966</v>
      </c>
      <c r="F1187" s="15" t="s">
        <v>966</v>
      </c>
      <c r="G1187" s="49" t="s">
        <v>10516</v>
      </c>
      <c r="H1187" s="15"/>
      <c r="I1187" s="49" t="s">
        <v>2652</v>
      </c>
      <c r="J1187" s="15" t="s">
        <v>10517</v>
      </c>
      <c r="K1187" s="15"/>
      <c r="L1187" s="15" t="s">
        <v>7704</v>
      </c>
      <c r="M1187" s="207" t="s">
        <v>10518</v>
      </c>
      <c r="N1187" s="13" t="s">
        <v>10519</v>
      </c>
      <c r="O1187" s="13"/>
      <c r="P1187" s="15" t="s">
        <v>94</v>
      </c>
      <c r="Q1187" s="17" t="s">
        <v>10520</v>
      </c>
      <c r="R1187" s="18">
        <v>74</v>
      </c>
      <c r="S1187" s="19">
        <f t="shared" si="5"/>
        <v>11988</v>
      </c>
      <c r="T1187" s="12" t="s">
        <v>46</v>
      </c>
      <c r="U1187" s="15"/>
      <c r="V1187" s="19">
        <v>44610</v>
      </c>
      <c r="W1187" s="15"/>
      <c r="X1187" s="13"/>
      <c r="Y1187" s="20">
        <v>3702724</v>
      </c>
      <c r="Z1187" s="13"/>
      <c r="AA1187" s="13"/>
      <c r="AB1187" s="13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</row>
    <row r="1188" spans="1:46" ht="45" customHeight="1">
      <c r="A1188" s="12" t="s">
        <v>10521</v>
      </c>
      <c r="B1188" s="13" t="s">
        <v>10522</v>
      </c>
      <c r="C1188" s="14" t="s">
        <v>10523</v>
      </c>
      <c r="D1188" s="15" t="s">
        <v>235</v>
      </c>
      <c r="E1188" s="15" t="s">
        <v>10524</v>
      </c>
      <c r="F1188" s="15" t="s">
        <v>10524</v>
      </c>
      <c r="G1188" s="15" t="s">
        <v>10525</v>
      </c>
      <c r="H1188" s="15" t="s">
        <v>10526</v>
      </c>
      <c r="I1188" s="15" t="s">
        <v>80</v>
      </c>
      <c r="J1188" s="15" t="s">
        <v>10525</v>
      </c>
      <c r="K1188" s="15" t="s">
        <v>10526</v>
      </c>
      <c r="L1188" s="15" t="s">
        <v>80</v>
      </c>
      <c r="M1188" s="199" t="s">
        <v>10527</v>
      </c>
      <c r="N1188" s="13" t="s">
        <v>10528</v>
      </c>
      <c r="O1188" s="73">
        <v>45850</v>
      </c>
      <c r="P1188" s="15" t="s">
        <v>10529</v>
      </c>
      <c r="Q1188" s="17" t="s">
        <v>10530</v>
      </c>
      <c r="R1188" s="18">
        <v>59.35</v>
      </c>
      <c r="S1188" s="19">
        <f t="shared" si="5"/>
        <v>9614.7000000000007</v>
      </c>
      <c r="T1188" s="12" t="s">
        <v>46</v>
      </c>
      <c r="U1188" s="15"/>
      <c r="V1188" s="19">
        <f>44610/2</f>
        <v>22305</v>
      </c>
      <c r="W1188" s="15" t="s">
        <v>71</v>
      </c>
      <c r="X1188" s="13"/>
      <c r="Y1188" s="20">
        <v>3764225</v>
      </c>
      <c r="Z1188" s="13"/>
      <c r="AA1188" s="13">
        <v>4692943</v>
      </c>
      <c r="AB1188" s="13"/>
      <c r="AC1188" s="15">
        <v>5564803</v>
      </c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</row>
    <row r="1189" spans="1:46" ht="45" customHeight="1">
      <c r="A1189" s="50" t="s">
        <v>10531</v>
      </c>
      <c r="B1189" s="51" t="s">
        <v>10532</v>
      </c>
      <c r="C1189" s="52" t="s">
        <v>10533</v>
      </c>
      <c r="D1189" s="53" t="s">
        <v>10534</v>
      </c>
      <c r="E1189" s="53" t="s">
        <v>9697</v>
      </c>
      <c r="F1189" s="53" t="s">
        <v>9697</v>
      </c>
      <c r="G1189" s="53" t="s">
        <v>10535</v>
      </c>
      <c r="H1189" s="53" t="s">
        <v>2652</v>
      </c>
      <c r="I1189" s="53" t="s">
        <v>53</v>
      </c>
      <c r="J1189" s="53" t="s">
        <v>10536</v>
      </c>
      <c r="K1189" s="53"/>
      <c r="L1189" s="53" t="s">
        <v>53</v>
      </c>
      <c r="M1189" s="210" t="s">
        <v>10537</v>
      </c>
      <c r="N1189" s="51" t="s">
        <v>10538</v>
      </c>
      <c r="O1189" s="51"/>
      <c r="P1189" s="53" t="s">
        <v>94</v>
      </c>
      <c r="Q1189" s="55" t="s">
        <v>10539</v>
      </c>
      <c r="R1189" s="56">
        <v>58.44</v>
      </c>
      <c r="S1189" s="57">
        <f t="shared" si="5"/>
        <v>9467.2799999999988</v>
      </c>
      <c r="T1189" s="50" t="s">
        <v>46</v>
      </c>
      <c r="U1189" s="53"/>
      <c r="V1189" s="57">
        <v>44610</v>
      </c>
      <c r="W1189" s="53"/>
      <c r="X1189" s="51"/>
      <c r="Y1189" s="58">
        <v>3708982</v>
      </c>
      <c r="Z1189" s="51"/>
      <c r="AA1189" s="51"/>
      <c r="AB1189" s="51"/>
      <c r="AC1189" s="53"/>
      <c r="AD1189" s="53"/>
      <c r="AE1189" s="53"/>
      <c r="AF1189" s="53"/>
      <c r="AG1189" s="53"/>
      <c r="AH1189" s="53"/>
      <c r="AI1189" s="53"/>
      <c r="AJ1189" s="53"/>
      <c r="AK1189" s="53"/>
      <c r="AL1189" s="53"/>
      <c r="AM1189" s="53"/>
      <c r="AN1189" s="53"/>
      <c r="AO1189" s="53"/>
      <c r="AP1189" s="53"/>
      <c r="AQ1189" s="53"/>
      <c r="AR1189" s="53"/>
      <c r="AS1189" s="53"/>
      <c r="AT1189" s="53"/>
    </row>
    <row r="1190" spans="1:46" ht="45" customHeight="1">
      <c r="A1190" s="12" t="s">
        <v>10540</v>
      </c>
      <c r="B1190" s="13" t="s">
        <v>10541</v>
      </c>
      <c r="C1190" s="14" t="s">
        <v>10542</v>
      </c>
      <c r="D1190" s="15" t="s">
        <v>10543</v>
      </c>
      <c r="E1190" s="15" t="s">
        <v>10544</v>
      </c>
      <c r="F1190" s="15" t="s">
        <v>10544</v>
      </c>
      <c r="G1190" s="15" t="s">
        <v>10545</v>
      </c>
      <c r="H1190" s="15"/>
      <c r="I1190" s="15" t="s">
        <v>149</v>
      </c>
      <c r="J1190" s="15" t="s">
        <v>10546</v>
      </c>
      <c r="K1190" s="15"/>
      <c r="L1190" s="15" t="s">
        <v>149</v>
      </c>
      <c r="M1190" s="199" t="s">
        <v>10547</v>
      </c>
      <c r="N1190" s="13" t="s">
        <v>10548</v>
      </c>
      <c r="O1190" s="13"/>
      <c r="P1190" s="15" t="s">
        <v>94</v>
      </c>
      <c r="Q1190" s="17" t="s">
        <v>10549</v>
      </c>
      <c r="R1190" s="18">
        <v>39.61</v>
      </c>
      <c r="S1190" s="19">
        <f t="shared" si="5"/>
        <v>6416.82</v>
      </c>
      <c r="T1190" s="12" t="s">
        <v>46</v>
      </c>
      <c r="U1190" s="15"/>
      <c r="V1190" s="19">
        <v>44610</v>
      </c>
      <c r="W1190" s="15" t="s">
        <v>47</v>
      </c>
      <c r="X1190" s="13"/>
      <c r="Y1190" s="20">
        <v>3725204</v>
      </c>
      <c r="Z1190" s="13"/>
      <c r="AA1190" s="13">
        <v>4718164</v>
      </c>
      <c r="AB1190" s="13"/>
      <c r="AC1190" s="15">
        <v>5606419</v>
      </c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</row>
    <row r="1191" spans="1:46" ht="45" customHeight="1">
      <c r="A1191" s="12" t="s">
        <v>10550</v>
      </c>
      <c r="B1191" s="13" t="s">
        <v>10551</v>
      </c>
      <c r="C1191" s="14" t="s">
        <v>10552</v>
      </c>
      <c r="D1191" s="15" t="s">
        <v>10553</v>
      </c>
      <c r="E1191" s="15" t="s">
        <v>10554</v>
      </c>
      <c r="F1191" s="15" t="s">
        <v>10554</v>
      </c>
      <c r="G1191" s="15" t="s">
        <v>10555</v>
      </c>
      <c r="H1191" s="15"/>
      <c r="I1191" s="15" t="s">
        <v>38</v>
      </c>
      <c r="J1191" s="15" t="s">
        <v>10555</v>
      </c>
      <c r="K1191" s="15"/>
      <c r="L1191" s="15" t="s">
        <v>38</v>
      </c>
      <c r="M1191" s="207" t="s">
        <v>10556</v>
      </c>
      <c r="N1191" s="13" t="s">
        <v>10557</v>
      </c>
      <c r="O1191" s="13"/>
      <c r="P1191" s="15" t="s">
        <v>94</v>
      </c>
      <c r="Q1191" s="17" t="s">
        <v>10558</v>
      </c>
      <c r="R1191" s="18">
        <v>378</v>
      </c>
      <c r="S1191" s="19">
        <f t="shared" si="5"/>
        <v>61236</v>
      </c>
      <c r="T1191" s="12" t="s">
        <v>46</v>
      </c>
      <c r="U1191" s="15"/>
      <c r="V1191" s="19">
        <v>44610</v>
      </c>
      <c r="W1191" s="49" t="s">
        <v>71</v>
      </c>
      <c r="X1191" s="13"/>
      <c r="Y1191" s="20">
        <v>3766720</v>
      </c>
      <c r="Z1191" s="13"/>
      <c r="AA1191" s="13">
        <v>4720291</v>
      </c>
      <c r="AB1191" s="13"/>
      <c r="AC1191" s="49">
        <v>5628231</v>
      </c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</row>
    <row r="1192" spans="1:46" ht="45" customHeight="1">
      <c r="A1192" s="12" t="s">
        <v>10559</v>
      </c>
      <c r="B1192" s="13" t="s">
        <v>10560</v>
      </c>
      <c r="C1192" s="14" t="s">
        <v>10561</v>
      </c>
      <c r="D1192" s="15" t="s">
        <v>10562</v>
      </c>
      <c r="E1192" s="15"/>
      <c r="F1192" s="15"/>
      <c r="G1192" s="15" t="s">
        <v>10563</v>
      </c>
      <c r="H1192" s="15"/>
      <c r="I1192" s="15" t="s">
        <v>5916</v>
      </c>
      <c r="J1192" s="15" t="s">
        <v>10563</v>
      </c>
      <c r="K1192" s="15"/>
      <c r="L1192" s="15" t="s">
        <v>5916</v>
      </c>
      <c r="M1192" s="15" t="s">
        <v>10564</v>
      </c>
      <c r="N1192" s="13">
        <v>2615382288</v>
      </c>
      <c r="O1192" s="13"/>
      <c r="P1192" s="15" t="s">
        <v>8537</v>
      </c>
      <c r="Q1192" s="17" t="s">
        <v>10565</v>
      </c>
      <c r="R1192" s="18">
        <v>92</v>
      </c>
      <c r="S1192" s="19">
        <f t="shared" si="5"/>
        <v>14904</v>
      </c>
      <c r="T1192" s="12" t="s">
        <v>46</v>
      </c>
      <c r="U1192" s="15"/>
      <c r="V1192" s="19">
        <v>44610</v>
      </c>
      <c r="W1192" s="15"/>
      <c r="X1192" s="13"/>
      <c r="Y1192" s="20"/>
      <c r="Z1192" s="13"/>
      <c r="AA1192" s="13">
        <v>4754607</v>
      </c>
      <c r="AB1192" s="13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</row>
    <row r="1193" spans="1:46" ht="45" customHeight="1">
      <c r="A1193" s="12" t="s">
        <v>10566</v>
      </c>
      <c r="B1193" s="13" t="s">
        <v>10567</v>
      </c>
      <c r="C1193" s="14" t="s">
        <v>10568</v>
      </c>
      <c r="D1193" s="15" t="s">
        <v>10562</v>
      </c>
      <c r="E1193" s="15"/>
      <c r="F1193" s="15"/>
      <c r="G1193" s="15" t="s">
        <v>10569</v>
      </c>
      <c r="H1193" s="15"/>
      <c r="I1193" s="15" t="s">
        <v>38</v>
      </c>
      <c r="J1193" s="15" t="s">
        <v>10569</v>
      </c>
      <c r="K1193" s="15"/>
      <c r="L1193" s="15" t="s">
        <v>38</v>
      </c>
      <c r="M1193" s="15" t="s">
        <v>10570</v>
      </c>
      <c r="N1193" s="13">
        <v>2615382288</v>
      </c>
      <c r="O1193" s="13"/>
      <c r="P1193" s="15" t="s">
        <v>8537</v>
      </c>
      <c r="Q1193" s="17" t="s">
        <v>10571</v>
      </c>
      <c r="R1193" s="18">
        <v>92</v>
      </c>
      <c r="S1193" s="19">
        <f t="shared" si="5"/>
        <v>14904</v>
      </c>
      <c r="T1193" s="12" t="s">
        <v>46</v>
      </c>
      <c r="U1193" s="15"/>
      <c r="V1193" s="19">
        <v>44610</v>
      </c>
      <c r="W1193" s="15"/>
      <c r="X1193" s="13"/>
      <c r="Y1193" s="20"/>
      <c r="Z1193" s="13"/>
      <c r="AA1193" s="13">
        <v>4755649</v>
      </c>
      <c r="AB1193" s="13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</row>
    <row r="1194" spans="1:46" ht="45" customHeight="1">
      <c r="A1194" s="12" t="s">
        <v>10572</v>
      </c>
      <c r="B1194" s="13" t="s">
        <v>10573</v>
      </c>
      <c r="C1194" s="14" t="s">
        <v>10574</v>
      </c>
      <c r="D1194" s="15" t="s">
        <v>10562</v>
      </c>
      <c r="E1194" s="15"/>
      <c r="F1194" s="15"/>
      <c r="G1194" s="15" t="s">
        <v>10575</v>
      </c>
      <c r="H1194" s="15"/>
      <c r="I1194" s="15" t="s">
        <v>80</v>
      </c>
      <c r="J1194" s="15" t="s">
        <v>10575</v>
      </c>
      <c r="K1194" s="15"/>
      <c r="L1194" s="15" t="s">
        <v>80</v>
      </c>
      <c r="M1194" s="15" t="s">
        <v>10576</v>
      </c>
      <c r="N1194" s="13">
        <v>2615382288</v>
      </c>
      <c r="O1194" s="13"/>
      <c r="P1194" s="15" t="s">
        <v>8537</v>
      </c>
      <c r="Q1194" s="17" t="s">
        <v>10577</v>
      </c>
      <c r="R1194" s="18">
        <v>49</v>
      </c>
      <c r="S1194" s="19">
        <f t="shared" si="5"/>
        <v>7938</v>
      </c>
      <c r="T1194" s="12" t="s">
        <v>46</v>
      </c>
      <c r="U1194" s="15"/>
      <c r="V1194" s="19">
        <v>44610</v>
      </c>
      <c r="W1194" s="15"/>
      <c r="X1194" s="13"/>
      <c r="Y1194" s="20"/>
      <c r="Z1194" s="13"/>
      <c r="AA1194" s="13">
        <v>4755197</v>
      </c>
      <c r="AB1194" s="13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</row>
    <row r="1195" spans="1:46" ht="45" customHeight="1">
      <c r="A1195" s="12" t="s">
        <v>10578</v>
      </c>
      <c r="B1195" s="13" t="s">
        <v>10579</v>
      </c>
      <c r="C1195" s="66" t="s">
        <v>10580</v>
      </c>
      <c r="D1195" s="15" t="s">
        <v>10581</v>
      </c>
      <c r="E1195" s="15"/>
      <c r="F1195" s="15"/>
      <c r="G1195" s="15" t="s">
        <v>10582</v>
      </c>
      <c r="H1195" s="15"/>
      <c r="I1195" s="15" t="s">
        <v>38</v>
      </c>
      <c r="J1195" s="15" t="s">
        <v>10582</v>
      </c>
      <c r="K1195" s="15"/>
      <c r="L1195" s="15" t="s">
        <v>38</v>
      </c>
      <c r="M1195" s="201" t="s">
        <v>10583</v>
      </c>
      <c r="N1195" s="13">
        <v>2615797821</v>
      </c>
      <c r="O1195" s="13"/>
      <c r="P1195" s="15" t="s">
        <v>94</v>
      </c>
      <c r="Q1195" s="17" t="s">
        <v>10584</v>
      </c>
      <c r="R1195" s="18" t="s">
        <v>5746</v>
      </c>
      <c r="S1195" s="19" t="e">
        <f t="shared" si="5"/>
        <v>#VALUE!</v>
      </c>
      <c r="T1195" s="12" t="s">
        <v>5746</v>
      </c>
      <c r="U1195" s="15"/>
      <c r="V1195" s="19">
        <v>30500</v>
      </c>
      <c r="W1195" s="15"/>
      <c r="X1195" s="13"/>
      <c r="Y1195" s="20"/>
      <c r="Z1195" s="13"/>
      <c r="AA1195" s="13"/>
      <c r="AB1195" s="13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</row>
    <row r="1196" spans="1:46" ht="45" customHeight="1">
      <c r="A1196" s="12" t="s">
        <v>10585</v>
      </c>
      <c r="B1196" s="13" t="s">
        <v>10586</v>
      </c>
      <c r="C1196" s="14" t="s">
        <v>10587</v>
      </c>
      <c r="D1196" s="15" t="s">
        <v>10361</v>
      </c>
      <c r="E1196" s="15"/>
      <c r="F1196" s="15"/>
      <c r="G1196" s="15" t="s">
        <v>10588</v>
      </c>
      <c r="H1196" s="15" t="s">
        <v>2652</v>
      </c>
      <c r="I1196" s="15" t="s">
        <v>53</v>
      </c>
      <c r="J1196" s="15" t="s">
        <v>10588</v>
      </c>
      <c r="K1196" s="15" t="s">
        <v>2652</v>
      </c>
      <c r="L1196" s="15" t="s">
        <v>53</v>
      </c>
      <c r="M1196" s="16" t="s">
        <v>10589</v>
      </c>
      <c r="N1196" s="13">
        <v>2625412362</v>
      </c>
      <c r="O1196" s="13"/>
      <c r="P1196" s="15" t="s">
        <v>94</v>
      </c>
      <c r="Q1196" s="17" t="s">
        <v>10590</v>
      </c>
      <c r="R1196" s="18">
        <v>82</v>
      </c>
      <c r="S1196" s="19">
        <f t="shared" si="5"/>
        <v>13284</v>
      </c>
      <c r="T1196" s="12" t="s">
        <v>46</v>
      </c>
      <c r="U1196" s="15"/>
      <c r="V1196" s="19">
        <v>44610</v>
      </c>
      <c r="W1196" s="15">
        <v>6300</v>
      </c>
      <c r="X1196" s="13"/>
      <c r="Y1196" s="20"/>
      <c r="Z1196" s="13"/>
      <c r="AA1196" s="13"/>
      <c r="AB1196" s="13">
        <v>4895808</v>
      </c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</row>
    <row r="1197" spans="1:46" ht="45" customHeight="1">
      <c r="A1197" s="12" t="s">
        <v>10591</v>
      </c>
      <c r="B1197" s="13" t="s">
        <v>10592</v>
      </c>
      <c r="C1197" s="14" t="s">
        <v>10593</v>
      </c>
      <c r="D1197" s="15" t="s">
        <v>10594</v>
      </c>
      <c r="E1197" s="15" t="s">
        <v>10595</v>
      </c>
      <c r="F1197" s="15" t="s">
        <v>10595</v>
      </c>
      <c r="G1197" s="15" t="s">
        <v>10596</v>
      </c>
      <c r="H1197" s="15"/>
      <c r="I1197" s="15" t="s">
        <v>115</v>
      </c>
      <c r="J1197" s="15" t="s">
        <v>10596</v>
      </c>
      <c r="K1197" s="15"/>
      <c r="L1197" s="15" t="s">
        <v>115</v>
      </c>
      <c r="M1197" s="200" t="s">
        <v>10597</v>
      </c>
      <c r="N1197" s="13" t="s">
        <v>10598</v>
      </c>
      <c r="O1197" s="13"/>
      <c r="P1197" s="15" t="s">
        <v>44</v>
      </c>
      <c r="Q1197" s="17" t="s">
        <v>10599</v>
      </c>
      <c r="R1197" s="18">
        <v>373.72</v>
      </c>
      <c r="S1197" s="19">
        <f t="shared" si="5"/>
        <v>60542.640000000007</v>
      </c>
      <c r="T1197" s="12" t="s">
        <v>46</v>
      </c>
      <c r="U1197" s="15"/>
      <c r="V1197" s="19">
        <v>44610</v>
      </c>
      <c r="W1197" s="49" t="s">
        <v>71</v>
      </c>
      <c r="X1197" s="13"/>
      <c r="Y1197" s="20">
        <v>3761532</v>
      </c>
      <c r="Z1197" s="13"/>
      <c r="AA1197" s="13">
        <v>4740931</v>
      </c>
      <c r="AB1197" s="13"/>
      <c r="AC1197" s="49">
        <v>5633511</v>
      </c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</row>
    <row r="1198" spans="1:46" ht="45" customHeight="1">
      <c r="A1198" s="12" t="s">
        <v>10600</v>
      </c>
      <c r="B1198" s="13" t="s">
        <v>10601</v>
      </c>
      <c r="C1198" s="14" t="s">
        <v>10602</v>
      </c>
      <c r="D1198" s="15" t="s">
        <v>10603</v>
      </c>
      <c r="E1198" s="15" t="s">
        <v>10604</v>
      </c>
      <c r="F1198" s="15" t="s">
        <v>10604</v>
      </c>
      <c r="G1198" s="15" t="s">
        <v>10605</v>
      </c>
      <c r="H1198" s="15"/>
      <c r="I1198" s="15" t="s">
        <v>65</v>
      </c>
      <c r="J1198" s="15" t="s">
        <v>10606</v>
      </c>
      <c r="K1198" s="15"/>
      <c r="L1198" s="15" t="s">
        <v>65</v>
      </c>
      <c r="M1198" s="16" t="s">
        <v>10607</v>
      </c>
      <c r="N1198" s="13" t="s">
        <v>10608</v>
      </c>
      <c r="O1198" s="13"/>
      <c r="P1198" s="15" t="s">
        <v>94</v>
      </c>
      <c r="Q1198" s="17" t="s">
        <v>10609</v>
      </c>
      <c r="R1198" s="18">
        <v>320.41000000000003</v>
      </c>
      <c r="S1198" s="19">
        <f t="shared" si="5"/>
        <v>51906.420000000006</v>
      </c>
      <c r="T1198" s="12" t="s">
        <v>46</v>
      </c>
      <c r="U1198" s="15"/>
      <c r="V1198" s="19">
        <v>44610</v>
      </c>
      <c r="W1198" s="15" t="s">
        <v>47</v>
      </c>
      <c r="X1198" s="13"/>
      <c r="Y1198" s="20">
        <v>3784529</v>
      </c>
      <c r="Z1198" s="13"/>
      <c r="AA1198" s="13">
        <v>4734768</v>
      </c>
      <c r="AB1198" s="13"/>
      <c r="AC1198" s="15">
        <v>5547038</v>
      </c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</row>
    <row r="1199" spans="1:46" ht="45" customHeight="1">
      <c r="A1199" s="79" t="s">
        <v>10610</v>
      </c>
      <c r="B1199" s="80" t="s">
        <v>10611</v>
      </c>
      <c r="C1199" s="81" t="s">
        <v>10612</v>
      </c>
      <c r="D1199" s="82" t="s">
        <v>10613</v>
      </c>
      <c r="E1199" s="82" t="s">
        <v>10614</v>
      </c>
      <c r="F1199" s="82" t="s">
        <v>10614</v>
      </c>
      <c r="G1199" s="82" t="s">
        <v>10615</v>
      </c>
      <c r="H1199" s="82"/>
      <c r="I1199" s="82" t="s">
        <v>53</v>
      </c>
      <c r="J1199" s="82" t="s">
        <v>10616</v>
      </c>
      <c r="K1199" s="82"/>
      <c r="L1199" s="82" t="s">
        <v>53</v>
      </c>
      <c r="M1199" s="220" t="s">
        <v>10617</v>
      </c>
      <c r="N1199" s="80" t="s">
        <v>10618</v>
      </c>
      <c r="O1199" s="80"/>
      <c r="P1199" s="82" t="s">
        <v>10619</v>
      </c>
      <c r="Q1199" s="84" t="s">
        <v>10620</v>
      </c>
      <c r="R1199" s="85" t="s">
        <v>770</v>
      </c>
      <c r="S1199" s="86" t="e">
        <f t="shared" si="5"/>
        <v>#VALUE!</v>
      </c>
      <c r="T1199" s="87" t="s">
        <v>770</v>
      </c>
      <c r="U1199" s="82"/>
      <c r="V1199" s="86">
        <v>0</v>
      </c>
      <c r="W1199" s="82"/>
      <c r="X1199" s="80"/>
      <c r="Y1199" s="88"/>
      <c r="Z1199" s="80">
        <v>3806248</v>
      </c>
      <c r="AA1199" s="80"/>
      <c r="AB1199" s="80"/>
      <c r="AC1199" s="82"/>
      <c r="AD1199" s="82"/>
      <c r="AE1199" s="82"/>
      <c r="AF1199" s="82"/>
      <c r="AG1199" s="82"/>
      <c r="AH1199" s="82"/>
      <c r="AI1199" s="82"/>
      <c r="AJ1199" s="82"/>
      <c r="AK1199" s="82"/>
      <c r="AL1199" s="82"/>
      <c r="AM1199" s="82"/>
      <c r="AN1199" s="82"/>
      <c r="AO1199" s="82"/>
      <c r="AP1199" s="82"/>
      <c r="AQ1199" s="82"/>
      <c r="AR1199" s="82"/>
      <c r="AS1199" s="82"/>
      <c r="AT1199" s="82"/>
    </row>
    <row r="1200" spans="1:46" ht="45" customHeight="1">
      <c r="A1200" s="12" t="s">
        <v>10621</v>
      </c>
      <c r="B1200" s="13" t="s">
        <v>10622</v>
      </c>
      <c r="C1200" s="14" t="s">
        <v>10623</v>
      </c>
      <c r="D1200" s="15" t="s">
        <v>10624</v>
      </c>
      <c r="E1200" s="15" t="s">
        <v>10625</v>
      </c>
      <c r="F1200" s="15" t="s">
        <v>10625</v>
      </c>
      <c r="G1200" s="15" t="s">
        <v>10626</v>
      </c>
      <c r="H1200" s="15"/>
      <c r="I1200" s="15" t="s">
        <v>149</v>
      </c>
      <c r="J1200" s="15" t="s">
        <v>10626</v>
      </c>
      <c r="K1200" s="15"/>
      <c r="L1200" s="15" t="s">
        <v>149</v>
      </c>
      <c r="M1200" s="199" t="s">
        <v>10627</v>
      </c>
      <c r="N1200" s="13" t="s">
        <v>10628</v>
      </c>
      <c r="O1200" s="13"/>
      <c r="P1200" s="15" t="s">
        <v>151</v>
      </c>
      <c r="Q1200" s="17" t="s">
        <v>10629</v>
      </c>
      <c r="R1200" s="18">
        <v>143</v>
      </c>
      <c r="S1200" s="19">
        <f t="shared" si="5"/>
        <v>23166</v>
      </c>
      <c r="T1200" s="12" t="s">
        <v>46</v>
      </c>
      <c r="U1200" s="15"/>
      <c r="V1200" s="19">
        <v>44610</v>
      </c>
      <c r="W1200" s="15"/>
      <c r="X1200" s="13"/>
      <c r="Y1200" s="20"/>
      <c r="Z1200" s="13">
        <v>3804572</v>
      </c>
      <c r="AA1200" s="13"/>
      <c r="AB1200" s="13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</row>
    <row r="1201" spans="1:46" ht="45" customHeight="1">
      <c r="A1201" s="50" t="s">
        <v>10630</v>
      </c>
      <c r="B1201" s="51" t="s">
        <v>10631</v>
      </c>
      <c r="C1201" s="52" t="s">
        <v>10632</v>
      </c>
      <c r="D1201" s="53" t="s">
        <v>10633</v>
      </c>
      <c r="E1201" s="53" t="s">
        <v>8435</v>
      </c>
      <c r="F1201" s="53" t="s">
        <v>8435</v>
      </c>
      <c r="G1201" s="53" t="s">
        <v>10634</v>
      </c>
      <c r="H1201" s="53"/>
      <c r="I1201" s="53" t="s">
        <v>38</v>
      </c>
      <c r="J1201" s="53" t="s">
        <v>10635</v>
      </c>
      <c r="K1201" s="53"/>
      <c r="L1201" s="53" t="s">
        <v>65</v>
      </c>
      <c r="M1201" s="142" t="s">
        <v>3648</v>
      </c>
      <c r="N1201" s="51" t="s">
        <v>3649</v>
      </c>
      <c r="O1201" s="51"/>
      <c r="P1201" s="53" t="s">
        <v>117</v>
      </c>
      <c r="Q1201" s="55" t="s">
        <v>10636</v>
      </c>
      <c r="R1201" s="56">
        <v>70</v>
      </c>
      <c r="S1201" s="57">
        <f t="shared" si="5"/>
        <v>11340</v>
      </c>
      <c r="T1201" s="50" t="s">
        <v>46</v>
      </c>
      <c r="U1201" s="53"/>
      <c r="V1201" s="57">
        <v>44610</v>
      </c>
      <c r="W1201" s="53"/>
      <c r="X1201" s="51"/>
      <c r="Y1201" s="58"/>
      <c r="Z1201" s="51">
        <v>3835849</v>
      </c>
      <c r="AA1201" s="51"/>
      <c r="AB1201" s="51"/>
      <c r="AC1201" s="53"/>
      <c r="AD1201" s="53"/>
      <c r="AE1201" s="53"/>
      <c r="AF1201" s="53"/>
      <c r="AG1201" s="53"/>
      <c r="AH1201" s="53"/>
      <c r="AI1201" s="53"/>
      <c r="AJ1201" s="53"/>
      <c r="AK1201" s="53"/>
      <c r="AL1201" s="53"/>
      <c r="AM1201" s="53"/>
      <c r="AN1201" s="53"/>
      <c r="AO1201" s="53"/>
      <c r="AP1201" s="53"/>
      <c r="AQ1201" s="53"/>
      <c r="AR1201" s="53"/>
      <c r="AS1201" s="53"/>
      <c r="AT1201" s="53"/>
    </row>
    <row r="1202" spans="1:46" ht="45" customHeight="1">
      <c r="A1202" s="12" t="s">
        <v>10637</v>
      </c>
      <c r="B1202" s="13" t="s">
        <v>10638</v>
      </c>
      <c r="C1202" s="14" t="s">
        <v>1874</v>
      </c>
      <c r="D1202" s="15" t="s">
        <v>1875</v>
      </c>
      <c r="E1202" s="15" t="s">
        <v>10639</v>
      </c>
      <c r="F1202" s="15" t="s">
        <v>10639</v>
      </c>
      <c r="G1202" s="15" t="s">
        <v>10640</v>
      </c>
      <c r="H1202" s="15" t="s">
        <v>10641</v>
      </c>
      <c r="I1202" s="15" t="s">
        <v>115</v>
      </c>
      <c r="J1202" s="15" t="s">
        <v>10640</v>
      </c>
      <c r="K1202" s="15" t="s">
        <v>10641</v>
      </c>
      <c r="L1202" s="15" t="s">
        <v>115</v>
      </c>
      <c r="M1202" s="199" t="s">
        <v>1147</v>
      </c>
      <c r="N1202" s="13">
        <v>2614533587</v>
      </c>
      <c r="O1202" s="13"/>
      <c r="P1202" s="15" t="s">
        <v>94</v>
      </c>
      <c r="Q1202" s="17" t="s">
        <v>10642</v>
      </c>
      <c r="R1202" s="18">
        <v>102</v>
      </c>
      <c r="S1202" s="19">
        <f t="shared" si="5"/>
        <v>16524</v>
      </c>
      <c r="T1202" s="12" t="s">
        <v>46</v>
      </c>
      <c r="U1202" s="15"/>
      <c r="V1202" s="19">
        <v>44610</v>
      </c>
      <c r="W1202" s="15" t="s">
        <v>71</v>
      </c>
      <c r="X1202" s="13"/>
      <c r="Y1202" s="20"/>
      <c r="Z1202" s="13">
        <v>3822326</v>
      </c>
      <c r="AA1202" s="13"/>
      <c r="AB1202" s="13"/>
      <c r="AC1202" s="15">
        <v>5585174</v>
      </c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</row>
    <row r="1203" spans="1:46" ht="45" customHeight="1">
      <c r="A1203" s="21" t="s">
        <v>10643</v>
      </c>
      <c r="B1203" s="22" t="s">
        <v>10644</v>
      </c>
      <c r="C1203" s="23" t="s">
        <v>10645</v>
      </c>
      <c r="D1203" s="24" t="s">
        <v>10646</v>
      </c>
      <c r="E1203" s="24" t="s">
        <v>10647</v>
      </c>
      <c r="F1203" s="24" t="s">
        <v>10647</v>
      </c>
      <c r="G1203" s="24" t="s">
        <v>10648</v>
      </c>
      <c r="H1203" s="24"/>
      <c r="I1203" s="24" t="s">
        <v>38</v>
      </c>
      <c r="J1203" s="24" t="s">
        <v>10648</v>
      </c>
      <c r="K1203" s="24"/>
      <c r="L1203" s="24" t="s">
        <v>38</v>
      </c>
      <c r="M1203" s="70" t="s">
        <v>2997</v>
      </c>
      <c r="N1203" s="22" t="s">
        <v>10649</v>
      </c>
      <c r="O1203" s="22"/>
      <c r="P1203" s="24" t="s">
        <v>408</v>
      </c>
      <c r="Q1203" s="28" t="s">
        <v>10650</v>
      </c>
      <c r="R1203" s="29">
        <v>1208</v>
      </c>
      <c r="S1203" s="30">
        <f t="shared" si="5"/>
        <v>195696</v>
      </c>
      <c r="T1203" s="21" t="s">
        <v>198</v>
      </c>
      <c r="U1203" s="24"/>
      <c r="V1203" s="30">
        <v>215940</v>
      </c>
      <c r="W1203" s="24"/>
      <c r="X1203" s="22"/>
      <c r="Y1203" s="31"/>
      <c r="Z1203" s="22">
        <v>3849910</v>
      </c>
      <c r="AA1203" s="22">
        <v>4680132</v>
      </c>
      <c r="AB1203" s="22"/>
      <c r="AC1203" s="24"/>
      <c r="AD1203" s="24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P1203" s="24"/>
      <c r="AQ1203" s="24"/>
      <c r="AR1203" s="24"/>
      <c r="AS1203" s="24"/>
      <c r="AT1203" s="24"/>
    </row>
    <row r="1204" spans="1:46" ht="45" customHeight="1">
      <c r="A1204" s="12" t="s">
        <v>10651</v>
      </c>
      <c r="B1204" s="13" t="s">
        <v>10652</v>
      </c>
      <c r="C1204" s="139" t="s">
        <v>10653</v>
      </c>
      <c r="D1204" s="15" t="s">
        <v>10654</v>
      </c>
      <c r="E1204" s="15" t="s">
        <v>10655</v>
      </c>
      <c r="F1204" s="15" t="s">
        <v>10655</v>
      </c>
      <c r="G1204" s="15" t="s">
        <v>10656</v>
      </c>
      <c r="H1204" s="15"/>
      <c r="I1204" s="15" t="s">
        <v>65</v>
      </c>
      <c r="J1204" s="15" t="s">
        <v>10656</v>
      </c>
      <c r="K1204" s="15"/>
      <c r="L1204" s="15" t="s">
        <v>65</v>
      </c>
      <c r="M1204" s="15" t="s">
        <v>10657</v>
      </c>
      <c r="N1204" s="13">
        <v>4481703</v>
      </c>
      <c r="O1204" s="13"/>
      <c r="P1204" s="15" t="s">
        <v>94</v>
      </c>
      <c r="Q1204" s="17" t="s">
        <v>10658</v>
      </c>
      <c r="R1204" s="18">
        <v>136</v>
      </c>
      <c r="S1204" s="19">
        <f t="shared" si="5"/>
        <v>22032</v>
      </c>
      <c r="T1204" s="12" t="s">
        <v>46</v>
      </c>
      <c r="U1204" s="15"/>
      <c r="V1204" s="19">
        <v>44610</v>
      </c>
      <c r="W1204" s="15"/>
      <c r="X1204" s="13"/>
      <c r="Y1204" s="20"/>
      <c r="Z1204" s="13">
        <v>3858087</v>
      </c>
      <c r="AA1204" s="13">
        <v>4733789</v>
      </c>
      <c r="AB1204" s="13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</row>
    <row r="1205" spans="1:46" ht="45" customHeight="1">
      <c r="A1205" s="21" t="s">
        <v>10659</v>
      </c>
      <c r="B1205" s="22" t="s">
        <v>10660</v>
      </c>
      <c r="C1205" s="23" t="s">
        <v>10661</v>
      </c>
      <c r="D1205" s="24" t="s">
        <v>10662</v>
      </c>
      <c r="E1205" s="24" t="s">
        <v>10663</v>
      </c>
      <c r="F1205" s="24" t="s">
        <v>10663</v>
      </c>
      <c r="G1205" s="24" t="s">
        <v>10664</v>
      </c>
      <c r="H1205" s="24" t="s">
        <v>4398</v>
      </c>
      <c r="I1205" s="24" t="s">
        <v>80</v>
      </c>
      <c r="J1205" s="24" t="s">
        <v>10664</v>
      </c>
      <c r="K1205" s="24" t="s">
        <v>4398</v>
      </c>
      <c r="L1205" s="24" t="s">
        <v>80</v>
      </c>
      <c r="M1205" s="25" t="s">
        <v>10665</v>
      </c>
      <c r="N1205" s="22" t="s">
        <v>10666</v>
      </c>
      <c r="O1205" s="22"/>
      <c r="P1205" s="24" t="s">
        <v>717</v>
      </c>
      <c r="Q1205" s="28" t="s">
        <v>10667</v>
      </c>
      <c r="R1205" s="29">
        <v>9164.85</v>
      </c>
      <c r="S1205" s="30">
        <f t="shared" si="5"/>
        <v>1484705.7</v>
      </c>
      <c r="T1205" s="21" t="s">
        <v>70</v>
      </c>
      <c r="U1205" s="24"/>
      <c r="V1205" s="30">
        <f>S1205</f>
        <v>1484705.7</v>
      </c>
      <c r="W1205" s="45" t="s">
        <v>71</v>
      </c>
      <c r="X1205" s="22"/>
      <c r="Y1205" s="31"/>
      <c r="Z1205" s="22">
        <v>3896989</v>
      </c>
      <c r="AA1205" s="22">
        <v>4849688</v>
      </c>
      <c r="AB1205" s="22"/>
      <c r="AC1205" s="45">
        <v>5635536</v>
      </c>
      <c r="AD1205" s="24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P1205" s="24"/>
      <c r="AQ1205" s="24"/>
      <c r="AR1205" s="24"/>
      <c r="AS1205" s="24"/>
      <c r="AT1205" s="24"/>
    </row>
    <row r="1206" spans="1:46" ht="45" customHeight="1">
      <c r="A1206" s="12" t="s">
        <v>10668</v>
      </c>
      <c r="B1206" s="13" t="s">
        <v>10669</v>
      </c>
      <c r="C1206" s="14" t="s">
        <v>10670</v>
      </c>
      <c r="D1206" s="15" t="s">
        <v>10671</v>
      </c>
      <c r="E1206" s="15" t="s">
        <v>10032</v>
      </c>
      <c r="F1206" s="15" t="s">
        <v>10032</v>
      </c>
      <c r="G1206" s="15" t="s">
        <v>10672</v>
      </c>
      <c r="H1206" s="15" t="s">
        <v>10673</v>
      </c>
      <c r="I1206" s="15" t="s">
        <v>38</v>
      </c>
      <c r="J1206" s="15" t="s">
        <v>10674</v>
      </c>
      <c r="K1206" s="15" t="s">
        <v>9426</v>
      </c>
      <c r="L1206" s="15" t="s">
        <v>38</v>
      </c>
      <c r="M1206" s="217" t="s">
        <v>10675</v>
      </c>
      <c r="N1206" s="13" t="s">
        <v>10676</v>
      </c>
      <c r="O1206" s="13"/>
      <c r="P1206" s="49" t="s">
        <v>10252</v>
      </c>
      <c r="Q1206" s="17" t="s">
        <v>10677</v>
      </c>
      <c r="R1206" s="18">
        <v>127.11</v>
      </c>
      <c r="S1206" s="19">
        <f t="shared" si="5"/>
        <v>20591.82</v>
      </c>
      <c r="T1206" s="12" t="s">
        <v>46</v>
      </c>
      <c r="U1206" s="15"/>
      <c r="V1206" s="19">
        <v>44610</v>
      </c>
      <c r="W1206" s="49" t="s">
        <v>71</v>
      </c>
      <c r="X1206" s="13"/>
      <c r="Y1206" s="20"/>
      <c r="Z1206" s="13">
        <v>3875418</v>
      </c>
      <c r="AA1206" s="13">
        <v>4757914</v>
      </c>
      <c r="AB1206" s="13"/>
      <c r="AC1206" s="49">
        <v>5627226</v>
      </c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</row>
    <row r="1207" spans="1:46" ht="45" customHeight="1">
      <c r="A1207" s="12" t="s">
        <v>10678</v>
      </c>
      <c r="B1207" s="13" t="s">
        <v>10679</v>
      </c>
      <c r="C1207" s="14" t="s">
        <v>10680</v>
      </c>
      <c r="D1207" s="15" t="s">
        <v>10681</v>
      </c>
      <c r="E1207" s="15" t="s">
        <v>10682</v>
      </c>
      <c r="F1207" s="15" t="s">
        <v>10682</v>
      </c>
      <c r="G1207" s="15" t="s">
        <v>10683</v>
      </c>
      <c r="H1207" s="15" t="s">
        <v>9223</v>
      </c>
      <c r="I1207" s="15" t="s">
        <v>115</v>
      </c>
      <c r="J1207" s="15" t="s">
        <v>10683</v>
      </c>
      <c r="K1207" s="15" t="s">
        <v>9223</v>
      </c>
      <c r="L1207" s="15" t="s">
        <v>115</v>
      </c>
      <c r="M1207" s="217" t="s">
        <v>10684</v>
      </c>
      <c r="N1207" s="13" t="s">
        <v>10685</v>
      </c>
      <c r="O1207" s="13"/>
      <c r="P1207" s="15" t="s">
        <v>151</v>
      </c>
      <c r="Q1207" s="17" t="s">
        <v>10686</v>
      </c>
      <c r="R1207" s="18">
        <v>54.69</v>
      </c>
      <c r="S1207" s="19">
        <f t="shared" si="5"/>
        <v>8859.7799999999988</v>
      </c>
      <c r="T1207" s="12" t="s">
        <v>46</v>
      </c>
      <c r="U1207" s="15"/>
      <c r="V1207" s="19">
        <v>44610</v>
      </c>
      <c r="W1207" s="15" t="s">
        <v>71</v>
      </c>
      <c r="X1207" s="13"/>
      <c r="Y1207" s="20"/>
      <c r="Z1207" s="13">
        <v>3884904</v>
      </c>
      <c r="AA1207" s="13">
        <v>4696520</v>
      </c>
      <c r="AB1207" s="13"/>
      <c r="AC1207" s="15">
        <v>5583692</v>
      </c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</row>
    <row r="1208" spans="1:46" ht="45" customHeight="1">
      <c r="A1208" s="12" t="s">
        <v>10687</v>
      </c>
      <c r="B1208" s="13" t="s">
        <v>10688</v>
      </c>
      <c r="C1208" s="14" t="s">
        <v>10689</v>
      </c>
      <c r="D1208" s="15" t="s">
        <v>10690</v>
      </c>
      <c r="E1208" s="15" t="s">
        <v>10691</v>
      </c>
      <c r="F1208" s="15" t="s">
        <v>10691</v>
      </c>
      <c r="G1208" s="15" t="s">
        <v>10692</v>
      </c>
      <c r="H1208" s="15" t="s">
        <v>10693</v>
      </c>
      <c r="I1208" s="15" t="s">
        <v>5916</v>
      </c>
      <c r="J1208" s="15" t="s">
        <v>10692</v>
      </c>
      <c r="K1208" s="15" t="s">
        <v>10693</v>
      </c>
      <c r="L1208" s="15" t="s">
        <v>5916</v>
      </c>
      <c r="M1208" s="145" t="s">
        <v>10694</v>
      </c>
      <c r="N1208" s="13" t="s">
        <v>10695</v>
      </c>
      <c r="O1208" s="13"/>
      <c r="P1208" s="15" t="s">
        <v>44</v>
      </c>
      <c r="Q1208" s="17" t="s">
        <v>10696</v>
      </c>
      <c r="R1208" s="18">
        <v>86.51</v>
      </c>
      <c r="S1208" s="19">
        <f t="shared" si="5"/>
        <v>14014.62</v>
      </c>
      <c r="T1208" s="12" t="s">
        <v>46</v>
      </c>
      <c r="U1208" s="15"/>
      <c r="V1208" s="19">
        <v>44610</v>
      </c>
      <c r="W1208" s="15" t="s">
        <v>47</v>
      </c>
      <c r="X1208" s="13"/>
      <c r="Y1208" s="20"/>
      <c r="Z1208" s="13">
        <v>3908025</v>
      </c>
      <c r="AA1208" s="13">
        <v>4749657</v>
      </c>
      <c r="AB1208" s="13"/>
      <c r="AC1208" s="15">
        <v>5580842</v>
      </c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</row>
    <row r="1209" spans="1:46" ht="45" customHeight="1">
      <c r="A1209" s="12" t="s">
        <v>10697</v>
      </c>
      <c r="B1209" s="13" t="s">
        <v>10698</v>
      </c>
      <c r="C1209" s="14" t="s">
        <v>10699</v>
      </c>
      <c r="D1209" s="15" t="s">
        <v>10700</v>
      </c>
      <c r="E1209" s="15" t="s">
        <v>10701</v>
      </c>
      <c r="F1209" s="15" t="s">
        <v>10701</v>
      </c>
      <c r="G1209" s="15" t="s">
        <v>10702</v>
      </c>
      <c r="H1209" s="15"/>
      <c r="I1209" s="15" t="s">
        <v>149</v>
      </c>
      <c r="J1209" s="15" t="s">
        <v>10702</v>
      </c>
      <c r="K1209" s="15"/>
      <c r="L1209" s="15" t="s">
        <v>149</v>
      </c>
      <c r="M1209" s="217" t="s">
        <v>10703</v>
      </c>
      <c r="N1209" s="13">
        <v>2616581833</v>
      </c>
      <c r="O1209" s="13"/>
      <c r="P1209" s="15" t="s">
        <v>44</v>
      </c>
      <c r="Q1209" s="17" t="s">
        <v>10704</v>
      </c>
      <c r="R1209" s="18">
        <v>19</v>
      </c>
      <c r="S1209" s="19">
        <f t="shared" si="5"/>
        <v>3078</v>
      </c>
      <c r="T1209" s="12" t="s">
        <v>46</v>
      </c>
      <c r="U1209" s="15"/>
      <c r="V1209" s="19">
        <v>44610</v>
      </c>
      <c r="W1209" s="15"/>
      <c r="X1209" s="13"/>
      <c r="Y1209" s="20"/>
      <c r="Z1209" s="13">
        <v>3895444</v>
      </c>
      <c r="AA1209" s="13"/>
      <c r="AB1209" s="13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</row>
    <row r="1210" spans="1:46" ht="45" customHeight="1">
      <c r="A1210" s="21" t="s">
        <v>10705</v>
      </c>
      <c r="B1210" s="22" t="s">
        <v>10706</v>
      </c>
      <c r="C1210" s="23" t="s">
        <v>10707</v>
      </c>
      <c r="D1210" s="24" t="s">
        <v>10708</v>
      </c>
      <c r="E1210" s="24" t="s">
        <v>10709</v>
      </c>
      <c r="F1210" s="24" t="s">
        <v>10709</v>
      </c>
      <c r="G1210" s="24" t="s">
        <v>10710</v>
      </c>
      <c r="H1210" s="24"/>
      <c r="I1210" s="24" t="s">
        <v>80</v>
      </c>
      <c r="J1210" s="24" t="s">
        <v>10710</v>
      </c>
      <c r="K1210" s="24"/>
      <c r="L1210" s="24" t="s">
        <v>80</v>
      </c>
      <c r="M1210" s="63" t="s">
        <v>10711</v>
      </c>
      <c r="N1210" s="22" t="s">
        <v>10712</v>
      </c>
      <c r="O1210" s="22"/>
      <c r="P1210" s="24" t="s">
        <v>44</v>
      </c>
      <c r="Q1210" s="28" t="s">
        <v>10713</v>
      </c>
      <c r="R1210" s="29">
        <v>1244.8499999999999</v>
      </c>
      <c r="S1210" s="30">
        <f t="shared" si="5"/>
        <v>201665.69999999998</v>
      </c>
      <c r="T1210" s="21" t="s">
        <v>198</v>
      </c>
      <c r="U1210" s="24"/>
      <c r="V1210" s="30">
        <v>215940</v>
      </c>
      <c r="W1210" s="24"/>
      <c r="X1210" s="22"/>
      <c r="Y1210" s="31"/>
      <c r="Z1210" s="22">
        <v>3892586</v>
      </c>
      <c r="AA1210" s="22"/>
      <c r="AB1210" s="22"/>
      <c r="AC1210" s="24"/>
      <c r="AD1210" s="24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P1210" s="24"/>
      <c r="AQ1210" s="24"/>
      <c r="AR1210" s="24"/>
      <c r="AS1210" s="24"/>
      <c r="AT1210" s="24"/>
    </row>
    <row r="1211" spans="1:46" ht="45" customHeight="1">
      <c r="A1211" s="79" t="s">
        <v>10714</v>
      </c>
      <c r="B1211" s="80" t="s">
        <v>10715</v>
      </c>
      <c r="C1211" s="81" t="s">
        <v>10716</v>
      </c>
      <c r="D1211" s="82" t="s">
        <v>8070</v>
      </c>
      <c r="E1211" s="82" t="s">
        <v>10717</v>
      </c>
      <c r="F1211" s="82" t="s">
        <v>10717</v>
      </c>
      <c r="G1211" s="82" t="s">
        <v>10718</v>
      </c>
      <c r="H1211" s="82" t="s">
        <v>52</v>
      </c>
      <c r="I1211" s="82" t="s">
        <v>53</v>
      </c>
      <c r="J1211" s="82" t="s">
        <v>10719</v>
      </c>
      <c r="K1211" s="82"/>
      <c r="L1211" s="82" t="s">
        <v>65</v>
      </c>
      <c r="M1211" s="166" t="s">
        <v>10720</v>
      </c>
      <c r="N1211" s="80" t="s">
        <v>10721</v>
      </c>
      <c r="O1211" s="80"/>
      <c r="P1211" s="82" t="s">
        <v>44</v>
      </c>
      <c r="Q1211" s="84" t="s">
        <v>10722</v>
      </c>
      <c r="R1211" s="85" t="s">
        <v>770</v>
      </c>
      <c r="S1211" s="86" t="e">
        <f t="shared" si="5"/>
        <v>#VALUE!</v>
      </c>
      <c r="T1211" s="87" t="s">
        <v>770</v>
      </c>
      <c r="U1211" s="82"/>
      <c r="V1211" s="86">
        <v>0</v>
      </c>
      <c r="W1211" s="82"/>
      <c r="X1211" s="80"/>
      <c r="Y1211" s="88"/>
      <c r="Z1211" s="80">
        <v>3921072</v>
      </c>
      <c r="AA1211" s="80"/>
      <c r="AB1211" s="80"/>
      <c r="AC1211" s="82"/>
      <c r="AD1211" s="82"/>
      <c r="AE1211" s="82"/>
      <c r="AF1211" s="82"/>
      <c r="AG1211" s="82"/>
      <c r="AH1211" s="82"/>
      <c r="AI1211" s="82"/>
      <c r="AJ1211" s="82"/>
      <c r="AK1211" s="82"/>
      <c r="AL1211" s="82"/>
      <c r="AM1211" s="82"/>
      <c r="AN1211" s="82"/>
      <c r="AO1211" s="82"/>
      <c r="AP1211" s="82"/>
      <c r="AQ1211" s="82"/>
      <c r="AR1211" s="82"/>
      <c r="AS1211" s="82"/>
      <c r="AT1211" s="82"/>
    </row>
    <row r="1212" spans="1:46" ht="45" customHeight="1">
      <c r="A1212" s="12" t="s">
        <v>10723</v>
      </c>
      <c r="B1212" s="13" t="s">
        <v>10724</v>
      </c>
      <c r="C1212" s="14" t="s">
        <v>10725</v>
      </c>
      <c r="D1212" s="15" t="s">
        <v>10726</v>
      </c>
      <c r="E1212" s="15" t="s">
        <v>615</v>
      </c>
      <c r="F1212" s="15" t="s">
        <v>615</v>
      </c>
      <c r="G1212" s="15" t="s">
        <v>10727</v>
      </c>
      <c r="H1212" s="15"/>
      <c r="I1212" s="15" t="s">
        <v>80</v>
      </c>
      <c r="J1212" s="15" t="s">
        <v>10727</v>
      </c>
      <c r="K1212" s="15"/>
      <c r="L1212" s="15" t="s">
        <v>80</v>
      </c>
      <c r="M1212" s="15" t="s">
        <v>10728</v>
      </c>
      <c r="N1212" s="13">
        <v>2615259085</v>
      </c>
      <c r="O1212" s="13"/>
      <c r="P1212" s="15" t="s">
        <v>1310</v>
      </c>
      <c r="Q1212" s="17" t="s">
        <v>10729</v>
      </c>
      <c r="R1212" s="18">
        <v>82</v>
      </c>
      <c r="S1212" s="19">
        <f t="shared" si="5"/>
        <v>13284</v>
      </c>
      <c r="T1212" s="12" t="s">
        <v>46</v>
      </c>
      <c r="U1212" s="15"/>
      <c r="V1212" s="19">
        <v>44610</v>
      </c>
      <c r="W1212" s="15"/>
      <c r="X1212" s="13"/>
      <c r="Y1212" s="20"/>
      <c r="Z1212" s="13">
        <v>3958251</v>
      </c>
      <c r="AA1212" s="13">
        <v>4745354</v>
      </c>
      <c r="AB1212" s="13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</row>
    <row r="1213" spans="1:46" ht="45" customHeight="1">
      <c r="A1213" s="12" t="s">
        <v>10730</v>
      </c>
      <c r="B1213" s="13" t="s">
        <v>10731</v>
      </c>
      <c r="C1213" s="14" t="s">
        <v>10732</v>
      </c>
      <c r="D1213" s="15" t="s">
        <v>10733</v>
      </c>
      <c r="E1213" s="15" t="s">
        <v>10734</v>
      </c>
      <c r="F1213" s="15" t="s">
        <v>10734</v>
      </c>
      <c r="G1213" s="15" t="s">
        <v>10735</v>
      </c>
      <c r="H1213" s="15" t="s">
        <v>4398</v>
      </c>
      <c r="I1213" s="15" t="s">
        <v>80</v>
      </c>
      <c r="J1213" s="15" t="s">
        <v>10735</v>
      </c>
      <c r="K1213" s="15" t="s">
        <v>4398</v>
      </c>
      <c r="L1213" s="15" t="s">
        <v>80</v>
      </c>
      <c r="M1213" s="15" t="s">
        <v>10736</v>
      </c>
      <c r="N1213" s="13">
        <v>2615860938</v>
      </c>
      <c r="O1213" s="13"/>
      <c r="P1213" s="15" t="s">
        <v>94</v>
      </c>
      <c r="Q1213" s="17" t="s">
        <v>10737</v>
      </c>
      <c r="R1213" s="18">
        <v>91</v>
      </c>
      <c r="S1213" s="19">
        <f t="shared" si="5"/>
        <v>14742</v>
      </c>
      <c r="T1213" s="12" t="s">
        <v>46</v>
      </c>
      <c r="U1213" s="15"/>
      <c r="V1213" s="19">
        <v>44610</v>
      </c>
      <c r="W1213" s="15"/>
      <c r="X1213" s="13"/>
      <c r="Y1213" s="20"/>
      <c r="Z1213" s="13">
        <v>3956104</v>
      </c>
      <c r="AA1213" s="13"/>
      <c r="AB1213" s="13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</row>
    <row r="1214" spans="1:46" ht="45" customHeight="1">
      <c r="A1214" s="12" t="s">
        <v>10738</v>
      </c>
      <c r="B1214" s="13" t="s">
        <v>10739</v>
      </c>
      <c r="C1214" s="14" t="s">
        <v>10740</v>
      </c>
      <c r="D1214" s="15" t="s">
        <v>10741</v>
      </c>
      <c r="E1214" s="15" t="s">
        <v>7732</v>
      </c>
      <c r="F1214" s="15" t="s">
        <v>7732</v>
      </c>
      <c r="G1214" s="15" t="s">
        <v>10742</v>
      </c>
      <c r="H1214" s="15"/>
      <c r="I1214" s="15" t="s">
        <v>149</v>
      </c>
      <c r="J1214" s="15" t="s">
        <v>10742</v>
      </c>
      <c r="K1214" s="15"/>
      <c r="L1214" s="15" t="s">
        <v>149</v>
      </c>
      <c r="M1214" s="15" t="s">
        <v>10743</v>
      </c>
      <c r="N1214" s="13">
        <v>2613866877</v>
      </c>
      <c r="O1214" s="13"/>
      <c r="P1214" s="15" t="s">
        <v>151</v>
      </c>
      <c r="Q1214" s="17" t="s">
        <v>10744</v>
      </c>
      <c r="R1214" s="18">
        <v>28</v>
      </c>
      <c r="S1214" s="19">
        <f t="shared" si="5"/>
        <v>4536</v>
      </c>
      <c r="T1214" s="12" t="s">
        <v>46</v>
      </c>
      <c r="U1214" s="15"/>
      <c r="V1214" s="19">
        <v>44610</v>
      </c>
      <c r="W1214" s="15"/>
      <c r="X1214" s="13"/>
      <c r="Y1214" s="20"/>
      <c r="Z1214" s="13">
        <v>3947301</v>
      </c>
      <c r="AA1214" s="13"/>
      <c r="AB1214" s="13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</row>
    <row r="1215" spans="1:46" ht="45" customHeight="1">
      <c r="A1215" s="12" t="s">
        <v>10745</v>
      </c>
      <c r="B1215" s="13" t="s">
        <v>10746</v>
      </c>
      <c r="C1215" s="14" t="s">
        <v>10747</v>
      </c>
      <c r="D1215" s="15" t="s">
        <v>10748</v>
      </c>
      <c r="E1215" s="15" t="s">
        <v>10749</v>
      </c>
      <c r="F1215" s="15" t="s">
        <v>10749</v>
      </c>
      <c r="G1215" s="15" t="s">
        <v>10750</v>
      </c>
      <c r="H1215" s="15"/>
      <c r="I1215" s="15" t="s">
        <v>115</v>
      </c>
      <c r="J1215" s="15" t="s">
        <v>10750</v>
      </c>
      <c r="K1215" s="15"/>
      <c r="L1215" s="15" t="s">
        <v>115</v>
      </c>
      <c r="M1215" s="15" t="s">
        <v>10751</v>
      </c>
      <c r="N1215" s="13" t="s">
        <v>10752</v>
      </c>
      <c r="O1215" s="13"/>
      <c r="P1215" s="15" t="s">
        <v>10753</v>
      </c>
      <c r="Q1215" s="17" t="s">
        <v>10754</v>
      </c>
      <c r="R1215" s="18">
        <v>182</v>
      </c>
      <c r="S1215" s="19">
        <f t="shared" si="5"/>
        <v>29484</v>
      </c>
      <c r="T1215" s="12" t="s">
        <v>46</v>
      </c>
      <c r="U1215" s="15"/>
      <c r="V1215" s="19">
        <v>44610</v>
      </c>
      <c r="W1215" s="15" t="s">
        <v>71</v>
      </c>
      <c r="X1215" s="13"/>
      <c r="Y1215" s="20"/>
      <c r="Z1215" s="13">
        <v>3965529</v>
      </c>
      <c r="AA1215" s="13"/>
      <c r="AB1215" s="13"/>
      <c r="AC1215" s="111">
        <v>5550006</v>
      </c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</row>
    <row r="1216" spans="1:46" ht="45" customHeight="1">
      <c r="A1216" s="12" t="s">
        <v>10755</v>
      </c>
      <c r="B1216" s="13" t="s">
        <v>10756</v>
      </c>
      <c r="C1216" s="66" t="s">
        <v>10757</v>
      </c>
      <c r="D1216" s="15" t="s">
        <v>10758</v>
      </c>
      <c r="E1216" s="15" t="s">
        <v>10759</v>
      </c>
      <c r="F1216" s="15" t="s">
        <v>10759</v>
      </c>
      <c r="G1216" s="15" t="s">
        <v>10760</v>
      </c>
      <c r="H1216" s="15"/>
      <c r="I1216" s="15" t="s">
        <v>41</v>
      </c>
      <c r="J1216" s="15" t="s">
        <v>10760</v>
      </c>
      <c r="K1216" s="15"/>
      <c r="L1216" s="15" t="s">
        <v>41</v>
      </c>
      <c r="M1216" s="217" t="s">
        <v>10761</v>
      </c>
      <c r="N1216" s="15">
        <v>2604442347</v>
      </c>
      <c r="O1216" s="15"/>
      <c r="P1216" s="15" t="s">
        <v>94</v>
      </c>
      <c r="Q1216" s="15" t="s">
        <v>10762</v>
      </c>
      <c r="R1216" s="18">
        <v>133</v>
      </c>
      <c r="S1216" s="19">
        <f t="shared" si="5"/>
        <v>21546</v>
      </c>
      <c r="T1216" s="12" t="s">
        <v>46</v>
      </c>
      <c r="U1216" s="15"/>
      <c r="V1216" s="19">
        <v>44610</v>
      </c>
      <c r="W1216" s="15"/>
      <c r="X1216" s="15"/>
      <c r="Y1216" s="13"/>
      <c r="Z1216" s="13">
        <v>3966013</v>
      </c>
      <c r="AA1216" s="13">
        <v>4676422</v>
      </c>
      <c r="AB1216" s="13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</row>
    <row r="1217" spans="1:46" ht="45" customHeight="1">
      <c r="A1217" s="12" t="s">
        <v>10763</v>
      </c>
      <c r="B1217" s="13" t="s">
        <v>10764</v>
      </c>
      <c r="C1217" s="66" t="s">
        <v>10765</v>
      </c>
      <c r="D1217" s="15" t="s">
        <v>10766</v>
      </c>
      <c r="E1217" s="15" t="s">
        <v>10767</v>
      </c>
      <c r="F1217" s="15" t="s">
        <v>10767</v>
      </c>
      <c r="G1217" s="15" t="s">
        <v>10768</v>
      </c>
      <c r="H1217" s="15" t="s">
        <v>10769</v>
      </c>
      <c r="I1217" s="15" t="s">
        <v>80</v>
      </c>
      <c r="J1217" s="15" t="s">
        <v>10768</v>
      </c>
      <c r="K1217" s="15" t="s">
        <v>10769</v>
      </c>
      <c r="L1217" s="15" t="s">
        <v>80</v>
      </c>
      <c r="M1217" s="46" t="s">
        <v>10770</v>
      </c>
      <c r="N1217" s="15">
        <v>2613629032</v>
      </c>
      <c r="O1217" s="15"/>
      <c r="P1217" s="15" t="s">
        <v>94</v>
      </c>
      <c r="Q1217" s="118" t="s">
        <v>10771</v>
      </c>
      <c r="R1217" s="18">
        <v>30</v>
      </c>
      <c r="S1217" s="19">
        <f t="shared" si="5"/>
        <v>4860</v>
      </c>
      <c r="T1217" s="12" t="s">
        <v>46</v>
      </c>
      <c r="U1217" s="15"/>
      <c r="V1217" s="19">
        <v>44610</v>
      </c>
      <c r="W1217" s="15"/>
      <c r="X1217" s="15"/>
      <c r="Y1217" s="13"/>
      <c r="Z1217" s="13">
        <v>4002194</v>
      </c>
      <c r="AA1217" s="13">
        <v>4744598</v>
      </c>
      <c r="AB1217" s="13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</row>
    <row r="1218" spans="1:46" ht="45" customHeight="1">
      <c r="A1218" s="21" t="s">
        <v>10772</v>
      </c>
      <c r="B1218" s="22" t="s">
        <v>10773</v>
      </c>
      <c r="C1218" s="66" t="s">
        <v>10774</v>
      </c>
      <c r="D1218" s="15" t="s">
        <v>10775</v>
      </c>
      <c r="E1218" s="15" t="s">
        <v>10776</v>
      </c>
      <c r="F1218" s="15" t="s">
        <v>10776</v>
      </c>
      <c r="G1218" s="15" t="s">
        <v>10777</v>
      </c>
      <c r="H1218" s="15"/>
      <c r="I1218" s="15" t="s">
        <v>6584</v>
      </c>
      <c r="J1218" s="15" t="s">
        <v>10777</v>
      </c>
      <c r="K1218" s="15"/>
      <c r="L1218" s="15" t="s">
        <v>6584</v>
      </c>
      <c r="M1218" s="16" t="s">
        <v>10778</v>
      </c>
      <c r="N1218" s="15">
        <v>2634428229</v>
      </c>
      <c r="O1218" s="15"/>
      <c r="P1218" s="15" t="s">
        <v>5573</v>
      </c>
      <c r="Q1218" s="15" t="s">
        <v>10779</v>
      </c>
      <c r="R1218" s="29">
        <v>1420</v>
      </c>
      <c r="S1218" s="30">
        <f t="shared" si="5"/>
        <v>230040</v>
      </c>
      <c r="T1218" s="12" t="s">
        <v>198</v>
      </c>
      <c r="U1218" s="15"/>
      <c r="V1218" s="30">
        <v>215940</v>
      </c>
      <c r="W1218" s="15" t="s">
        <v>71</v>
      </c>
      <c r="X1218" s="15"/>
      <c r="Y1218" s="13"/>
      <c r="Z1218" s="13">
        <v>4015295</v>
      </c>
      <c r="AA1218" s="13">
        <v>4757958</v>
      </c>
      <c r="AB1218" s="13"/>
      <c r="AC1218" s="15">
        <v>5532840</v>
      </c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</row>
    <row r="1219" spans="1:46" ht="45" customHeight="1">
      <c r="A1219" s="79" t="s">
        <v>10780</v>
      </c>
      <c r="B1219" s="80" t="s">
        <v>10781</v>
      </c>
      <c r="C1219" s="81" t="s">
        <v>10782</v>
      </c>
      <c r="D1219" s="82" t="s">
        <v>10783</v>
      </c>
      <c r="E1219" s="82" t="s">
        <v>10784</v>
      </c>
      <c r="F1219" s="82" t="s">
        <v>10784</v>
      </c>
      <c r="G1219" s="82" t="s">
        <v>10785</v>
      </c>
      <c r="H1219" s="82"/>
      <c r="I1219" s="82" t="s">
        <v>53</v>
      </c>
      <c r="J1219" s="82" t="s">
        <v>10786</v>
      </c>
      <c r="K1219" s="82" t="s">
        <v>10787</v>
      </c>
      <c r="L1219" s="82" t="s">
        <v>53</v>
      </c>
      <c r="M1219" s="166" t="s">
        <v>10788</v>
      </c>
      <c r="N1219" s="82">
        <v>4377488</v>
      </c>
      <c r="O1219" s="82"/>
      <c r="P1219" s="167" t="s">
        <v>10789</v>
      </c>
      <c r="Q1219" s="82" t="s">
        <v>10790</v>
      </c>
      <c r="R1219" s="85" t="s">
        <v>770</v>
      </c>
      <c r="S1219" s="86" t="e">
        <f t="shared" si="5"/>
        <v>#VALUE!</v>
      </c>
      <c r="T1219" s="87" t="s">
        <v>770</v>
      </c>
      <c r="U1219" s="82"/>
      <c r="V1219" s="86">
        <v>0</v>
      </c>
      <c r="W1219" s="167" t="s">
        <v>47</v>
      </c>
      <c r="X1219" s="82"/>
      <c r="Y1219" s="80"/>
      <c r="Z1219" s="80">
        <v>4026109</v>
      </c>
      <c r="AA1219" s="80"/>
      <c r="AB1219" s="80"/>
      <c r="AC1219" s="167">
        <v>5628335</v>
      </c>
      <c r="AD1219" s="82"/>
      <c r="AE1219" s="82"/>
      <c r="AF1219" s="82"/>
      <c r="AG1219" s="82"/>
      <c r="AH1219" s="82"/>
      <c r="AI1219" s="82"/>
      <c r="AJ1219" s="82"/>
      <c r="AK1219" s="82"/>
      <c r="AL1219" s="82"/>
      <c r="AM1219" s="82"/>
      <c r="AN1219" s="82"/>
      <c r="AO1219" s="82"/>
      <c r="AP1219" s="82"/>
      <c r="AQ1219" s="82"/>
      <c r="AR1219" s="82"/>
      <c r="AS1219" s="82"/>
      <c r="AT1219" s="82"/>
    </row>
    <row r="1220" spans="1:46" ht="45" customHeight="1">
      <c r="A1220" s="12" t="s">
        <v>10791</v>
      </c>
      <c r="B1220" s="13" t="s">
        <v>10792</v>
      </c>
      <c r="C1220" s="66" t="s">
        <v>10793</v>
      </c>
      <c r="D1220" s="15" t="s">
        <v>4321</v>
      </c>
      <c r="E1220" s="15" t="s">
        <v>10794</v>
      </c>
      <c r="F1220" s="15" t="s">
        <v>10794</v>
      </c>
      <c r="G1220" s="15" t="s">
        <v>10795</v>
      </c>
      <c r="H1220" s="15"/>
      <c r="I1220" s="15" t="s">
        <v>7704</v>
      </c>
      <c r="J1220" s="15" t="s">
        <v>10795</v>
      </c>
      <c r="K1220" s="15"/>
      <c r="L1220" s="15" t="s">
        <v>7704</v>
      </c>
      <c r="M1220" s="46" t="s">
        <v>10796</v>
      </c>
      <c r="N1220" s="15" t="s">
        <v>10797</v>
      </c>
      <c r="O1220" s="221">
        <v>46645</v>
      </c>
      <c r="P1220" s="15" t="s">
        <v>10252</v>
      </c>
      <c r="Q1220" s="15" t="s">
        <v>10798</v>
      </c>
      <c r="R1220" s="18">
        <v>80</v>
      </c>
      <c r="S1220" s="19">
        <f t="shared" si="5"/>
        <v>12960</v>
      </c>
      <c r="T1220" s="12" t="s">
        <v>46</v>
      </c>
      <c r="U1220" s="15"/>
      <c r="V1220" s="19">
        <v>44610</v>
      </c>
      <c r="W1220" s="15" t="s">
        <v>71</v>
      </c>
      <c r="X1220" s="15"/>
      <c r="Y1220" s="13"/>
      <c r="Z1220" s="13">
        <v>4016049</v>
      </c>
      <c r="AA1220" s="13"/>
      <c r="AB1220" s="13"/>
      <c r="AC1220" s="15">
        <v>5576262</v>
      </c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</row>
    <row r="1221" spans="1:46" ht="45" customHeight="1">
      <c r="A1221" s="12" t="s">
        <v>10799</v>
      </c>
      <c r="B1221" s="13" t="s">
        <v>10800</v>
      </c>
      <c r="C1221" s="66" t="s">
        <v>10801</v>
      </c>
      <c r="D1221" s="15" t="s">
        <v>10802</v>
      </c>
      <c r="E1221" s="15" t="s">
        <v>10803</v>
      </c>
      <c r="F1221" s="15" t="s">
        <v>10803</v>
      </c>
      <c r="G1221" s="15" t="s">
        <v>10804</v>
      </c>
      <c r="H1221" s="15"/>
      <c r="I1221" s="15" t="s">
        <v>115</v>
      </c>
      <c r="J1221" s="15" t="s">
        <v>10805</v>
      </c>
      <c r="K1221" s="15"/>
      <c r="L1221" s="15" t="s">
        <v>80</v>
      </c>
      <c r="M1221" s="217" t="s">
        <v>10806</v>
      </c>
      <c r="N1221" s="15" t="s">
        <v>10807</v>
      </c>
      <c r="O1221" s="15"/>
      <c r="P1221" s="15" t="s">
        <v>5270</v>
      </c>
      <c r="Q1221" s="15" t="s">
        <v>10808</v>
      </c>
      <c r="R1221" s="18">
        <v>89</v>
      </c>
      <c r="S1221" s="19">
        <f t="shared" si="5"/>
        <v>14418</v>
      </c>
      <c r="T1221" s="12" t="s">
        <v>46</v>
      </c>
      <c r="U1221" s="15"/>
      <c r="V1221" s="19">
        <v>44610</v>
      </c>
      <c r="W1221" s="49" t="s">
        <v>71</v>
      </c>
      <c r="X1221" s="15"/>
      <c r="Y1221" s="13"/>
      <c r="Z1221" s="13">
        <v>4020526</v>
      </c>
      <c r="AA1221" s="13">
        <v>4753659</v>
      </c>
      <c r="AB1221" s="13"/>
      <c r="AC1221" s="49">
        <v>5636232</v>
      </c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</row>
    <row r="1222" spans="1:46" ht="45" customHeight="1">
      <c r="A1222" s="12" t="s">
        <v>10809</v>
      </c>
      <c r="B1222" s="13" t="s">
        <v>10810</v>
      </c>
      <c r="C1222" s="66" t="s">
        <v>10811</v>
      </c>
      <c r="D1222" s="15" t="s">
        <v>10812</v>
      </c>
      <c r="E1222" s="15" t="s">
        <v>10813</v>
      </c>
      <c r="F1222" s="15" t="s">
        <v>10813</v>
      </c>
      <c r="G1222" s="15" t="s">
        <v>10814</v>
      </c>
      <c r="H1222" s="15"/>
      <c r="I1222" s="15" t="s">
        <v>149</v>
      </c>
      <c r="J1222" s="15" t="s">
        <v>10814</v>
      </c>
      <c r="K1222" s="15"/>
      <c r="L1222" s="15" t="s">
        <v>149</v>
      </c>
      <c r="M1222" s="217" t="s">
        <v>10815</v>
      </c>
      <c r="N1222" s="15">
        <v>2615899960</v>
      </c>
      <c r="O1222" s="15"/>
      <c r="P1222" s="15" t="s">
        <v>44</v>
      </c>
      <c r="Q1222" s="15" t="s">
        <v>10816</v>
      </c>
      <c r="R1222" s="18">
        <v>299</v>
      </c>
      <c r="S1222" s="19">
        <f t="shared" si="5"/>
        <v>48438</v>
      </c>
      <c r="T1222" s="12" t="s">
        <v>46</v>
      </c>
      <c r="U1222" s="15"/>
      <c r="V1222" s="19">
        <v>44610</v>
      </c>
      <c r="W1222" s="49" t="s">
        <v>71</v>
      </c>
      <c r="X1222" s="15"/>
      <c r="Y1222" s="13"/>
      <c r="Z1222" s="13">
        <v>4041114</v>
      </c>
      <c r="AA1222" s="13">
        <v>4753402</v>
      </c>
      <c r="AB1222" s="13"/>
      <c r="AC1222" s="222">
        <v>5636931</v>
      </c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</row>
    <row r="1223" spans="1:46" ht="45" customHeight="1">
      <c r="A1223" s="12" t="s">
        <v>10817</v>
      </c>
      <c r="B1223" s="13" t="s">
        <v>10818</v>
      </c>
      <c r="C1223" s="66" t="s">
        <v>10819</v>
      </c>
      <c r="D1223" s="15" t="s">
        <v>10820</v>
      </c>
      <c r="E1223" s="15" t="s">
        <v>10821</v>
      </c>
      <c r="F1223" s="15" t="s">
        <v>10821</v>
      </c>
      <c r="G1223" s="15" t="s">
        <v>10822</v>
      </c>
      <c r="H1223" s="15"/>
      <c r="I1223" s="15" t="s">
        <v>115</v>
      </c>
      <c r="J1223" s="15" t="s">
        <v>10823</v>
      </c>
      <c r="K1223" s="15"/>
      <c r="L1223" s="15" t="s">
        <v>53</v>
      </c>
      <c r="M1223" s="217" t="s">
        <v>10824</v>
      </c>
      <c r="N1223" s="15" t="s">
        <v>10825</v>
      </c>
      <c r="O1223" s="15"/>
      <c r="P1223" s="15" t="s">
        <v>94</v>
      </c>
      <c r="Q1223" s="15" t="s">
        <v>10826</v>
      </c>
      <c r="R1223" s="18">
        <v>68</v>
      </c>
      <c r="S1223" s="19">
        <f t="shared" si="5"/>
        <v>11016</v>
      </c>
      <c r="T1223" s="12" t="s">
        <v>46</v>
      </c>
      <c r="U1223" s="15"/>
      <c r="V1223" s="19">
        <v>44610</v>
      </c>
      <c r="W1223" s="15"/>
      <c r="X1223" s="15"/>
      <c r="Y1223" s="13"/>
      <c r="Z1223" s="13">
        <v>4041563</v>
      </c>
      <c r="AA1223" s="13">
        <v>4718735</v>
      </c>
      <c r="AB1223" s="13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</row>
    <row r="1224" spans="1:46" ht="45" customHeight="1">
      <c r="A1224" s="12" t="s">
        <v>10827</v>
      </c>
      <c r="B1224" s="13" t="s">
        <v>10828</v>
      </c>
      <c r="C1224" s="66" t="s">
        <v>10829</v>
      </c>
      <c r="D1224" s="15" t="s">
        <v>10830</v>
      </c>
      <c r="E1224" s="15" t="s">
        <v>10831</v>
      </c>
      <c r="F1224" s="15" t="s">
        <v>10831</v>
      </c>
      <c r="G1224" s="15" t="s">
        <v>10832</v>
      </c>
      <c r="H1224" s="15"/>
      <c r="I1224" s="15" t="s">
        <v>7704</v>
      </c>
      <c r="J1224" s="15" t="s">
        <v>10832</v>
      </c>
      <c r="K1224" s="15"/>
      <c r="L1224" s="15" t="s">
        <v>7704</v>
      </c>
      <c r="M1224" s="46" t="s">
        <v>10833</v>
      </c>
      <c r="N1224" s="15" t="s">
        <v>10834</v>
      </c>
      <c r="O1224" s="15"/>
      <c r="P1224" s="15" t="s">
        <v>44</v>
      </c>
      <c r="Q1224" s="15" t="s">
        <v>10835</v>
      </c>
      <c r="R1224" s="18">
        <v>69</v>
      </c>
      <c r="S1224" s="19">
        <f t="shared" si="5"/>
        <v>11178</v>
      </c>
      <c r="T1224" s="12" t="s">
        <v>46</v>
      </c>
      <c r="U1224" s="15"/>
      <c r="V1224" s="19">
        <v>44610</v>
      </c>
      <c r="W1224" s="15" t="s">
        <v>71</v>
      </c>
      <c r="X1224" s="15"/>
      <c r="Y1224" s="13"/>
      <c r="Z1224" s="13">
        <v>4049180</v>
      </c>
      <c r="AA1224" s="13">
        <v>4751259</v>
      </c>
      <c r="AB1224" s="13"/>
      <c r="AC1224" s="15">
        <v>5591771</v>
      </c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</row>
    <row r="1225" spans="1:46" ht="45" customHeight="1">
      <c r="A1225" s="12" t="s">
        <v>10836</v>
      </c>
      <c r="B1225" s="13" t="s">
        <v>10837</v>
      </c>
      <c r="C1225" s="66" t="s">
        <v>10838</v>
      </c>
      <c r="D1225" s="15" t="s">
        <v>10839</v>
      </c>
      <c r="E1225" s="15" t="s">
        <v>10840</v>
      </c>
      <c r="F1225" s="15" t="s">
        <v>10840</v>
      </c>
      <c r="G1225" s="15" t="s">
        <v>10841</v>
      </c>
      <c r="H1225" s="15"/>
      <c r="I1225" s="15" t="s">
        <v>80</v>
      </c>
      <c r="J1225" s="15" t="s">
        <v>10841</v>
      </c>
      <c r="K1225" s="15"/>
      <c r="L1225" s="15" t="s">
        <v>80</v>
      </c>
      <c r="M1225" s="201" t="s">
        <v>2409</v>
      </c>
      <c r="N1225" s="15" t="s">
        <v>10842</v>
      </c>
      <c r="O1225" s="15"/>
      <c r="P1225" s="15" t="s">
        <v>94</v>
      </c>
      <c r="Q1225" s="15" t="s">
        <v>10843</v>
      </c>
      <c r="R1225" s="18">
        <v>65</v>
      </c>
      <c r="S1225" s="19">
        <f t="shared" si="5"/>
        <v>10530</v>
      </c>
      <c r="T1225" s="12" t="s">
        <v>46</v>
      </c>
      <c r="U1225" s="15"/>
      <c r="V1225" s="19">
        <v>44610</v>
      </c>
      <c r="W1225" s="15" t="s">
        <v>71</v>
      </c>
      <c r="X1225" s="15"/>
      <c r="Y1225" s="13"/>
      <c r="Z1225" s="13">
        <v>4044379</v>
      </c>
      <c r="AA1225" s="13">
        <v>4666960</v>
      </c>
      <c r="AB1225" s="13"/>
      <c r="AC1225" s="15">
        <v>5531176</v>
      </c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</row>
    <row r="1226" spans="1:46" ht="45" customHeight="1">
      <c r="A1226" s="21" t="s">
        <v>10844</v>
      </c>
      <c r="B1226" s="22" t="s">
        <v>10845</v>
      </c>
      <c r="C1226" s="66" t="s">
        <v>10846</v>
      </c>
      <c r="D1226" s="15" t="s">
        <v>10847</v>
      </c>
      <c r="E1226" s="15" t="s">
        <v>10848</v>
      </c>
      <c r="F1226" s="15" t="s">
        <v>10848</v>
      </c>
      <c r="G1226" s="15" t="s">
        <v>10849</v>
      </c>
      <c r="H1226" s="15"/>
      <c r="I1226" s="15" t="s">
        <v>6584</v>
      </c>
      <c r="J1226" s="15" t="s">
        <v>10849</v>
      </c>
      <c r="K1226" s="15"/>
      <c r="L1226" s="15" t="s">
        <v>6584</v>
      </c>
      <c r="M1226" s="49" t="s">
        <v>10342</v>
      </c>
      <c r="N1226" s="15">
        <v>2613663727</v>
      </c>
      <c r="O1226" s="15"/>
      <c r="P1226" s="15" t="s">
        <v>736</v>
      </c>
      <c r="Q1226" s="15" t="s">
        <v>10850</v>
      </c>
      <c r="R1226" s="29">
        <v>5582</v>
      </c>
      <c r="S1226" s="30">
        <f t="shared" si="5"/>
        <v>904284</v>
      </c>
      <c r="T1226" s="12" t="s">
        <v>105</v>
      </c>
      <c r="U1226" s="15"/>
      <c r="V1226" s="30">
        <v>736320</v>
      </c>
      <c r="W1226" s="15"/>
      <c r="X1226" s="15"/>
      <c r="Y1226" s="13"/>
      <c r="Z1226" s="13">
        <v>4051199</v>
      </c>
      <c r="AA1226" s="13"/>
      <c r="AB1226" s="13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</row>
    <row r="1227" spans="1:46" ht="45" customHeight="1">
      <c r="A1227" s="12" t="s">
        <v>10851</v>
      </c>
      <c r="B1227" s="13" t="s">
        <v>10852</v>
      </c>
      <c r="C1227" s="66" t="s">
        <v>10853</v>
      </c>
      <c r="D1227" s="15" t="s">
        <v>10854</v>
      </c>
      <c r="E1227" s="15" t="s">
        <v>10855</v>
      </c>
      <c r="F1227" s="15" t="s">
        <v>10855</v>
      </c>
      <c r="G1227" s="15" t="s">
        <v>10856</v>
      </c>
      <c r="H1227" s="15"/>
      <c r="I1227" s="15" t="s">
        <v>80</v>
      </c>
      <c r="J1227" s="15" t="s">
        <v>10857</v>
      </c>
      <c r="K1227" s="15"/>
      <c r="L1227" s="15" t="s">
        <v>6584</v>
      </c>
      <c r="M1227" s="145" t="s">
        <v>10858</v>
      </c>
      <c r="N1227" s="15" t="s">
        <v>10859</v>
      </c>
      <c r="O1227" s="15"/>
      <c r="P1227" s="15" t="s">
        <v>94</v>
      </c>
      <c r="Q1227" s="15" t="s">
        <v>10860</v>
      </c>
      <c r="R1227" s="18">
        <v>57</v>
      </c>
      <c r="S1227" s="19">
        <f t="shared" si="5"/>
        <v>9234</v>
      </c>
      <c r="T1227" s="12" t="s">
        <v>46</v>
      </c>
      <c r="U1227" s="15"/>
      <c r="V1227" s="19">
        <v>44610</v>
      </c>
      <c r="W1227" s="15"/>
      <c r="X1227" s="15"/>
      <c r="Y1227" s="13"/>
      <c r="Z1227" s="13">
        <v>4054168</v>
      </c>
      <c r="AA1227" s="13"/>
      <c r="AB1227" s="13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</row>
    <row r="1228" spans="1:46" ht="45" customHeight="1">
      <c r="A1228" s="12" t="s">
        <v>10861</v>
      </c>
      <c r="B1228" s="13" t="s">
        <v>10862</v>
      </c>
      <c r="C1228" s="66" t="s">
        <v>10863</v>
      </c>
      <c r="D1228" s="15" t="s">
        <v>10864</v>
      </c>
      <c r="E1228" s="15" t="s">
        <v>10865</v>
      </c>
      <c r="F1228" s="15" t="s">
        <v>10865</v>
      </c>
      <c r="G1228" s="15" t="s">
        <v>10866</v>
      </c>
      <c r="H1228" s="15"/>
      <c r="I1228" s="15" t="s">
        <v>53</v>
      </c>
      <c r="J1228" s="15" t="s">
        <v>10867</v>
      </c>
      <c r="K1228" s="15"/>
      <c r="L1228" s="15" t="s">
        <v>10868</v>
      </c>
      <c r="M1228" s="145" t="s">
        <v>10869</v>
      </c>
      <c r="N1228" s="15" t="s">
        <v>10870</v>
      </c>
      <c r="O1228" s="15"/>
      <c r="P1228" s="15" t="s">
        <v>44</v>
      </c>
      <c r="Q1228" s="15" t="s">
        <v>10871</v>
      </c>
      <c r="R1228" s="18">
        <v>33</v>
      </c>
      <c r="S1228" s="19">
        <f t="shared" si="5"/>
        <v>5346</v>
      </c>
      <c r="T1228" s="12" t="s">
        <v>46</v>
      </c>
      <c r="U1228" s="15"/>
      <c r="V1228" s="19">
        <v>44610</v>
      </c>
      <c r="W1228" s="15"/>
      <c r="X1228" s="15"/>
      <c r="Y1228" s="13"/>
      <c r="Z1228" s="13">
        <v>4057815</v>
      </c>
      <c r="AA1228" s="13"/>
      <c r="AB1228" s="13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</row>
    <row r="1229" spans="1:46" ht="45" customHeight="1">
      <c r="A1229" s="12" t="s">
        <v>10872</v>
      </c>
      <c r="B1229" s="13" t="s">
        <v>10873</v>
      </c>
      <c r="C1229" s="66" t="s">
        <v>10874</v>
      </c>
      <c r="D1229" s="15" t="s">
        <v>10875</v>
      </c>
      <c r="E1229" s="15" t="s">
        <v>10876</v>
      </c>
      <c r="F1229" s="15" t="s">
        <v>10876</v>
      </c>
      <c r="G1229" s="15" t="s">
        <v>10877</v>
      </c>
      <c r="H1229" s="15"/>
      <c r="I1229" s="15" t="s">
        <v>149</v>
      </c>
      <c r="J1229" s="15" t="s">
        <v>10877</v>
      </c>
      <c r="K1229" s="15"/>
      <c r="L1229" s="15" t="s">
        <v>149</v>
      </c>
      <c r="M1229" s="67" t="s">
        <v>10878</v>
      </c>
      <c r="N1229" s="15">
        <v>2613667006</v>
      </c>
      <c r="O1229" s="15"/>
      <c r="P1229" s="49" t="s">
        <v>10879</v>
      </c>
      <c r="Q1229" s="15" t="s">
        <v>10880</v>
      </c>
      <c r="R1229" s="75">
        <v>130</v>
      </c>
      <c r="S1229" s="19">
        <f t="shared" si="5"/>
        <v>21060</v>
      </c>
      <c r="T1229" s="12" t="s">
        <v>46</v>
      </c>
      <c r="U1229" s="15"/>
      <c r="V1229" s="19">
        <v>44610</v>
      </c>
      <c r="W1229" s="49" t="s">
        <v>71</v>
      </c>
      <c r="X1229" s="15"/>
      <c r="Y1229" s="13"/>
      <c r="Z1229" s="13">
        <v>4060086</v>
      </c>
      <c r="AA1229" s="13">
        <v>4750690</v>
      </c>
      <c r="AB1229" s="13"/>
      <c r="AC1229" s="49">
        <v>5635584</v>
      </c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</row>
    <row r="1230" spans="1:46" ht="45" customHeight="1">
      <c r="A1230" s="12" t="s">
        <v>10881</v>
      </c>
      <c r="B1230" s="13" t="s">
        <v>10882</v>
      </c>
      <c r="C1230" s="66" t="s">
        <v>10883</v>
      </c>
      <c r="D1230" s="15" t="s">
        <v>10884</v>
      </c>
      <c r="E1230" s="15" t="s">
        <v>10885</v>
      </c>
      <c r="F1230" s="15" t="s">
        <v>10885</v>
      </c>
      <c r="G1230" s="15" t="s">
        <v>10886</v>
      </c>
      <c r="H1230" s="15" t="s">
        <v>10887</v>
      </c>
      <c r="I1230" s="15" t="s">
        <v>80</v>
      </c>
      <c r="J1230" s="15" t="s">
        <v>10886</v>
      </c>
      <c r="K1230" s="15" t="s">
        <v>10887</v>
      </c>
      <c r="L1230" s="15" t="s">
        <v>80</v>
      </c>
      <c r="M1230" s="15" t="s">
        <v>10888</v>
      </c>
      <c r="N1230" s="15">
        <v>2612658313</v>
      </c>
      <c r="O1230" s="15"/>
      <c r="P1230" s="15" t="s">
        <v>44</v>
      </c>
      <c r="Q1230" s="15" t="s">
        <v>10889</v>
      </c>
      <c r="R1230" s="18">
        <v>26</v>
      </c>
      <c r="S1230" s="19">
        <f t="shared" si="5"/>
        <v>4212</v>
      </c>
      <c r="T1230" s="12" t="s">
        <v>46</v>
      </c>
      <c r="U1230" s="15"/>
      <c r="V1230" s="19">
        <v>44610</v>
      </c>
      <c r="W1230" s="49" t="s">
        <v>71</v>
      </c>
      <c r="X1230" s="15"/>
      <c r="Y1230" s="13"/>
      <c r="Z1230" s="13">
        <v>4087669</v>
      </c>
      <c r="AA1230" s="13">
        <v>4753473</v>
      </c>
      <c r="AB1230" s="13"/>
      <c r="AC1230" s="49">
        <v>5626751</v>
      </c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</row>
    <row r="1231" spans="1:46" ht="45" customHeight="1">
      <c r="A1231" s="12" t="s">
        <v>10890</v>
      </c>
      <c r="B1231" s="13" t="s">
        <v>10891</v>
      </c>
      <c r="C1231" s="66" t="s">
        <v>10892</v>
      </c>
      <c r="D1231" s="15" t="s">
        <v>10893</v>
      </c>
      <c r="E1231" s="15" t="s">
        <v>10894</v>
      </c>
      <c r="F1231" s="15" t="s">
        <v>10894</v>
      </c>
      <c r="G1231" s="15" t="s">
        <v>10895</v>
      </c>
      <c r="H1231" s="15" t="s">
        <v>2652</v>
      </c>
      <c r="I1231" s="15" t="s">
        <v>53</v>
      </c>
      <c r="J1231" s="15" t="s">
        <v>10896</v>
      </c>
      <c r="K1231" s="15"/>
      <c r="L1231" s="15" t="s">
        <v>41</v>
      </c>
      <c r="M1231" s="15" t="s">
        <v>10897</v>
      </c>
      <c r="N1231" s="15">
        <v>2613428013</v>
      </c>
      <c r="O1231" s="15"/>
      <c r="P1231" s="15" t="s">
        <v>1381</v>
      </c>
      <c r="Q1231" s="15" t="s">
        <v>10898</v>
      </c>
      <c r="R1231" s="18">
        <v>84</v>
      </c>
      <c r="S1231" s="19">
        <f t="shared" si="5"/>
        <v>13608</v>
      </c>
      <c r="T1231" s="12" t="s">
        <v>46</v>
      </c>
      <c r="U1231" s="15"/>
      <c r="V1231" s="19">
        <v>44610</v>
      </c>
      <c r="W1231" s="15"/>
      <c r="X1231" s="15"/>
      <c r="Y1231" s="13"/>
      <c r="Z1231" s="13">
        <v>4087153</v>
      </c>
      <c r="AA1231" s="13"/>
      <c r="AB1231" s="13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</row>
    <row r="1232" spans="1:46" ht="45" customHeight="1">
      <c r="A1232" s="21" t="s">
        <v>10899</v>
      </c>
      <c r="B1232" s="22" t="s">
        <v>10900</v>
      </c>
      <c r="C1232" s="66" t="s">
        <v>10901</v>
      </c>
      <c r="D1232" s="15" t="s">
        <v>10902</v>
      </c>
      <c r="E1232" s="15" t="s">
        <v>10903</v>
      </c>
      <c r="F1232" s="15" t="s">
        <v>10903</v>
      </c>
      <c r="G1232" s="15" t="s">
        <v>10904</v>
      </c>
      <c r="H1232" s="15"/>
      <c r="I1232" s="15" t="s">
        <v>2691</v>
      </c>
      <c r="J1232" s="15" t="s">
        <v>10904</v>
      </c>
      <c r="K1232" s="15"/>
      <c r="L1232" s="15" t="s">
        <v>2691</v>
      </c>
      <c r="M1232" s="217" t="s">
        <v>10905</v>
      </c>
      <c r="N1232" s="22">
        <v>51679100</v>
      </c>
      <c r="O1232" s="69">
        <v>45288</v>
      </c>
      <c r="P1232" s="15" t="s">
        <v>1235</v>
      </c>
      <c r="Q1232" s="15" t="s">
        <v>10906</v>
      </c>
      <c r="R1232" s="29">
        <v>1795</v>
      </c>
      <c r="S1232" s="30">
        <f t="shared" si="5"/>
        <v>290790</v>
      </c>
      <c r="T1232" s="12" t="s">
        <v>198</v>
      </c>
      <c r="U1232" s="15"/>
      <c r="V1232" s="30">
        <v>215940</v>
      </c>
      <c r="W1232" s="15"/>
      <c r="X1232" s="15"/>
      <c r="Y1232" s="13"/>
      <c r="Z1232" s="13">
        <v>4043602</v>
      </c>
      <c r="AA1232" s="13"/>
      <c r="AB1232" s="13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</row>
    <row r="1233" spans="1:46" ht="45" customHeight="1">
      <c r="A1233" s="12" t="s">
        <v>10907</v>
      </c>
      <c r="B1233" s="13" t="s">
        <v>10908</v>
      </c>
      <c r="C1233" s="66" t="s">
        <v>10909</v>
      </c>
      <c r="D1233" s="15" t="s">
        <v>10910</v>
      </c>
      <c r="E1233" s="15" t="s">
        <v>10911</v>
      </c>
      <c r="F1233" s="15" t="s">
        <v>10911</v>
      </c>
      <c r="G1233" s="15" t="s">
        <v>10912</v>
      </c>
      <c r="H1233" s="15"/>
      <c r="I1233" s="15" t="s">
        <v>41</v>
      </c>
      <c r="J1233" s="15" t="s">
        <v>10912</v>
      </c>
      <c r="K1233" s="15"/>
      <c r="L1233" s="15" t="s">
        <v>41</v>
      </c>
      <c r="M1233" s="145" t="s">
        <v>10913</v>
      </c>
      <c r="N1233" s="15">
        <v>2983456513</v>
      </c>
      <c r="O1233" s="15"/>
      <c r="P1233" s="15" t="s">
        <v>44</v>
      </c>
      <c r="Q1233" s="15" t="s">
        <v>10914</v>
      </c>
      <c r="R1233" s="18">
        <v>173</v>
      </c>
      <c r="S1233" s="19">
        <f t="shared" si="5"/>
        <v>28026</v>
      </c>
      <c r="T1233" s="12" t="s">
        <v>46</v>
      </c>
      <c r="U1233" s="15"/>
      <c r="V1233" s="19">
        <v>44610</v>
      </c>
      <c r="W1233" s="15"/>
      <c r="X1233" s="15"/>
      <c r="Y1233" s="13"/>
      <c r="Z1233" s="13">
        <v>4132821</v>
      </c>
      <c r="AA1233" s="13"/>
      <c r="AB1233" s="13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</row>
    <row r="1234" spans="1:46" ht="45" customHeight="1">
      <c r="A1234" s="12" t="s">
        <v>10915</v>
      </c>
      <c r="B1234" s="13" t="s">
        <v>10916</v>
      </c>
      <c r="C1234" s="66" t="s">
        <v>10917</v>
      </c>
      <c r="D1234" s="15" t="s">
        <v>10918</v>
      </c>
      <c r="E1234" s="15" t="s">
        <v>10919</v>
      </c>
      <c r="F1234" s="15" t="s">
        <v>10919</v>
      </c>
      <c r="G1234" s="15" t="s">
        <v>10920</v>
      </c>
      <c r="H1234" s="15"/>
      <c r="I1234" s="15" t="s">
        <v>115</v>
      </c>
      <c r="J1234" s="15" t="s">
        <v>10920</v>
      </c>
      <c r="K1234" s="15"/>
      <c r="L1234" s="15" t="s">
        <v>115</v>
      </c>
      <c r="M1234" s="145" t="s">
        <v>10921</v>
      </c>
      <c r="N1234" s="15">
        <v>2615154690</v>
      </c>
      <c r="O1234" s="15"/>
      <c r="P1234" s="15" t="s">
        <v>44</v>
      </c>
      <c r="Q1234" s="15" t="s">
        <v>10922</v>
      </c>
      <c r="R1234" s="18">
        <v>97</v>
      </c>
      <c r="S1234" s="19">
        <f t="shared" si="5"/>
        <v>15714</v>
      </c>
      <c r="T1234" s="12" t="s">
        <v>46</v>
      </c>
      <c r="U1234" s="15"/>
      <c r="V1234" s="19">
        <v>44610</v>
      </c>
      <c r="W1234" s="15"/>
      <c r="X1234" s="15"/>
      <c r="Y1234" s="13"/>
      <c r="Z1234" s="13">
        <v>4128816</v>
      </c>
      <c r="AA1234" s="13"/>
      <c r="AB1234" s="13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</row>
    <row r="1235" spans="1:46" ht="45" customHeight="1">
      <c r="A1235" s="12" t="s">
        <v>10923</v>
      </c>
      <c r="B1235" s="13" t="s">
        <v>10924</v>
      </c>
      <c r="C1235" s="66" t="s">
        <v>10925</v>
      </c>
      <c r="D1235" s="15" t="s">
        <v>10926</v>
      </c>
      <c r="E1235" s="15" t="s">
        <v>10927</v>
      </c>
      <c r="F1235" s="15" t="s">
        <v>10927</v>
      </c>
      <c r="G1235" s="15" t="s">
        <v>10928</v>
      </c>
      <c r="H1235" s="15" t="s">
        <v>8765</v>
      </c>
      <c r="I1235" s="15" t="s">
        <v>8973</v>
      </c>
      <c r="J1235" s="15" t="s">
        <v>10928</v>
      </c>
      <c r="K1235" s="15" t="s">
        <v>8765</v>
      </c>
      <c r="L1235" s="15" t="s">
        <v>8973</v>
      </c>
      <c r="M1235" s="217" t="s">
        <v>10929</v>
      </c>
      <c r="N1235" s="15">
        <v>2616598265</v>
      </c>
      <c r="O1235" s="15"/>
      <c r="P1235" s="15" t="s">
        <v>44</v>
      </c>
      <c r="Q1235" s="15" t="s">
        <v>10930</v>
      </c>
      <c r="R1235" s="18">
        <v>34</v>
      </c>
      <c r="S1235" s="19">
        <f t="shared" si="5"/>
        <v>5508</v>
      </c>
      <c r="T1235" s="12" t="s">
        <v>46</v>
      </c>
      <c r="U1235" s="15"/>
      <c r="V1235" s="19">
        <v>44610</v>
      </c>
      <c r="W1235" s="15" t="s">
        <v>71</v>
      </c>
      <c r="X1235" s="15"/>
      <c r="Y1235" s="13"/>
      <c r="Z1235" s="13">
        <v>4122862</v>
      </c>
      <c r="AA1235" s="13">
        <v>4714200</v>
      </c>
      <c r="AB1235" s="13"/>
      <c r="AC1235" s="15">
        <v>5589184</v>
      </c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</row>
    <row r="1236" spans="1:46" ht="45" customHeight="1">
      <c r="A1236" s="12" t="s">
        <v>10931</v>
      </c>
      <c r="B1236" s="13" t="s">
        <v>10932</v>
      </c>
      <c r="C1236" s="66" t="s">
        <v>10933</v>
      </c>
      <c r="D1236" s="15" t="s">
        <v>10934</v>
      </c>
      <c r="E1236" s="15" t="s">
        <v>10935</v>
      </c>
      <c r="F1236" s="15" t="s">
        <v>10935</v>
      </c>
      <c r="G1236" s="15" t="s">
        <v>10936</v>
      </c>
      <c r="H1236" s="15" t="s">
        <v>10937</v>
      </c>
      <c r="I1236" s="15" t="s">
        <v>80</v>
      </c>
      <c r="J1236" s="15" t="s">
        <v>10936</v>
      </c>
      <c r="K1236" s="15" t="s">
        <v>10937</v>
      </c>
      <c r="L1236" s="15" t="s">
        <v>80</v>
      </c>
      <c r="M1236" s="145" t="s">
        <v>10938</v>
      </c>
      <c r="N1236" s="15">
        <v>2614152442</v>
      </c>
      <c r="O1236" s="15"/>
      <c r="P1236" s="15" t="s">
        <v>151</v>
      </c>
      <c r="Q1236" s="15" t="s">
        <v>10939</v>
      </c>
      <c r="R1236" s="18">
        <v>91.43</v>
      </c>
      <c r="S1236" s="19">
        <f t="shared" si="5"/>
        <v>14811.660000000002</v>
      </c>
      <c r="T1236" s="12" t="s">
        <v>46</v>
      </c>
      <c r="U1236" s="15"/>
      <c r="V1236" s="19">
        <v>44610</v>
      </c>
      <c r="W1236" s="15"/>
      <c r="X1236" s="15"/>
      <c r="Y1236" s="13"/>
      <c r="Z1236" s="13">
        <v>4115453</v>
      </c>
      <c r="AA1236" s="13"/>
      <c r="AB1236" s="13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</row>
    <row r="1237" spans="1:46" ht="45" customHeight="1">
      <c r="A1237" s="21" t="s">
        <v>10940</v>
      </c>
      <c r="B1237" s="22" t="s">
        <v>10941</v>
      </c>
      <c r="C1237" s="66" t="s">
        <v>10942</v>
      </c>
      <c r="D1237" s="15" t="s">
        <v>10943</v>
      </c>
      <c r="E1237" s="15" t="s">
        <v>10944</v>
      </c>
      <c r="F1237" s="15" t="s">
        <v>10944</v>
      </c>
      <c r="G1237" s="15" t="s">
        <v>10945</v>
      </c>
      <c r="H1237" s="15" t="s">
        <v>9375</v>
      </c>
      <c r="I1237" s="15" t="s">
        <v>6584</v>
      </c>
      <c r="J1237" s="15" t="s">
        <v>10945</v>
      </c>
      <c r="K1237" s="15" t="s">
        <v>9375</v>
      </c>
      <c r="L1237" s="15" t="s">
        <v>6584</v>
      </c>
      <c r="M1237" s="145" t="s">
        <v>10946</v>
      </c>
      <c r="N1237" s="15">
        <v>2634462337</v>
      </c>
      <c r="O1237" s="15"/>
      <c r="P1237" s="15" t="s">
        <v>1381</v>
      </c>
      <c r="Q1237" s="15" t="s">
        <v>10947</v>
      </c>
      <c r="R1237" s="29">
        <v>635</v>
      </c>
      <c r="S1237" s="30">
        <f t="shared" si="5"/>
        <v>102870</v>
      </c>
      <c r="T1237" s="12" t="s">
        <v>252</v>
      </c>
      <c r="U1237" s="15"/>
      <c r="V1237" s="30">
        <v>123900</v>
      </c>
      <c r="W1237" s="15"/>
      <c r="X1237" s="15"/>
      <c r="Y1237" s="13"/>
      <c r="Z1237" s="13">
        <v>4128903</v>
      </c>
      <c r="AA1237" s="13">
        <v>4749470</v>
      </c>
      <c r="AB1237" s="13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</row>
    <row r="1238" spans="1:46" ht="45" customHeight="1">
      <c r="A1238" s="12" t="s">
        <v>10948</v>
      </c>
      <c r="B1238" s="13" t="s">
        <v>10949</v>
      </c>
      <c r="C1238" s="66" t="s">
        <v>10950</v>
      </c>
      <c r="D1238" s="15" t="s">
        <v>10951</v>
      </c>
      <c r="E1238" s="15" t="s">
        <v>10952</v>
      </c>
      <c r="F1238" s="15" t="s">
        <v>10952</v>
      </c>
      <c r="G1238" s="15" t="s">
        <v>10953</v>
      </c>
      <c r="H1238" s="15"/>
      <c r="I1238" s="15" t="s">
        <v>115</v>
      </c>
      <c r="J1238" s="15" t="s">
        <v>10954</v>
      </c>
      <c r="K1238" s="15"/>
      <c r="L1238" s="15" t="s">
        <v>149</v>
      </c>
      <c r="M1238" s="145" t="s">
        <v>10955</v>
      </c>
      <c r="N1238" s="15" t="s">
        <v>10956</v>
      </c>
      <c r="O1238" s="15"/>
      <c r="P1238" s="15" t="s">
        <v>94</v>
      </c>
      <c r="Q1238" s="15" t="s">
        <v>10957</v>
      </c>
      <c r="R1238" s="18">
        <v>39</v>
      </c>
      <c r="S1238" s="19">
        <f t="shared" si="5"/>
        <v>6318</v>
      </c>
      <c r="T1238" s="12" t="s">
        <v>46</v>
      </c>
      <c r="U1238" s="15"/>
      <c r="V1238" s="19">
        <v>44610</v>
      </c>
      <c r="W1238" s="15"/>
      <c r="X1238" s="15"/>
      <c r="Y1238" s="13"/>
      <c r="Z1238" s="13">
        <v>4146050</v>
      </c>
      <c r="AA1238" s="13"/>
      <c r="AB1238" s="13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</row>
    <row r="1239" spans="1:46" ht="45" customHeight="1">
      <c r="A1239" s="21" t="s">
        <v>10958</v>
      </c>
      <c r="B1239" s="22" t="s">
        <v>10959</v>
      </c>
      <c r="C1239" s="66" t="s">
        <v>10960</v>
      </c>
      <c r="D1239" s="15" t="s">
        <v>10961</v>
      </c>
      <c r="E1239" s="15" t="s">
        <v>10962</v>
      </c>
      <c r="F1239" s="15" t="s">
        <v>10962</v>
      </c>
      <c r="G1239" s="15" t="s">
        <v>10963</v>
      </c>
      <c r="H1239" s="15" t="s">
        <v>10937</v>
      </c>
      <c r="I1239" s="15" t="s">
        <v>80</v>
      </c>
      <c r="J1239" s="15" t="s">
        <v>10963</v>
      </c>
      <c r="K1239" s="15" t="s">
        <v>10937</v>
      </c>
      <c r="L1239" s="15" t="s">
        <v>80</v>
      </c>
      <c r="M1239" s="15" t="s">
        <v>10938</v>
      </c>
      <c r="N1239" s="15">
        <v>26154152442</v>
      </c>
      <c r="O1239" s="15"/>
      <c r="P1239" s="15" t="s">
        <v>117</v>
      </c>
      <c r="Q1239" s="15" t="s">
        <v>10964</v>
      </c>
      <c r="R1239" s="29">
        <v>1102</v>
      </c>
      <c r="S1239" s="30">
        <f t="shared" si="5"/>
        <v>178524</v>
      </c>
      <c r="T1239" s="12" t="s">
        <v>198</v>
      </c>
      <c r="U1239" s="15"/>
      <c r="V1239" s="30">
        <v>215940</v>
      </c>
      <c r="W1239" s="15"/>
      <c r="X1239" s="15"/>
      <c r="Y1239" s="13"/>
      <c r="Z1239" s="13">
        <v>4108999</v>
      </c>
      <c r="AA1239" s="13"/>
      <c r="AB1239" s="13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</row>
    <row r="1240" spans="1:46" ht="45" customHeight="1">
      <c r="A1240" s="21" t="s">
        <v>10965</v>
      </c>
      <c r="B1240" s="22" t="s">
        <v>10966</v>
      </c>
      <c r="C1240" s="66" t="s">
        <v>10967</v>
      </c>
      <c r="D1240" s="15" t="s">
        <v>10968</v>
      </c>
      <c r="E1240" s="15" t="s">
        <v>10969</v>
      </c>
      <c r="F1240" s="15" t="s">
        <v>10969</v>
      </c>
      <c r="G1240" s="15" t="s">
        <v>10970</v>
      </c>
      <c r="H1240" s="15" t="s">
        <v>10971</v>
      </c>
      <c r="I1240" s="15" t="s">
        <v>80</v>
      </c>
      <c r="J1240" s="15" t="s">
        <v>10972</v>
      </c>
      <c r="K1240" s="15"/>
      <c r="L1240" s="15" t="s">
        <v>6584</v>
      </c>
      <c r="M1240" s="74" t="s">
        <v>10973</v>
      </c>
      <c r="N1240" s="15" t="s">
        <v>10974</v>
      </c>
      <c r="O1240" s="15"/>
      <c r="P1240" s="15" t="s">
        <v>10975</v>
      </c>
      <c r="Q1240" s="15" t="s">
        <v>10976</v>
      </c>
      <c r="R1240" s="29">
        <v>2813</v>
      </c>
      <c r="S1240" s="30">
        <f t="shared" si="5"/>
        <v>455706</v>
      </c>
      <c r="T1240" s="12" t="s">
        <v>96</v>
      </c>
      <c r="U1240" s="15"/>
      <c r="V1240" s="30">
        <v>368160</v>
      </c>
      <c r="W1240" s="49" t="s">
        <v>71</v>
      </c>
      <c r="X1240" s="15"/>
      <c r="Y1240" s="13"/>
      <c r="Z1240" s="13">
        <v>4167438</v>
      </c>
      <c r="AA1240" s="13">
        <v>4729820</v>
      </c>
      <c r="AB1240" s="13"/>
      <c r="AC1240" s="49">
        <v>5623248</v>
      </c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</row>
    <row r="1241" spans="1:46" ht="45" customHeight="1">
      <c r="A1241" s="21" t="s">
        <v>10977</v>
      </c>
      <c r="B1241" s="22" t="s">
        <v>10978</v>
      </c>
      <c r="C1241" s="66" t="s">
        <v>10979</v>
      </c>
      <c r="D1241" s="15" t="s">
        <v>10968</v>
      </c>
      <c r="E1241" s="15" t="s">
        <v>10980</v>
      </c>
      <c r="F1241" s="15" t="s">
        <v>10980</v>
      </c>
      <c r="G1241" s="15" t="s">
        <v>10970</v>
      </c>
      <c r="H1241" s="15" t="s">
        <v>4398</v>
      </c>
      <c r="I1241" s="15" t="s">
        <v>80</v>
      </c>
      <c r="J1241" s="15" t="s">
        <v>10981</v>
      </c>
      <c r="K1241" s="15"/>
      <c r="L1241" s="15" t="s">
        <v>6584</v>
      </c>
      <c r="M1241" s="49" t="s">
        <v>10973</v>
      </c>
      <c r="N1241" s="15" t="s">
        <v>10974</v>
      </c>
      <c r="O1241" s="15"/>
      <c r="P1241" s="15" t="s">
        <v>1835</v>
      </c>
      <c r="Q1241" s="15" t="s">
        <v>10982</v>
      </c>
      <c r="R1241" s="29">
        <v>777</v>
      </c>
      <c r="S1241" s="30">
        <f t="shared" si="5"/>
        <v>125874</v>
      </c>
      <c r="T1241" s="12" t="s">
        <v>252</v>
      </c>
      <c r="U1241" s="15"/>
      <c r="V1241" s="30">
        <v>123900</v>
      </c>
      <c r="W1241" s="49" t="s">
        <v>71</v>
      </c>
      <c r="X1241" s="15"/>
      <c r="Y1241" s="13"/>
      <c r="Z1241" s="13">
        <v>4167505</v>
      </c>
      <c r="AA1241" s="13">
        <v>4730006</v>
      </c>
      <c r="AB1241" s="13"/>
      <c r="AC1241" s="49">
        <v>5623061</v>
      </c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</row>
    <row r="1242" spans="1:46" ht="45" customHeight="1">
      <c r="A1242" s="12" t="s">
        <v>10983</v>
      </c>
      <c r="B1242" s="13" t="s">
        <v>10984</v>
      </c>
      <c r="C1242" s="66" t="s">
        <v>10985</v>
      </c>
      <c r="D1242" s="15" t="s">
        <v>10986</v>
      </c>
      <c r="E1242" s="15" t="s">
        <v>10987</v>
      </c>
      <c r="F1242" s="15" t="s">
        <v>10987</v>
      </c>
      <c r="G1242" s="15" t="s">
        <v>10988</v>
      </c>
      <c r="H1242" s="15"/>
      <c r="I1242" s="15" t="s">
        <v>149</v>
      </c>
      <c r="J1242" s="15" t="s">
        <v>10989</v>
      </c>
      <c r="K1242" s="15"/>
      <c r="L1242" s="15" t="s">
        <v>332</v>
      </c>
      <c r="M1242" s="145" t="s">
        <v>9927</v>
      </c>
      <c r="N1242" s="15">
        <v>2615682972</v>
      </c>
      <c r="O1242" s="15"/>
      <c r="P1242" s="15" t="s">
        <v>44</v>
      </c>
      <c r="Q1242" s="15" t="s">
        <v>10990</v>
      </c>
      <c r="R1242" s="18">
        <v>36</v>
      </c>
      <c r="S1242" s="19">
        <f t="shared" si="5"/>
        <v>5832</v>
      </c>
      <c r="T1242" s="12" t="s">
        <v>46</v>
      </c>
      <c r="U1242" s="15"/>
      <c r="V1242" s="19">
        <v>44610</v>
      </c>
      <c r="W1242" s="49" t="s">
        <v>47</v>
      </c>
      <c r="X1242" s="15"/>
      <c r="Y1242" s="13"/>
      <c r="Z1242" s="13">
        <v>4190203</v>
      </c>
      <c r="AA1242" s="13">
        <v>4746138</v>
      </c>
      <c r="AB1242" s="13"/>
      <c r="AC1242" s="49">
        <v>5633643</v>
      </c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</row>
    <row r="1243" spans="1:46" ht="45" customHeight="1">
      <c r="A1243" s="12" t="s">
        <v>10991</v>
      </c>
      <c r="B1243" s="13" t="s">
        <v>10992</v>
      </c>
      <c r="C1243" s="66" t="s">
        <v>10993</v>
      </c>
      <c r="D1243" s="15" t="s">
        <v>10994</v>
      </c>
      <c r="E1243" s="15" t="s">
        <v>10995</v>
      </c>
      <c r="F1243" s="15" t="s">
        <v>10995</v>
      </c>
      <c r="G1243" s="15" t="s">
        <v>10996</v>
      </c>
      <c r="H1243" s="15"/>
      <c r="I1243" s="15" t="s">
        <v>8973</v>
      </c>
      <c r="J1243" s="15" t="s">
        <v>10996</v>
      </c>
      <c r="K1243" s="15"/>
      <c r="L1243" s="15" t="s">
        <v>8973</v>
      </c>
      <c r="M1243" s="217" t="s">
        <v>10997</v>
      </c>
      <c r="N1243" s="15">
        <v>2613667984</v>
      </c>
      <c r="O1243" s="15"/>
      <c r="P1243" s="15" t="s">
        <v>94</v>
      </c>
      <c r="Q1243" s="15" t="s">
        <v>10998</v>
      </c>
      <c r="R1243" s="18">
        <v>37</v>
      </c>
      <c r="S1243" s="19">
        <f t="shared" si="5"/>
        <v>5994</v>
      </c>
      <c r="T1243" s="12" t="s">
        <v>46</v>
      </c>
      <c r="U1243" s="15"/>
      <c r="V1243" s="19">
        <v>44610</v>
      </c>
      <c r="W1243" s="15" t="s">
        <v>71</v>
      </c>
      <c r="X1243" s="15"/>
      <c r="Y1243" s="13"/>
      <c r="Z1243" s="13">
        <v>4202578</v>
      </c>
      <c r="AA1243" s="13"/>
      <c r="AB1243" s="13"/>
      <c r="AC1243" s="15">
        <v>5592122</v>
      </c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</row>
    <row r="1244" spans="1:46" ht="45" customHeight="1">
      <c r="A1244" s="21" t="s">
        <v>10999</v>
      </c>
      <c r="B1244" s="22" t="s">
        <v>11000</v>
      </c>
      <c r="C1244" s="197" t="s">
        <v>11001</v>
      </c>
      <c r="D1244" s="15" t="s">
        <v>11002</v>
      </c>
      <c r="E1244" s="15" t="s">
        <v>8225</v>
      </c>
      <c r="F1244" s="15" t="s">
        <v>8225</v>
      </c>
      <c r="G1244" s="15" t="s">
        <v>11003</v>
      </c>
      <c r="H1244" s="15" t="s">
        <v>9689</v>
      </c>
      <c r="I1244" s="15" t="s">
        <v>80</v>
      </c>
      <c r="J1244" s="15" t="s">
        <v>11003</v>
      </c>
      <c r="K1244" s="15" t="s">
        <v>9689</v>
      </c>
      <c r="L1244" s="15" t="s">
        <v>80</v>
      </c>
      <c r="M1244" s="145" t="s">
        <v>11004</v>
      </c>
      <c r="N1244" s="15">
        <v>2614058000</v>
      </c>
      <c r="O1244" s="15"/>
      <c r="P1244" s="15" t="s">
        <v>2943</v>
      </c>
      <c r="Q1244" s="15" t="s">
        <v>11005</v>
      </c>
      <c r="R1244" s="29">
        <v>4459</v>
      </c>
      <c r="S1244" s="30">
        <f t="shared" si="5"/>
        <v>722358</v>
      </c>
      <c r="T1244" s="12" t="s">
        <v>105</v>
      </c>
      <c r="U1244" s="15"/>
      <c r="V1244" s="30">
        <v>736320</v>
      </c>
      <c r="W1244" s="15"/>
      <c r="X1244" s="15"/>
      <c r="Y1244" s="13"/>
      <c r="Z1244" s="13">
        <v>4206740</v>
      </c>
      <c r="AA1244" s="13"/>
      <c r="AB1244" s="13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</row>
    <row r="1245" spans="1:46" ht="45" customHeight="1">
      <c r="A1245" s="12" t="s">
        <v>11006</v>
      </c>
      <c r="B1245" s="13" t="s">
        <v>11007</v>
      </c>
      <c r="C1245" s="66" t="s">
        <v>11008</v>
      </c>
      <c r="D1245" s="15" t="s">
        <v>9608</v>
      </c>
      <c r="E1245" s="15" t="s">
        <v>8273</v>
      </c>
      <c r="F1245" s="15" t="s">
        <v>8273</v>
      </c>
      <c r="G1245" s="15" t="s">
        <v>11009</v>
      </c>
      <c r="H1245" s="15"/>
      <c r="I1245" s="15" t="s">
        <v>149</v>
      </c>
      <c r="J1245" s="15" t="s">
        <v>11010</v>
      </c>
      <c r="K1245" s="15"/>
      <c r="L1245" s="15" t="s">
        <v>52</v>
      </c>
      <c r="M1245" s="145" t="s">
        <v>11011</v>
      </c>
      <c r="N1245" s="15">
        <v>4244262</v>
      </c>
      <c r="O1245" s="15"/>
      <c r="P1245" s="15" t="s">
        <v>94</v>
      </c>
      <c r="Q1245" s="15" t="s">
        <v>11012</v>
      </c>
      <c r="R1245" s="18">
        <v>49</v>
      </c>
      <c r="S1245" s="19">
        <f t="shared" si="5"/>
        <v>7938</v>
      </c>
      <c r="T1245" s="12" t="s">
        <v>46</v>
      </c>
      <c r="U1245" s="15"/>
      <c r="V1245" s="19">
        <v>44610</v>
      </c>
      <c r="W1245" s="15"/>
      <c r="X1245" s="15"/>
      <c r="Y1245" s="13"/>
      <c r="Z1245" s="13">
        <v>4199936</v>
      </c>
      <c r="AA1245" s="13"/>
      <c r="AB1245" s="13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</row>
    <row r="1246" spans="1:46" ht="45" customHeight="1">
      <c r="A1246" s="12" t="s">
        <v>11013</v>
      </c>
      <c r="B1246" s="13" t="s">
        <v>11014</v>
      </c>
      <c r="C1246" s="66" t="s">
        <v>11015</v>
      </c>
      <c r="D1246" s="15" t="s">
        <v>9504</v>
      </c>
      <c r="E1246" s="15" t="s">
        <v>11016</v>
      </c>
      <c r="F1246" s="15" t="s">
        <v>11016</v>
      </c>
      <c r="G1246" s="15" t="s">
        <v>11017</v>
      </c>
      <c r="H1246" s="15"/>
      <c r="I1246" s="15" t="s">
        <v>115</v>
      </c>
      <c r="J1246" s="15" t="s">
        <v>11018</v>
      </c>
      <c r="K1246" s="15" t="s">
        <v>11019</v>
      </c>
      <c r="L1246" s="15" t="s">
        <v>2325</v>
      </c>
      <c r="M1246" s="145" t="s">
        <v>995</v>
      </c>
      <c r="N1246" s="15">
        <v>2614538534</v>
      </c>
      <c r="O1246" s="15"/>
      <c r="P1246" s="15" t="s">
        <v>44</v>
      </c>
      <c r="Q1246" s="15" t="s">
        <v>11020</v>
      </c>
      <c r="R1246" s="18">
        <v>120</v>
      </c>
      <c r="S1246" s="19">
        <f t="shared" si="5"/>
        <v>19440</v>
      </c>
      <c r="T1246" s="12" t="s">
        <v>46</v>
      </c>
      <c r="U1246" s="15"/>
      <c r="V1246" s="19">
        <v>44610</v>
      </c>
      <c r="W1246" s="15" t="s">
        <v>71</v>
      </c>
      <c r="X1246" s="15"/>
      <c r="Y1246" s="13"/>
      <c r="Z1246" s="13">
        <v>4200894</v>
      </c>
      <c r="AA1246" s="13">
        <v>4906339</v>
      </c>
      <c r="AB1246" s="13"/>
      <c r="AC1246" s="15">
        <v>5620142</v>
      </c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</row>
    <row r="1247" spans="1:46" ht="45" customHeight="1">
      <c r="A1247" s="12" t="s">
        <v>11021</v>
      </c>
      <c r="B1247" s="13" t="s">
        <v>11022</v>
      </c>
      <c r="C1247" s="66" t="s">
        <v>11023</v>
      </c>
      <c r="D1247" s="15" t="s">
        <v>11024</v>
      </c>
      <c r="E1247" s="15" t="s">
        <v>11025</v>
      </c>
      <c r="F1247" s="15" t="s">
        <v>10002</v>
      </c>
      <c r="G1247" s="15" t="s">
        <v>11026</v>
      </c>
      <c r="H1247" s="15"/>
      <c r="I1247" s="15" t="s">
        <v>115</v>
      </c>
      <c r="J1247" s="15" t="s">
        <v>11027</v>
      </c>
      <c r="K1247" s="15"/>
      <c r="L1247" s="15" t="s">
        <v>149</v>
      </c>
      <c r="M1247" s="145" t="s">
        <v>11028</v>
      </c>
      <c r="N1247" s="15">
        <v>2615764789</v>
      </c>
      <c r="O1247" s="15"/>
      <c r="P1247" s="15" t="s">
        <v>94</v>
      </c>
      <c r="Q1247" s="15" t="s">
        <v>11029</v>
      </c>
      <c r="R1247" s="18">
        <v>50</v>
      </c>
      <c r="S1247" s="19">
        <f t="shared" si="5"/>
        <v>8100</v>
      </c>
      <c r="T1247" s="12" t="s">
        <v>46</v>
      </c>
      <c r="U1247" s="15"/>
      <c r="V1247" s="19">
        <v>44610</v>
      </c>
      <c r="W1247" s="15"/>
      <c r="X1247" s="15"/>
      <c r="Y1247" s="13"/>
      <c r="Z1247" s="13">
        <v>4201250</v>
      </c>
      <c r="AA1247" s="13"/>
      <c r="AB1247" s="13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</row>
    <row r="1248" spans="1:46" ht="45" customHeight="1">
      <c r="A1248" s="12" t="s">
        <v>11030</v>
      </c>
      <c r="B1248" s="13" t="s">
        <v>11031</v>
      </c>
      <c r="C1248" s="66" t="s">
        <v>8097</v>
      </c>
      <c r="D1248" s="15" t="s">
        <v>8098</v>
      </c>
      <c r="E1248" s="15" t="s">
        <v>11032</v>
      </c>
      <c r="F1248" s="15" t="s">
        <v>11032</v>
      </c>
      <c r="G1248" s="15" t="s">
        <v>11033</v>
      </c>
      <c r="H1248" s="15"/>
      <c r="I1248" s="15" t="s">
        <v>38</v>
      </c>
      <c r="J1248" s="15" t="s">
        <v>11033</v>
      </c>
      <c r="K1248" s="15"/>
      <c r="L1248" s="15" t="s">
        <v>38</v>
      </c>
      <c r="M1248" s="217" t="s">
        <v>11034</v>
      </c>
      <c r="N1248" s="15">
        <v>2615728578</v>
      </c>
      <c r="O1248" s="15"/>
      <c r="P1248" s="15" t="s">
        <v>1381</v>
      </c>
      <c r="Q1248" s="15" t="s">
        <v>11035</v>
      </c>
      <c r="R1248" s="18">
        <v>183</v>
      </c>
      <c r="S1248" s="19">
        <f t="shared" si="5"/>
        <v>29646</v>
      </c>
      <c r="T1248" s="12" t="s">
        <v>46</v>
      </c>
      <c r="U1248" s="15"/>
      <c r="V1248" s="19">
        <v>44610</v>
      </c>
      <c r="W1248" s="15"/>
      <c r="X1248" s="15"/>
      <c r="Y1248" s="13"/>
      <c r="Z1248" s="13">
        <v>4215518</v>
      </c>
      <c r="AA1248" s="13"/>
      <c r="AB1248" s="13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</row>
    <row r="1249" spans="1:46" ht="45" customHeight="1">
      <c r="A1249" s="12" t="s">
        <v>11036</v>
      </c>
      <c r="B1249" s="13" t="s">
        <v>11037</v>
      </c>
      <c r="C1249" s="66" t="s">
        <v>11038</v>
      </c>
      <c r="D1249" s="15" t="s">
        <v>8080</v>
      </c>
      <c r="E1249" s="15" t="s">
        <v>11039</v>
      </c>
      <c r="F1249" s="15" t="s">
        <v>11039</v>
      </c>
      <c r="G1249" s="15" t="s">
        <v>11040</v>
      </c>
      <c r="H1249" s="15" t="s">
        <v>52</v>
      </c>
      <c r="I1249" s="15" t="s">
        <v>53</v>
      </c>
      <c r="J1249" s="15" t="s">
        <v>11041</v>
      </c>
      <c r="K1249" s="15"/>
      <c r="L1249" s="15" t="s">
        <v>149</v>
      </c>
      <c r="M1249" s="145" t="s">
        <v>11042</v>
      </c>
      <c r="N1249" s="15">
        <v>1156092541</v>
      </c>
      <c r="O1249" s="15"/>
      <c r="P1249" s="15" t="s">
        <v>11043</v>
      </c>
      <c r="Q1249" s="15" t="s">
        <v>11044</v>
      </c>
      <c r="R1249" s="18">
        <v>153</v>
      </c>
      <c r="S1249" s="19">
        <f t="shared" si="5"/>
        <v>24786</v>
      </c>
      <c r="T1249" s="12" t="s">
        <v>46</v>
      </c>
      <c r="U1249" s="15"/>
      <c r="V1249" s="19">
        <v>44610</v>
      </c>
      <c r="W1249" s="15"/>
      <c r="X1249" s="15"/>
      <c r="Y1249" s="13"/>
      <c r="Z1249" s="13">
        <v>3708569</v>
      </c>
      <c r="AA1249" s="13">
        <v>4753480</v>
      </c>
      <c r="AB1249" s="13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</row>
    <row r="1250" spans="1:46" ht="45" customHeight="1">
      <c r="A1250" s="12" t="s">
        <v>11045</v>
      </c>
      <c r="B1250" s="13" t="s">
        <v>11046</v>
      </c>
      <c r="C1250" s="66" t="s">
        <v>11047</v>
      </c>
      <c r="D1250" s="15" t="s">
        <v>11048</v>
      </c>
      <c r="E1250" s="15" t="s">
        <v>11049</v>
      </c>
      <c r="F1250" s="15" t="s">
        <v>11049</v>
      </c>
      <c r="G1250" s="15" t="s">
        <v>11050</v>
      </c>
      <c r="H1250" s="15"/>
      <c r="I1250" s="15" t="s">
        <v>2325</v>
      </c>
      <c r="J1250" s="15" t="s">
        <v>11050</v>
      </c>
      <c r="K1250" s="15"/>
      <c r="L1250" s="15" t="s">
        <v>2325</v>
      </c>
      <c r="M1250" s="67" t="s">
        <v>11051</v>
      </c>
      <c r="N1250" s="15" t="s">
        <v>11052</v>
      </c>
      <c r="O1250" s="15"/>
      <c r="P1250" s="15" t="s">
        <v>44</v>
      </c>
      <c r="Q1250" s="15" t="s">
        <v>11053</v>
      </c>
      <c r="R1250" s="18">
        <v>134</v>
      </c>
      <c r="S1250" s="19">
        <f t="shared" si="5"/>
        <v>21708</v>
      </c>
      <c r="T1250" s="12" t="s">
        <v>46</v>
      </c>
      <c r="U1250" s="15"/>
      <c r="V1250" s="19">
        <v>44610</v>
      </c>
      <c r="W1250" s="49" t="s">
        <v>47</v>
      </c>
      <c r="X1250" s="15"/>
      <c r="Y1250" s="13"/>
      <c r="Z1250" s="13">
        <v>4208308</v>
      </c>
      <c r="AA1250" s="13">
        <v>4757526</v>
      </c>
      <c r="AB1250" s="13"/>
      <c r="AC1250" s="49">
        <v>5633414</v>
      </c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</row>
    <row r="1251" spans="1:46" ht="45" customHeight="1">
      <c r="A1251" s="21" t="s">
        <v>11054</v>
      </c>
      <c r="B1251" s="22" t="s">
        <v>11055</v>
      </c>
      <c r="C1251" s="66" t="s">
        <v>11056</v>
      </c>
      <c r="D1251" s="15" t="s">
        <v>11057</v>
      </c>
      <c r="E1251" s="15" t="s">
        <v>11058</v>
      </c>
      <c r="F1251" s="15" t="s">
        <v>11058</v>
      </c>
      <c r="G1251" s="15" t="s">
        <v>11059</v>
      </c>
      <c r="H1251" s="15"/>
      <c r="I1251" s="15" t="s">
        <v>6584</v>
      </c>
      <c r="J1251" s="15" t="s">
        <v>11059</v>
      </c>
      <c r="K1251" s="15"/>
      <c r="L1251" s="15" t="s">
        <v>6584</v>
      </c>
      <c r="M1251" s="217" t="s">
        <v>11060</v>
      </c>
      <c r="N1251" s="15">
        <v>2616221456</v>
      </c>
      <c r="O1251" s="15"/>
      <c r="P1251" s="15" t="s">
        <v>1381</v>
      </c>
      <c r="Q1251" s="15" t="s">
        <v>11061</v>
      </c>
      <c r="R1251" s="29">
        <v>4390</v>
      </c>
      <c r="S1251" s="30">
        <f t="shared" si="5"/>
        <v>711180</v>
      </c>
      <c r="T1251" s="12" t="s">
        <v>105</v>
      </c>
      <c r="U1251" s="15"/>
      <c r="V1251" s="30">
        <v>736320</v>
      </c>
      <c r="W1251" s="15" t="s">
        <v>47</v>
      </c>
      <c r="X1251" s="15"/>
      <c r="Y1251" s="13"/>
      <c r="Z1251" s="13">
        <v>4232862</v>
      </c>
      <c r="AA1251" s="13">
        <v>4721186</v>
      </c>
      <c r="AB1251" s="13"/>
      <c r="AC1251" s="15">
        <v>5589786</v>
      </c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</row>
    <row r="1252" spans="1:46" ht="45" customHeight="1">
      <c r="A1252" s="21" t="s">
        <v>11062</v>
      </c>
      <c r="B1252" s="22" t="s">
        <v>11063</v>
      </c>
      <c r="C1252" s="66" t="s">
        <v>11064</v>
      </c>
      <c r="D1252" s="15" t="s">
        <v>11057</v>
      </c>
      <c r="E1252" s="15" t="s">
        <v>11058</v>
      </c>
      <c r="F1252" s="15" t="s">
        <v>11058</v>
      </c>
      <c r="G1252" s="15" t="s">
        <v>11065</v>
      </c>
      <c r="H1252" s="15" t="s">
        <v>9638</v>
      </c>
      <c r="I1252" s="15" t="s">
        <v>65</v>
      </c>
      <c r="J1252" s="15" t="s">
        <v>11065</v>
      </c>
      <c r="K1252" s="15" t="s">
        <v>9638</v>
      </c>
      <c r="L1252" s="15" t="s">
        <v>65</v>
      </c>
      <c r="M1252" s="15" t="s">
        <v>11060</v>
      </c>
      <c r="N1252" s="15" t="s">
        <v>11066</v>
      </c>
      <c r="O1252" s="15"/>
      <c r="P1252" s="15" t="s">
        <v>1381</v>
      </c>
      <c r="Q1252" s="15" t="s">
        <v>11067</v>
      </c>
      <c r="R1252" s="29">
        <v>2618</v>
      </c>
      <c r="S1252" s="30">
        <f t="shared" si="5"/>
        <v>424116</v>
      </c>
      <c r="T1252" s="12" t="s">
        <v>96</v>
      </c>
      <c r="U1252" s="15"/>
      <c r="V1252" s="30">
        <v>368160</v>
      </c>
      <c r="W1252" s="15" t="s">
        <v>47</v>
      </c>
      <c r="X1252" s="15"/>
      <c r="Y1252" s="13"/>
      <c r="Z1252" s="13">
        <v>4228825</v>
      </c>
      <c r="AA1252" s="13">
        <v>4721183</v>
      </c>
      <c r="AB1252" s="13"/>
      <c r="AC1252" s="15">
        <v>5589666</v>
      </c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</row>
    <row r="1253" spans="1:46" ht="45" customHeight="1">
      <c r="A1253" s="12" t="s">
        <v>11068</v>
      </c>
      <c r="B1253" s="13" t="s">
        <v>11069</v>
      </c>
      <c r="C1253" s="66" t="s">
        <v>11070</v>
      </c>
      <c r="D1253" s="15" t="s">
        <v>11071</v>
      </c>
      <c r="E1253" s="15" t="s">
        <v>11072</v>
      </c>
      <c r="F1253" s="15" t="s">
        <v>11072</v>
      </c>
      <c r="G1253" s="15" t="s">
        <v>11073</v>
      </c>
      <c r="H1253" s="15"/>
      <c r="I1253" s="15" t="s">
        <v>80</v>
      </c>
      <c r="J1253" s="15" t="s">
        <v>11073</v>
      </c>
      <c r="K1253" s="15"/>
      <c r="L1253" s="15" t="s">
        <v>80</v>
      </c>
      <c r="M1253" s="145" t="s">
        <v>11074</v>
      </c>
      <c r="N1253" s="15">
        <v>4978092</v>
      </c>
      <c r="O1253" s="15"/>
      <c r="P1253" s="15" t="s">
        <v>11075</v>
      </c>
      <c r="Q1253" s="15" t="s">
        <v>11076</v>
      </c>
      <c r="R1253" s="18">
        <v>136</v>
      </c>
      <c r="S1253" s="19">
        <f t="shared" si="5"/>
        <v>22032</v>
      </c>
      <c r="T1253" s="12" t="s">
        <v>46</v>
      </c>
      <c r="U1253" s="15"/>
      <c r="V1253" s="19">
        <v>44610</v>
      </c>
      <c r="W1253" s="49" t="s">
        <v>71</v>
      </c>
      <c r="X1253" s="15"/>
      <c r="Y1253" s="13"/>
      <c r="Z1253" s="13">
        <v>4227488</v>
      </c>
      <c r="AA1253" s="13">
        <v>4757747</v>
      </c>
      <c r="AB1253" s="13"/>
      <c r="AC1253" s="49">
        <v>5628262</v>
      </c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</row>
    <row r="1254" spans="1:46" ht="45" customHeight="1">
      <c r="A1254" s="21" t="s">
        <v>11077</v>
      </c>
      <c r="B1254" s="22" t="s">
        <v>11078</v>
      </c>
      <c r="C1254" s="66" t="s">
        <v>11079</v>
      </c>
      <c r="D1254" s="15" t="s">
        <v>11080</v>
      </c>
      <c r="E1254" s="15" t="s">
        <v>3020</v>
      </c>
      <c r="F1254" s="15" t="s">
        <v>3020</v>
      </c>
      <c r="G1254" s="15" t="s">
        <v>11081</v>
      </c>
      <c r="H1254" s="15"/>
      <c r="I1254" s="15" t="s">
        <v>2691</v>
      </c>
      <c r="J1254" s="15" t="s">
        <v>11081</v>
      </c>
      <c r="K1254" s="15"/>
      <c r="L1254" s="15" t="s">
        <v>2691</v>
      </c>
      <c r="M1254" s="217" t="s">
        <v>11082</v>
      </c>
      <c r="N1254" s="22">
        <v>2634518466</v>
      </c>
      <c r="O1254" s="15"/>
      <c r="P1254" s="15" t="s">
        <v>1245</v>
      </c>
      <c r="Q1254" s="15" t="s">
        <v>11083</v>
      </c>
      <c r="R1254" s="29">
        <v>1326</v>
      </c>
      <c r="S1254" s="30">
        <f t="shared" si="5"/>
        <v>214812</v>
      </c>
      <c r="T1254" s="12" t="s">
        <v>198</v>
      </c>
      <c r="U1254" s="15"/>
      <c r="V1254" s="30">
        <v>215940</v>
      </c>
      <c r="W1254" s="49" t="s">
        <v>71</v>
      </c>
      <c r="X1254" s="15"/>
      <c r="Y1254" s="13"/>
      <c r="Z1254" s="13">
        <v>4248672</v>
      </c>
      <c r="AA1254" s="13">
        <v>4735287</v>
      </c>
      <c r="AB1254" s="13"/>
      <c r="AC1254" s="49">
        <v>5633478</v>
      </c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</row>
    <row r="1255" spans="1:46" ht="45" customHeight="1">
      <c r="A1255" s="21" t="s">
        <v>11084</v>
      </c>
      <c r="B1255" s="22" t="s">
        <v>11085</v>
      </c>
      <c r="C1255" s="66" t="s">
        <v>11086</v>
      </c>
      <c r="D1255" s="15" t="s">
        <v>11087</v>
      </c>
      <c r="E1255" s="15" t="s">
        <v>11088</v>
      </c>
      <c r="F1255" s="15" t="s">
        <v>11088</v>
      </c>
      <c r="G1255" s="15" t="s">
        <v>11089</v>
      </c>
      <c r="H1255" s="15"/>
      <c r="I1255" s="15" t="s">
        <v>149</v>
      </c>
      <c r="J1255" s="15" t="s">
        <v>11089</v>
      </c>
      <c r="K1255" s="15"/>
      <c r="L1255" s="15" t="s">
        <v>149</v>
      </c>
      <c r="M1255" s="67" t="s">
        <v>11090</v>
      </c>
      <c r="N1255" s="15" t="s">
        <v>11091</v>
      </c>
      <c r="O1255" s="15"/>
      <c r="P1255" s="15" t="s">
        <v>11092</v>
      </c>
      <c r="Q1255" s="15" t="s">
        <v>11093</v>
      </c>
      <c r="R1255" s="29">
        <v>11705</v>
      </c>
      <c r="S1255" s="30">
        <f t="shared" si="5"/>
        <v>1896210</v>
      </c>
      <c r="T1255" s="12" t="s">
        <v>70</v>
      </c>
      <c r="U1255" s="15"/>
      <c r="V1255" s="30">
        <f>S1255</f>
        <v>1896210</v>
      </c>
      <c r="W1255" s="15"/>
      <c r="X1255" s="15"/>
      <c r="Y1255" s="13"/>
      <c r="Z1255" s="13">
        <v>4242705</v>
      </c>
      <c r="AA1255" s="13">
        <v>4704682</v>
      </c>
      <c r="AB1255" s="13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</row>
    <row r="1256" spans="1:46" ht="45" customHeight="1">
      <c r="A1256" s="21" t="s">
        <v>11094</v>
      </c>
      <c r="B1256" s="22" t="s">
        <v>11095</v>
      </c>
      <c r="C1256" s="66" t="s">
        <v>11096</v>
      </c>
      <c r="D1256" s="15" t="s">
        <v>8694</v>
      </c>
      <c r="E1256" s="15" t="s">
        <v>11097</v>
      </c>
      <c r="F1256" s="15" t="s">
        <v>11097</v>
      </c>
      <c r="G1256" s="15" t="s">
        <v>11098</v>
      </c>
      <c r="H1256" s="15"/>
      <c r="I1256" s="15" t="s">
        <v>65</v>
      </c>
      <c r="J1256" s="15" t="s">
        <v>11098</v>
      </c>
      <c r="K1256" s="15"/>
      <c r="L1256" s="15" t="s">
        <v>65</v>
      </c>
      <c r="M1256" s="217" t="s">
        <v>8696</v>
      </c>
      <c r="N1256" s="15" t="s">
        <v>11099</v>
      </c>
      <c r="O1256" s="15"/>
      <c r="P1256" s="15" t="s">
        <v>685</v>
      </c>
      <c r="Q1256" s="15" t="s">
        <v>11100</v>
      </c>
      <c r="R1256" s="29">
        <v>2214</v>
      </c>
      <c r="S1256" s="30">
        <f t="shared" si="5"/>
        <v>358668</v>
      </c>
      <c r="T1256" s="12" t="s">
        <v>96</v>
      </c>
      <c r="U1256" s="15"/>
      <c r="V1256" s="30">
        <v>368160</v>
      </c>
      <c r="W1256" s="49" t="s">
        <v>47</v>
      </c>
      <c r="X1256" s="15"/>
      <c r="Y1256" s="13"/>
      <c r="Z1256" s="13">
        <v>4241612</v>
      </c>
      <c r="AA1256" s="13">
        <v>4721271</v>
      </c>
      <c r="AB1256" s="13"/>
      <c r="AC1256" s="49">
        <v>5637456</v>
      </c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</row>
    <row r="1257" spans="1:46" ht="45" customHeight="1">
      <c r="A1257" s="12" t="s">
        <v>11101</v>
      </c>
      <c r="B1257" s="13" t="s">
        <v>11102</v>
      </c>
      <c r="C1257" s="66" t="s">
        <v>11103</v>
      </c>
      <c r="D1257" s="15" t="s">
        <v>11104</v>
      </c>
      <c r="E1257" s="15" t="s">
        <v>11105</v>
      </c>
      <c r="F1257" s="15" t="s">
        <v>11105</v>
      </c>
      <c r="G1257" s="15" t="s">
        <v>11106</v>
      </c>
      <c r="H1257" s="15"/>
      <c r="I1257" s="15" t="s">
        <v>115</v>
      </c>
      <c r="J1257" s="15" t="s">
        <v>11107</v>
      </c>
      <c r="K1257" s="15"/>
      <c r="L1257" s="15" t="s">
        <v>65</v>
      </c>
      <c r="M1257" s="46" t="s">
        <v>11108</v>
      </c>
      <c r="N1257" s="15">
        <v>2612010809</v>
      </c>
      <c r="O1257" s="15"/>
      <c r="P1257" s="15" t="s">
        <v>94</v>
      </c>
      <c r="Q1257" s="15" t="s">
        <v>11109</v>
      </c>
      <c r="R1257" s="18">
        <v>343</v>
      </c>
      <c r="S1257" s="19">
        <f t="shared" si="5"/>
        <v>55566</v>
      </c>
      <c r="T1257" s="12" t="s">
        <v>46</v>
      </c>
      <c r="U1257" s="15"/>
      <c r="V1257" s="19">
        <v>44610</v>
      </c>
      <c r="W1257" s="15" t="s">
        <v>71</v>
      </c>
      <c r="X1257" s="15"/>
      <c r="Y1257" s="13"/>
      <c r="Z1257" s="13">
        <v>4258817</v>
      </c>
      <c r="AA1257" s="13">
        <v>4748129</v>
      </c>
      <c r="AB1257" s="13"/>
      <c r="AC1257" s="15">
        <v>5585283</v>
      </c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</row>
    <row r="1258" spans="1:46" ht="45" customHeight="1">
      <c r="A1258" s="12" t="s">
        <v>11110</v>
      </c>
      <c r="B1258" s="13" t="s">
        <v>11111</v>
      </c>
      <c r="C1258" s="66" t="s">
        <v>11112</v>
      </c>
      <c r="D1258" s="15" t="s">
        <v>11113</v>
      </c>
      <c r="E1258" s="15" t="s">
        <v>11114</v>
      </c>
      <c r="F1258" s="15" t="s">
        <v>11114</v>
      </c>
      <c r="G1258" s="15" t="s">
        <v>11115</v>
      </c>
      <c r="H1258" s="15"/>
      <c r="I1258" s="15" t="s">
        <v>80</v>
      </c>
      <c r="J1258" s="15" t="s">
        <v>11115</v>
      </c>
      <c r="K1258" s="15"/>
      <c r="L1258" s="15" t="s">
        <v>80</v>
      </c>
      <c r="M1258" s="145" t="s">
        <v>11116</v>
      </c>
      <c r="N1258" s="15">
        <v>2615152908</v>
      </c>
      <c r="O1258" s="15"/>
      <c r="P1258" s="15" t="s">
        <v>94</v>
      </c>
      <c r="Q1258" s="15" t="s">
        <v>11117</v>
      </c>
      <c r="R1258" s="18">
        <v>84</v>
      </c>
      <c r="S1258" s="19">
        <f t="shared" si="5"/>
        <v>13608</v>
      </c>
      <c r="T1258" s="12" t="s">
        <v>46</v>
      </c>
      <c r="U1258" s="15"/>
      <c r="V1258" s="19">
        <v>44610</v>
      </c>
      <c r="W1258" s="15"/>
      <c r="X1258" s="15"/>
      <c r="Y1258" s="13"/>
      <c r="Z1258" s="13">
        <v>4241754</v>
      </c>
      <c r="AA1258" s="13"/>
      <c r="AB1258" s="13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</row>
    <row r="1259" spans="1:46" ht="45" customHeight="1">
      <c r="A1259" s="21" t="s">
        <v>11118</v>
      </c>
      <c r="B1259" s="22" t="s">
        <v>11119</v>
      </c>
      <c r="C1259" s="66" t="s">
        <v>11120</v>
      </c>
      <c r="D1259" s="15" t="s">
        <v>11121</v>
      </c>
      <c r="E1259" s="15" t="s">
        <v>11122</v>
      </c>
      <c r="F1259" s="15" t="s">
        <v>11122</v>
      </c>
      <c r="G1259" s="15" t="s">
        <v>11123</v>
      </c>
      <c r="H1259" s="15"/>
      <c r="I1259" s="15" t="s">
        <v>149</v>
      </c>
      <c r="J1259" s="15" t="s">
        <v>11123</v>
      </c>
      <c r="K1259" s="15"/>
      <c r="L1259" s="15" t="s">
        <v>149</v>
      </c>
      <c r="M1259" s="16" t="s">
        <v>11124</v>
      </c>
      <c r="N1259" s="15" t="s">
        <v>11125</v>
      </c>
      <c r="O1259" s="15"/>
      <c r="P1259" s="15" t="s">
        <v>94</v>
      </c>
      <c r="Q1259" s="15" t="s">
        <v>11126</v>
      </c>
      <c r="R1259" s="60">
        <v>300</v>
      </c>
      <c r="S1259" s="30">
        <f t="shared" si="5"/>
        <v>48600</v>
      </c>
      <c r="T1259" s="89" t="s">
        <v>46</v>
      </c>
      <c r="U1259" s="15"/>
      <c r="V1259" s="44">
        <v>123900</v>
      </c>
      <c r="W1259" s="15" t="s">
        <v>71</v>
      </c>
      <c r="X1259" s="15"/>
      <c r="Y1259" s="13"/>
      <c r="Z1259" s="13">
        <v>4273842</v>
      </c>
      <c r="AA1259" s="13">
        <v>4720093</v>
      </c>
      <c r="AB1259" s="13"/>
      <c r="AC1259" s="15">
        <v>5548696</v>
      </c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</row>
    <row r="1260" spans="1:46" ht="45" customHeight="1">
      <c r="A1260" s="12" t="s">
        <v>11127</v>
      </c>
      <c r="B1260" s="13" t="s">
        <v>11128</v>
      </c>
      <c r="C1260" s="66" t="s">
        <v>11129</v>
      </c>
      <c r="D1260" s="15" t="s">
        <v>11130</v>
      </c>
      <c r="E1260" s="15" t="s">
        <v>11131</v>
      </c>
      <c r="F1260" s="15" t="s">
        <v>11131</v>
      </c>
      <c r="G1260" s="15" t="s">
        <v>11132</v>
      </c>
      <c r="H1260" s="15"/>
      <c r="I1260" s="15" t="s">
        <v>149</v>
      </c>
      <c r="J1260" s="15" t="s">
        <v>11132</v>
      </c>
      <c r="K1260" s="15"/>
      <c r="L1260" s="15" t="s">
        <v>149</v>
      </c>
      <c r="M1260" s="16" t="s">
        <v>11133</v>
      </c>
      <c r="N1260" s="15" t="s">
        <v>11134</v>
      </c>
      <c r="O1260" s="15"/>
      <c r="P1260" s="15" t="s">
        <v>9830</v>
      </c>
      <c r="Q1260" s="15" t="s">
        <v>11135</v>
      </c>
      <c r="R1260" s="18">
        <v>269</v>
      </c>
      <c r="S1260" s="19">
        <f t="shared" si="5"/>
        <v>43578</v>
      </c>
      <c r="T1260" s="12" t="s">
        <v>46</v>
      </c>
      <c r="U1260" s="15"/>
      <c r="V1260" s="19">
        <v>44610</v>
      </c>
      <c r="W1260" s="15"/>
      <c r="X1260" s="15"/>
      <c r="Y1260" s="13"/>
      <c r="Z1260" s="13">
        <v>4287649</v>
      </c>
      <c r="AA1260" s="13">
        <v>4861110</v>
      </c>
      <c r="AB1260" s="13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</row>
    <row r="1261" spans="1:46" ht="45" customHeight="1">
      <c r="A1261" s="12" t="s">
        <v>11136</v>
      </c>
      <c r="B1261" s="13" t="s">
        <v>11137</v>
      </c>
      <c r="C1261" s="66" t="s">
        <v>11138</v>
      </c>
      <c r="D1261" s="15" t="s">
        <v>11139</v>
      </c>
      <c r="E1261" s="15" t="s">
        <v>3315</v>
      </c>
      <c r="F1261" s="15" t="s">
        <v>3315</v>
      </c>
      <c r="G1261" s="15" t="s">
        <v>11140</v>
      </c>
      <c r="H1261" s="15"/>
      <c r="I1261" s="15" t="s">
        <v>6104</v>
      </c>
      <c r="J1261" s="15" t="s">
        <v>11140</v>
      </c>
      <c r="K1261" s="15"/>
      <c r="L1261" s="15" t="s">
        <v>6104</v>
      </c>
      <c r="M1261" s="15" t="s">
        <v>11141</v>
      </c>
      <c r="N1261" s="15" t="s">
        <v>11142</v>
      </c>
      <c r="O1261" s="15"/>
      <c r="P1261" s="15" t="s">
        <v>94</v>
      </c>
      <c r="Q1261" s="15" t="s">
        <v>11143</v>
      </c>
      <c r="R1261" s="18">
        <v>323</v>
      </c>
      <c r="S1261" s="19">
        <f t="shared" si="5"/>
        <v>52326</v>
      </c>
      <c r="T1261" s="12" t="s">
        <v>46</v>
      </c>
      <c r="U1261" s="15"/>
      <c r="V1261" s="19">
        <v>44610</v>
      </c>
      <c r="W1261" s="15" t="s">
        <v>47</v>
      </c>
      <c r="X1261" s="15"/>
      <c r="Y1261" s="13"/>
      <c r="Z1261" s="13"/>
      <c r="AA1261" s="13"/>
      <c r="AB1261" s="13">
        <v>4857362</v>
      </c>
      <c r="AC1261" s="15">
        <v>5567297</v>
      </c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</row>
    <row r="1262" spans="1:46" ht="45" customHeight="1">
      <c r="A1262" s="12" t="s">
        <v>11144</v>
      </c>
      <c r="B1262" s="13" t="s">
        <v>11145</v>
      </c>
      <c r="C1262" s="66" t="s">
        <v>11146</v>
      </c>
      <c r="D1262" s="15" t="s">
        <v>11147</v>
      </c>
      <c r="E1262" s="15" t="s">
        <v>11148</v>
      </c>
      <c r="F1262" s="15" t="s">
        <v>11148</v>
      </c>
      <c r="G1262" s="15" t="s">
        <v>11149</v>
      </c>
      <c r="H1262" s="15"/>
      <c r="I1262" s="15" t="s">
        <v>115</v>
      </c>
      <c r="J1262" s="15" t="s">
        <v>11150</v>
      </c>
      <c r="K1262" s="15"/>
      <c r="L1262" s="15" t="s">
        <v>65</v>
      </c>
      <c r="M1262" s="114" t="s">
        <v>7765</v>
      </c>
      <c r="N1262" s="15">
        <v>2615074206</v>
      </c>
      <c r="O1262" s="15"/>
      <c r="P1262" s="15" t="s">
        <v>1381</v>
      </c>
      <c r="Q1262" s="15" t="s">
        <v>11151</v>
      </c>
      <c r="R1262" s="18">
        <v>130</v>
      </c>
      <c r="S1262" s="19">
        <f t="shared" si="5"/>
        <v>21060</v>
      </c>
      <c r="T1262" s="12" t="s">
        <v>46</v>
      </c>
      <c r="U1262" s="15"/>
      <c r="V1262" s="19">
        <v>44610</v>
      </c>
      <c r="W1262" s="49" t="s">
        <v>47</v>
      </c>
      <c r="X1262" s="15"/>
      <c r="Y1262" s="13"/>
      <c r="Z1262" s="13">
        <v>4311052</v>
      </c>
      <c r="AA1262" s="13">
        <v>4849719</v>
      </c>
      <c r="AB1262" s="13"/>
      <c r="AC1262" s="49">
        <v>5633498</v>
      </c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</row>
    <row r="1263" spans="1:46" ht="45" customHeight="1">
      <c r="A1263" s="12" t="s">
        <v>11152</v>
      </c>
      <c r="B1263" s="13" t="s">
        <v>11153</v>
      </c>
      <c r="C1263" s="66" t="s">
        <v>11154</v>
      </c>
      <c r="D1263" s="15" t="s">
        <v>614</v>
      </c>
      <c r="E1263" s="15" t="s">
        <v>11155</v>
      </c>
      <c r="F1263" s="15" t="s">
        <v>11155</v>
      </c>
      <c r="G1263" s="15" t="s">
        <v>11156</v>
      </c>
      <c r="H1263" s="15" t="s">
        <v>8253</v>
      </c>
      <c r="I1263" s="15" t="s">
        <v>38</v>
      </c>
      <c r="J1263" s="15" t="s">
        <v>11156</v>
      </c>
      <c r="K1263" s="15" t="s">
        <v>8253</v>
      </c>
      <c r="L1263" s="15" t="s">
        <v>38</v>
      </c>
      <c r="M1263" s="67" t="s">
        <v>11157</v>
      </c>
      <c r="N1263" s="15" t="s">
        <v>11158</v>
      </c>
      <c r="O1263" s="168">
        <v>46644</v>
      </c>
      <c r="P1263" s="15" t="s">
        <v>117</v>
      </c>
      <c r="Q1263" s="15" t="s">
        <v>11159</v>
      </c>
      <c r="R1263" s="18">
        <v>477</v>
      </c>
      <c r="S1263" s="19">
        <f t="shared" si="5"/>
        <v>77274</v>
      </c>
      <c r="T1263" s="12" t="s">
        <v>46</v>
      </c>
      <c r="U1263" s="15"/>
      <c r="V1263" s="19">
        <v>44610</v>
      </c>
      <c r="W1263" s="49" t="s">
        <v>71</v>
      </c>
      <c r="X1263" s="15"/>
      <c r="Y1263" s="13"/>
      <c r="Z1263" s="13">
        <v>4310466</v>
      </c>
      <c r="AA1263" s="13">
        <v>4671065</v>
      </c>
      <c r="AB1263" s="13"/>
      <c r="AC1263" s="49">
        <v>5636091</v>
      </c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</row>
    <row r="1264" spans="1:46" ht="45" customHeight="1">
      <c r="A1264" s="21" t="s">
        <v>11160</v>
      </c>
      <c r="B1264" s="22" t="s">
        <v>11161</v>
      </c>
      <c r="C1264" s="66" t="s">
        <v>11162</v>
      </c>
      <c r="D1264" s="15" t="s">
        <v>11163</v>
      </c>
      <c r="E1264" s="15" t="s">
        <v>11164</v>
      </c>
      <c r="F1264" s="15" t="s">
        <v>11164</v>
      </c>
      <c r="G1264" s="15" t="s">
        <v>11165</v>
      </c>
      <c r="H1264" s="15" t="s">
        <v>4398</v>
      </c>
      <c r="I1264" s="15" t="s">
        <v>80</v>
      </c>
      <c r="J1264" s="15" t="s">
        <v>11165</v>
      </c>
      <c r="K1264" s="15" t="s">
        <v>4398</v>
      </c>
      <c r="L1264" s="15" t="s">
        <v>80</v>
      </c>
      <c r="M1264" s="15" t="s">
        <v>11166</v>
      </c>
      <c r="N1264" s="15">
        <v>4819129</v>
      </c>
      <c r="O1264" s="15"/>
      <c r="P1264" s="15" t="s">
        <v>1091</v>
      </c>
      <c r="Q1264" s="15" t="s">
        <v>11167</v>
      </c>
      <c r="R1264" s="29">
        <v>2365</v>
      </c>
      <c r="S1264" s="30">
        <f t="shared" si="5"/>
        <v>383130</v>
      </c>
      <c r="T1264" s="12" t="s">
        <v>96</v>
      </c>
      <c r="U1264" s="15"/>
      <c r="V1264" s="30">
        <v>368160</v>
      </c>
      <c r="W1264" s="15"/>
      <c r="X1264" s="15"/>
      <c r="Y1264" s="13"/>
      <c r="Z1264" s="13">
        <v>4308413</v>
      </c>
      <c r="AA1264" s="13">
        <v>4751351</v>
      </c>
      <c r="AB1264" s="13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</row>
    <row r="1265" spans="1:46" ht="45" customHeight="1">
      <c r="A1265" s="12" t="s">
        <v>11168</v>
      </c>
      <c r="B1265" s="13" t="s">
        <v>11169</v>
      </c>
      <c r="C1265" s="66" t="s">
        <v>11170</v>
      </c>
      <c r="D1265" s="15" t="s">
        <v>11171</v>
      </c>
      <c r="E1265" s="15" t="s">
        <v>11172</v>
      </c>
      <c r="F1265" s="15" t="s">
        <v>11172</v>
      </c>
      <c r="G1265" s="15" t="s">
        <v>11173</v>
      </c>
      <c r="H1265" s="15"/>
      <c r="I1265" s="15" t="s">
        <v>149</v>
      </c>
      <c r="J1265" s="15" t="s">
        <v>11174</v>
      </c>
      <c r="K1265" s="15"/>
      <c r="L1265" s="15" t="s">
        <v>149</v>
      </c>
      <c r="M1265" s="217" t="s">
        <v>11175</v>
      </c>
      <c r="N1265" s="15" t="s">
        <v>11176</v>
      </c>
      <c r="O1265" s="15"/>
      <c r="P1265" s="15" t="s">
        <v>151</v>
      </c>
      <c r="Q1265" s="15" t="s">
        <v>11177</v>
      </c>
      <c r="R1265" s="18">
        <v>36</v>
      </c>
      <c r="S1265" s="19">
        <f t="shared" si="5"/>
        <v>5832</v>
      </c>
      <c r="T1265" s="12" t="s">
        <v>46</v>
      </c>
      <c r="U1265" s="15"/>
      <c r="V1265" s="19">
        <v>44610</v>
      </c>
      <c r="W1265" s="49" t="s">
        <v>71</v>
      </c>
      <c r="X1265" s="15"/>
      <c r="Y1265" s="13"/>
      <c r="Z1265" s="13">
        <v>4304526</v>
      </c>
      <c r="AA1265" s="13">
        <v>46477380</v>
      </c>
      <c r="AB1265" s="13"/>
      <c r="AC1265" s="49">
        <v>5637037</v>
      </c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</row>
    <row r="1266" spans="1:46" ht="45" customHeight="1">
      <c r="A1266" s="12" t="s">
        <v>11178</v>
      </c>
      <c r="B1266" s="13" t="s">
        <v>11179</v>
      </c>
      <c r="C1266" s="66" t="s">
        <v>9785</v>
      </c>
      <c r="D1266" s="15" t="s">
        <v>9786</v>
      </c>
      <c r="E1266" s="15" t="s">
        <v>11180</v>
      </c>
      <c r="F1266" s="15" t="s">
        <v>11180</v>
      </c>
      <c r="G1266" s="15" t="s">
        <v>11181</v>
      </c>
      <c r="H1266" s="15"/>
      <c r="I1266" s="15" t="s">
        <v>5916</v>
      </c>
      <c r="J1266" s="15" t="s">
        <v>11181</v>
      </c>
      <c r="K1266" s="15"/>
      <c r="L1266" s="15" t="s">
        <v>5916</v>
      </c>
      <c r="M1266" s="16" t="s">
        <v>11182</v>
      </c>
      <c r="N1266" s="15">
        <v>4314378</v>
      </c>
      <c r="O1266" s="15"/>
      <c r="P1266" s="15" t="s">
        <v>10501</v>
      </c>
      <c r="Q1266" s="15" t="s">
        <v>11183</v>
      </c>
      <c r="R1266" s="18">
        <v>130.19999999999999</v>
      </c>
      <c r="S1266" s="19">
        <f t="shared" si="5"/>
        <v>21092.399999999998</v>
      </c>
      <c r="T1266" s="12" t="s">
        <v>46</v>
      </c>
      <c r="U1266" s="15"/>
      <c r="V1266" s="19">
        <v>44610</v>
      </c>
      <c r="W1266" s="15" t="s">
        <v>71</v>
      </c>
      <c r="X1266" s="15"/>
      <c r="Y1266" s="13"/>
      <c r="Z1266" s="13">
        <v>4298692</v>
      </c>
      <c r="AA1266" s="13"/>
      <c r="AB1266" s="13"/>
      <c r="AC1266" s="15">
        <v>5582490</v>
      </c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</row>
    <row r="1267" spans="1:46" ht="45" customHeight="1">
      <c r="A1267" s="21" t="s">
        <v>11184</v>
      </c>
      <c r="B1267" s="13" t="s">
        <v>11185</v>
      </c>
      <c r="C1267" s="66" t="s">
        <v>11186</v>
      </c>
      <c r="D1267" s="15" t="s">
        <v>9608</v>
      </c>
      <c r="E1267" s="15"/>
      <c r="F1267" s="15"/>
      <c r="G1267" s="15" t="s">
        <v>11187</v>
      </c>
      <c r="H1267" s="15" t="s">
        <v>11188</v>
      </c>
      <c r="I1267" s="15" t="s">
        <v>53</v>
      </c>
      <c r="J1267" s="15" t="s">
        <v>11187</v>
      </c>
      <c r="K1267" s="15" t="s">
        <v>11188</v>
      </c>
      <c r="L1267" s="15" t="s">
        <v>53</v>
      </c>
      <c r="M1267" s="46" t="s">
        <v>11189</v>
      </c>
      <c r="N1267" s="15">
        <v>2614244262</v>
      </c>
      <c r="O1267" s="15"/>
      <c r="P1267" s="15" t="s">
        <v>94</v>
      </c>
      <c r="Q1267" s="15" t="s">
        <v>11190</v>
      </c>
      <c r="R1267" s="29">
        <v>1322.04</v>
      </c>
      <c r="S1267" s="30">
        <f t="shared" si="5"/>
        <v>214170.47999999998</v>
      </c>
      <c r="T1267" s="12" t="s">
        <v>198</v>
      </c>
      <c r="U1267" s="15"/>
      <c r="V1267" s="30">
        <v>215940</v>
      </c>
      <c r="W1267" s="15" t="s">
        <v>47</v>
      </c>
      <c r="X1267" s="15"/>
      <c r="Y1267" s="13"/>
      <c r="Z1267" s="13">
        <v>4292092</v>
      </c>
      <c r="AA1267" s="13"/>
      <c r="AB1267" s="13"/>
      <c r="AC1267" s="15">
        <v>5617894</v>
      </c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</row>
    <row r="1268" spans="1:46" ht="45" customHeight="1">
      <c r="A1268" s="12" t="s">
        <v>11191</v>
      </c>
      <c r="B1268" s="13" t="s">
        <v>11192</v>
      </c>
      <c r="C1268" s="66" t="s">
        <v>11193</v>
      </c>
      <c r="D1268" s="15" t="s">
        <v>11194</v>
      </c>
      <c r="E1268" s="15" t="s">
        <v>524</v>
      </c>
      <c r="F1268" s="15" t="s">
        <v>524</v>
      </c>
      <c r="G1268" s="15" t="s">
        <v>11195</v>
      </c>
      <c r="H1268" s="15"/>
      <c r="I1268" s="15" t="s">
        <v>65</v>
      </c>
      <c r="J1268" s="15" t="s">
        <v>11196</v>
      </c>
      <c r="K1268" s="15"/>
      <c r="L1268" s="15" t="s">
        <v>65</v>
      </c>
      <c r="M1268" s="217" t="s">
        <v>11197</v>
      </c>
      <c r="N1268" s="15" t="s">
        <v>11198</v>
      </c>
      <c r="O1268" s="15"/>
      <c r="P1268" s="15" t="s">
        <v>94</v>
      </c>
      <c r="Q1268" s="15" t="s">
        <v>11199</v>
      </c>
      <c r="R1268" s="18">
        <v>39</v>
      </c>
      <c r="S1268" s="19">
        <f t="shared" si="5"/>
        <v>6318</v>
      </c>
      <c r="T1268" s="12" t="s">
        <v>46</v>
      </c>
      <c r="U1268" s="15"/>
      <c r="V1268" s="19">
        <v>44610</v>
      </c>
      <c r="W1268" s="15" t="s">
        <v>71</v>
      </c>
      <c r="X1268" s="15"/>
      <c r="Y1268" s="13"/>
      <c r="Z1268" s="13">
        <v>4284973</v>
      </c>
      <c r="AA1268" s="13">
        <v>4745116</v>
      </c>
      <c r="AB1268" s="13"/>
      <c r="AC1268" s="15">
        <v>5606462</v>
      </c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</row>
    <row r="1269" spans="1:46" ht="45" customHeight="1">
      <c r="A1269" s="12" t="s">
        <v>11200</v>
      </c>
      <c r="B1269" s="13" t="s">
        <v>11201</v>
      </c>
      <c r="C1269" s="66" t="s">
        <v>11202</v>
      </c>
      <c r="D1269" s="15" t="s">
        <v>11203</v>
      </c>
      <c r="E1269" s="15" t="s">
        <v>11204</v>
      </c>
      <c r="F1269" s="15" t="s">
        <v>11204</v>
      </c>
      <c r="G1269" s="15" t="s">
        <v>11205</v>
      </c>
      <c r="H1269" s="15"/>
      <c r="I1269" s="15" t="s">
        <v>149</v>
      </c>
      <c r="J1269" s="15" t="s">
        <v>11205</v>
      </c>
      <c r="K1269" s="15"/>
      <c r="L1269" s="15" t="s">
        <v>149</v>
      </c>
      <c r="M1269" s="46" t="s">
        <v>11206</v>
      </c>
      <c r="N1269" s="15">
        <v>2613621948</v>
      </c>
      <c r="O1269" s="15"/>
      <c r="P1269" s="15" t="s">
        <v>44</v>
      </c>
      <c r="Q1269" s="15" t="s">
        <v>11207</v>
      </c>
      <c r="R1269" s="18">
        <v>105</v>
      </c>
      <c r="S1269" s="19">
        <f t="shared" si="5"/>
        <v>17010</v>
      </c>
      <c r="T1269" s="12" t="s">
        <v>46</v>
      </c>
      <c r="U1269" s="15"/>
      <c r="V1269" s="19">
        <v>44610</v>
      </c>
      <c r="W1269" s="15"/>
      <c r="X1269" s="15"/>
      <c r="Y1269" s="13"/>
      <c r="Z1269" s="13">
        <v>4262082</v>
      </c>
      <c r="AA1269" s="13"/>
      <c r="AB1269" s="13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</row>
    <row r="1270" spans="1:46" ht="45" customHeight="1">
      <c r="A1270" s="12" t="s">
        <v>11208</v>
      </c>
      <c r="B1270" s="13" t="s">
        <v>11209</v>
      </c>
      <c r="C1270" s="66" t="s">
        <v>11210</v>
      </c>
      <c r="D1270" s="15" t="s">
        <v>11171</v>
      </c>
      <c r="E1270" s="15" t="s">
        <v>11211</v>
      </c>
      <c r="F1270" s="15" t="s">
        <v>11211</v>
      </c>
      <c r="G1270" s="15" t="s">
        <v>11173</v>
      </c>
      <c r="H1270" s="15"/>
      <c r="I1270" s="15" t="s">
        <v>149</v>
      </c>
      <c r="J1270" s="15" t="s">
        <v>11173</v>
      </c>
      <c r="K1270" s="15"/>
      <c r="L1270" s="15" t="s">
        <v>149</v>
      </c>
      <c r="M1270" s="217" t="s">
        <v>11175</v>
      </c>
      <c r="N1270" s="15" t="s">
        <v>11176</v>
      </c>
      <c r="O1270" s="15"/>
      <c r="P1270" s="15" t="s">
        <v>44</v>
      </c>
      <c r="Q1270" s="15" t="s">
        <v>11212</v>
      </c>
      <c r="R1270" s="18">
        <v>39</v>
      </c>
      <c r="S1270" s="19">
        <f t="shared" si="5"/>
        <v>6318</v>
      </c>
      <c r="T1270" s="12" t="s">
        <v>46</v>
      </c>
      <c r="U1270" s="15"/>
      <c r="V1270" s="19">
        <v>44610</v>
      </c>
      <c r="W1270" s="15"/>
      <c r="X1270" s="15"/>
      <c r="Y1270" s="13"/>
      <c r="Z1270" s="13">
        <v>4321272</v>
      </c>
      <c r="AA1270" s="13">
        <v>4647279</v>
      </c>
      <c r="AB1270" s="13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</row>
    <row r="1271" spans="1:46" ht="45" customHeight="1">
      <c r="A1271" s="12" t="s">
        <v>11213</v>
      </c>
      <c r="B1271" s="13" t="s">
        <v>11214</v>
      </c>
      <c r="C1271" s="66" t="s">
        <v>11215</v>
      </c>
      <c r="D1271" s="15" t="s">
        <v>11216</v>
      </c>
      <c r="E1271" s="15" t="s">
        <v>11217</v>
      </c>
      <c r="F1271" s="15" t="s">
        <v>11217</v>
      </c>
      <c r="G1271" s="15" t="s">
        <v>11218</v>
      </c>
      <c r="H1271" s="15"/>
      <c r="I1271" s="15" t="s">
        <v>149</v>
      </c>
      <c r="J1271" s="15" t="s">
        <v>11219</v>
      </c>
      <c r="K1271" s="15"/>
      <c r="L1271" s="15" t="s">
        <v>149</v>
      </c>
      <c r="M1271" s="46" t="s">
        <v>11220</v>
      </c>
      <c r="N1271" s="15">
        <v>2616523955</v>
      </c>
      <c r="O1271" s="15"/>
      <c r="P1271" s="15" t="s">
        <v>44</v>
      </c>
      <c r="Q1271" s="15" t="s">
        <v>11221</v>
      </c>
      <c r="R1271" s="18">
        <v>543</v>
      </c>
      <c r="S1271" s="19">
        <f t="shared" si="5"/>
        <v>87966</v>
      </c>
      <c r="T1271" s="12" t="s">
        <v>46</v>
      </c>
      <c r="U1271" s="15"/>
      <c r="V1271" s="19">
        <v>44610</v>
      </c>
      <c r="W1271" s="15"/>
      <c r="X1271" s="15"/>
      <c r="Y1271" s="13"/>
      <c r="Z1271" s="13">
        <v>4334750</v>
      </c>
      <c r="AA1271" s="13">
        <v>4648430</v>
      </c>
      <c r="AB1271" s="13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</row>
    <row r="1272" spans="1:46" ht="45" customHeight="1">
      <c r="A1272" s="21" t="s">
        <v>11222</v>
      </c>
      <c r="B1272" s="13" t="s">
        <v>11223</v>
      </c>
      <c r="C1272" s="66" t="s">
        <v>11224</v>
      </c>
      <c r="D1272" s="15" t="s">
        <v>11225</v>
      </c>
      <c r="E1272" s="15" t="s">
        <v>11226</v>
      </c>
      <c r="F1272" s="15" t="s">
        <v>11226</v>
      </c>
      <c r="G1272" s="15" t="s">
        <v>11227</v>
      </c>
      <c r="H1272" s="15"/>
      <c r="I1272" s="15" t="s">
        <v>115</v>
      </c>
      <c r="J1272" s="15" t="s">
        <v>11227</v>
      </c>
      <c r="K1272" s="15"/>
      <c r="L1272" s="15" t="s">
        <v>115</v>
      </c>
      <c r="M1272" s="217" t="s">
        <v>11228</v>
      </c>
      <c r="N1272" s="15" t="s">
        <v>11229</v>
      </c>
      <c r="O1272" s="15"/>
      <c r="P1272" s="15" t="s">
        <v>11230</v>
      </c>
      <c r="Q1272" s="15" t="s">
        <v>11231</v>
      </c>
      <c r="R1272" s="29">
        <v>4433</v>
      </c>
      <c r="S1272" s="30">
        <f t="shared" si="5"/>
        <v>718146</v>
      </c>
      <c r="T1272" s="12" t="s">
        <v>105</v>
      </c>
      <c r="U1272" s="15"/>
      <c r="V1272" s="30">
        <v>736320</v>
      </c>
      <c r="W1272" s="15"/>
      <c r="X1272" s="15"/>
      <c r="Y1272" s="13"/>
      <c r="Z1272" s="13">
        <v>4348517</v>
      </c>
      <c r="AA1272" s="13"/>
      <c r="AB1272" s="13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</row>
    <row r="1273" spans="1:46" ht="45" customHeight="1">
      <c r="A1273" s="12" t="s">
        <v>11232</v>
      </c>
      <c r="B1273" s="13" t="s">
        <v>11233</v>
      </c>
      <c r="C1273" s="66" t="s">
        <v>11234</v>
      </c>
      <c r="D1273" s="15" t="s">
        <v>11235</v>
      </c>
      <c r="E1273" s="15" t="s">
        <v>11236</v>
      </c>
      <c r="F1273" s="15" t="s">
        <v>11236</v>
      </c>
      <c r="G1273" s="15" t="s">
        <v>11237</v>
      </c>
      <c r="H1273" s="15"/>
      <c r="I1273" s="15" t="s">
        <v>149</v>
      </c>
      <c r="J1273" s="15" t="s">
        <v>11238</v>
      </c>
      <c r="K1273" s="15"/>
      <c r="L1273" s="15" t="s">
        <v>38</v>
      </c>
      <c r="M1273" s="217" t="s">
        <v>11239</v>
      </c>
      <c r="N1273" s="15">
        <v>2614697699</v>
      </c>
      <c r="O1273" s="15"/>
      <c r="P1273" s="15" t="s">
        <v>44</v>
      </c>
      <c r="Q1273" s="15" t="s">
        <v>11240</v>
      </c>
      <c r="R1273" s="18">
        <v>37</v>
      </c>
      <c r="S1273" s="19">
        <f t="shared" si="5"/>
        <v>5994</v>
      </c>
      <c r="T1273" s="12" t="s">
        <v>46</v>
      </c>
      <c r="U1273" s="15"/>
      <c r="V1273" s="19">
        <v>44610</v>
      </c>
      <c r="W1273" s="15"/>
      <c r="X1273" s="15"/>
      <c r="Y1273" s="13"/>
      <c r="Z1273" s="13">
        <v>4340979</v>
      </c>
      <c r="AA1273" s="13">
        <v>4745873</v>
      </c>
      <c r="AB1273" s="13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</row>
    <row r="1274" spans="1:46" ht="45" customHeight="1">
      <c r="A1274" s="21" t="s">
        <v>11241</v>
      </c>
      <c r="B1274" s="13" t="s">
        <v>11242</v>
      </c>
      <c r="C1274" s="66" t="s">
        <v>11243</v>
      </c>
      <c r="D1274" s="15" t="s">
        <v>11244</v>
      </c>
      <c r="E1274" s="15" t="s">
        <v>11245</v>
      </c>
      <c r="F1274" s="15" t="s">
        <v>11245</v>
      </c>
      <c r="G1274" s="15" t="s">
        <v>11246</v>
      </c>
      <c r="H1274" s="15" t="s">
        <v>9482</v>
      </c>
      <c r="I1274" s="15" t="s">
        <v>80</v>
      </c>
      <c r="J1274" s="15" t="s">
        <v>11247</v>
      </c>
      <c r="K1274" s="15" t="s">
        <v>9482</v>
      </c>
      <c r="L1274" s="15" t="s">
        <v>80</v>
      </c>
      <c r="M1274" s="46" t="s">
        <v>11248</v>
      </c>
      <c r="N1274" s="15" t="s">
        <v>11249</v>
      </c>
      <c r="O1274" s="15"/>
      <c r="P1274" s="15" t="s">
        <v>1381</v>
      </c>
      <c r="Q1274" s="15" t="s">
        <v>11250</v>
      </c>
      <c r="R1274" s="29">
        <v>1036</v>
      </c>
      <c r="S1274" s="30">
        <f t="shared" si="5"/>
        <v>167832</v>
      </c>
      <c r="T1274" s="12" t="s">
        <v>198</v>
      </c>
      <c r="U1274" s="15"/>
      <c r="V1274" s="30">
        <v>215940</v>
      </c>
      <c r="W1274" s="15"/>
      <c r="X1274" s="15"/>
      <c r="Y1274" s="13"/>
      <c r="Z1274" s="13">
        <v>4332499</v>
      </c>
      <c r="AA1274" s="13">
        <v>4695384</v>
      </c>
      <c r="AB1274" s="13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</row>
    <row r="1275" spans="1:46" ht="45" customHeight="1">
      <c r="A1275" s="12" t="s">
        <v>11251</v>
      </c>
      <c r="B1275" s="13" t="s">
        <v>11252</v>
      </c>
      <c r="C1275" s="66" t="s">
        <v>11253</v>
      </c>
      <c r="D1275" s="15" t="s">
        <v>11254</v>
      </c>
      <c r="E1275" s="15" t="s">
        <v>524</v>
      </c>
      <c r="F1275" s="15" t="s">
        <v>524</v>
      </c>
      <c r="G1275" s="15" t="s">
        <v>11255</v>
      </c>
      <c r="H1275" s="15"/>
      <c r="I1275" s="15" t="s">
        <v>149</v>
      </c>
      <c r="J1275" s="15" t="s">
        <v>11089</v>
      </c>
      <c r="K1275" s="15"/>
      <c r="L1275" s="15" t="s">
        <v>149</v>
      </c>
      <c r="M1275" s="16" t="s">
        <v>11256</v>
      </c>
      <c r="N1275" s="15">
        <v>2613348085</v>
      </c>
      <c r="O1275" s="15"/>
      <c r="P1275" s="15" t="s">
        <v>44</v>
      </c>
      <c r="Q1275" s="15" t="s">
        <v>11257</v>
      </c>
      <c r="R1275" s="18">
        <v>90</v>
      </c>
      <c r="S1275" s="19">
        <f t="shared" si="5"/>
        <v>14580</v>
      </c>
      <c r="T1275" s="12" t="s">
        <v>46</v>
      </c>
      <c r="U1275" s="15"/>
      <c r="V1275" s="19">
        <v>44610</v>
      </c>
      <c r="W1275" s="15"/>
      <c r="X1275" s="15"/>
      <c r="Y1275" s="13"/>
      <c r="Z1275" s="13">
        <v>4400098</v>
      </c>
      <c r="AA1275" s="13"/>
      <c r="AB1275" s="13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</row>
    <row r="1276" spans="1:46" ht="45" customHeight="1">
      <c r="A1276" s="79" t="s">
        <v>11258</v>
      </c>
      <c r="B1276" s="80" t="s">
        <v>11259</v>
      </c>
      <c r="C1276" s="81" t="s">
        <v>11260</v>
      </c>
      <c r="D1276" s="82" t="s">
        <v>11261</v>
      </c>
      <c r="E1276" s="82" t="s">
        <v>11262</v>
      </c>
      <c r="F1276" s="82" t="s">
        <v>11262</v>
      </c>
      <c r="G1276" s="82" t="s">
        <v>11263</v>
      </c>
      <c r="H1276" s="82"/>
      <c r="I1276" s="82" t="s">
        <v>53</v>
      </c>
      <c r="J1276" s="82" t="s">
        <v>11264</v>
      </c>
      <c r="K1276" s="82"/>
      <c r="L1276" s="82" t="s">
        <v>80</v>
      </c>
      <c r="M1276" s="166" t="s">
        <v>11265</v>
      </c>
      <c r="N1276" s="82" t="s">
        <v>11266</v>
      </c>
      <c r="O1276" s="82"/>
      <c r="P1276" s="82" t="s">
        <v>151</v>
      </c>
      <c r="Q1276" s="82" t="s">
        <v>11267</v>
      </c>
      <c r="R1276" s="85" t="s">
        <v>770</v>
      </c>
      <c r="S1276" s="86" t="e">
        <f t="shared" si="5"/>
        <v>#VALUE!</v>
      </c>
      <c r="T1276" s="87" t="s">
        <v>770</v>
      </c>
      <c r="U1276" s="82"/>
      <c r="V1276" s="86">
        <v>0</v>
      </c>
      <c r="W1276" s="82"/>
      <c r="X1276" s="82"/>
      <c r="Y1276" s="80"/>
      <c r="Z1276" s="80">
        <v>4411105</v>
      </c>
      <c r="AA1276" s="80"/>
      <c r="AB1276" s="80"/>
      <c r="AC1276" s="82"/>
      <c r="AD1276" s="82"/>
      <c r="AE1276" s="82"/>
      <c r="AF1276" s="82"/>
      <c r="AG1276" s="82"/>
      <c r="AH1276" s="82"/>
      <c r="AI1276" s="82"/>
      <c r="AJ1276" s="82"/>
      <c r="AK1276" s="82"/>
      <c r="AL1276" s="82"/>
      <c r="AM1276" s="82"/>
      <c r="AN1276" s="82"/>
      <c r="AO1276" s="82"/>
      <c r="AP1276" s="82"/>
      <c r="AQ1276" s="82"/>
      <c r="AR1276" s="82"/>
      <c r="AS1276" s="82"/>
      <c r="AT1276" s="82"/>
    </row>
    <row r="1277" spans="1:46" ht="45" customHeight="1">
      <c r="A1277" s="12" t="s">
        <v>11268</v>
      </c>
      <c r="B1277" s="13" t="s">
        <v>11269</v>
      </c>
      <c r="C1277" s="66" t="s">
        <v>11270</v>
      </c>
      <c r="D1277" s="15" t="s">
        <v>11271</v>
      </c>
      <c r="E1277" s="15" t="s">
        <v>11272</v>
      </c>
      <c r="F1277" s="15" t="s">
        <v>11272</v>
      </c>
      <c r="G1277" s="15" t="s">
        <v>11273</v>
      </c>
      <c r="H1277" s="15" t="s">
        <v>52</v>
      </c>
      <c r="I1277" s="15" t="s">
        <v>53</v>
      </c>
      <c r="J1277" s="15" t="s">
        <v>11273</v>
      </c>
      <c r="K1277" s="15" t="s">
        <v>52</v>
      </c>
      <c r="L1277" s="15" t="s">
        <v>53</v>
      </c>
      <c r="M1277" s="217" t="s">
        <v>11274</v>
      </c>
      <c r="N1277" s="15" t="s">
        <v>11275</v>
      </c>
      <c r="O1277" s="15"/>
      <c r="P1277" s="15" t="s">
        <v>94</v>
      </c>
      <c r="Q1277" s="15" t="s">
        <v>11276</v>
      </c>
      <c r="R1277" s="18">
        <v>184</v>
      </c>
      <c r="S1277" s="19">
        <f t="shared" si="5"/>
        <v>29808</v>
      </c>
      <c r="T1277" s="12" t="s">
        <v>46</v>
      </c>
      <c r="U1277" s="15"/>
      <c r="V1277" s="19">
        <v>44610</v>
      </c>
      <c r="W1277" s="15" t="s">
        <v>71</v>
      </c>
      <c r="X1277" s="15"/>
      <c r="Y1277" s="13"/>
      <c r="Z1277" s="13">
        <v>4462971</v>
      </c>
      <c r="AA1277" s="13">
        <v>4726198</v>
      </c>
      <c r="AB1277" s="13"/>
      <c r="AC1277" s="15">
        <v>5493522</v>
      </c>
      <c r="AD1277" s="49">
        <v>6477303</v>
      </c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</row>
    <row r="1278" spans="1:46" ht="45" customHeight="1">
      <c r="A1278" s="21" t="s">
        <v>11277</v>
      </c>
      <c r="B1278" s="13" t="s">
        <v>11278</v>
      </c>
      <c r="C1278" s="66" t="s">
        <v>11279</v>
      </c>
      <c r="D1278" s="15" t="s">
        <v>8080</v>
      </c>
      <c r="E1278" s="15" t="s">
        <v>11280</v>
      </c>
      <c r="F1278" s="15" t="s">
        <v>11280</v>
      </c>
      <c r="G1278" s="15" t="s">
        <v>11040</v>
      </c>
      <c r="H1278" s="15" t="s">
        <v>52</v>
      </c>
      <c r="I1278" s="15" t="s">
        <v>53</v>
      </c>
      <c r="J1278" s="15" t="s">
        <v>11040</v>
      </c>
      <c r="K1278" s="15" t="s">
        <v>52</v>
      </c>
      <c r="L1278" s="15" t="s">
        <v>53</v>
      </c>
      <c r="M1278" s="16" t="s">
        <v>11281</v>
      </c>
      <c r="N1278" s="15">
        <v>1156092541</v>
      </c>
      <c r="O1278" s="15"/>
      <c r="P1278" s="15" t="s">
        <v>7836</v>
      </c>
      <c r="Q1278" s="15" t="s">
        <v>11282</v>
      </c>
      <c r="R1278" s="29">
        <v>7079</v>
      </c>
      <c r="S1278" s="30">
        <f t="shared" si="5"/>
        <v>1146798</v>
      </c>
      <c r="T1278" s="12" t="s">
        <v>70</v>
      </c>
      <c r="U1278" s="15"/>
      <c r="V1278" s="30">
        <f>S1278</f>
        <v>1146798</v>
      </c>
      <c r="W1278" s="15"/>
      <c r="X1278" s="15"/>
      <c r="Y1278" s="13"/>
      <c r="Z1278" s="13">
        <v>4466846</v>
      </c>
      <c r="AA1278" s="13"/>
      <c r="AB1278" s="13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</row>
    <row r="1279" spans="1:46" ht="45" customHeight="1">
      <c r="A1279" s="12" t="s">
        <v>11283</v>
      </c>
      <c r="B1279" s="13" t="s">
        <v>11284</v>
      </c>
      <c r="C1279" s="66" t="s">
        <v>11285</v>
      </c>
      <c r="D1279" s="15" t="s">
        <v>11286</v>
      </c>
      <c r="E1279" s="15" t="s">
        <v>8348</v>
      </c>
      <c r="F1279" s="15" t="s">
        <v>8348</v>
      </c>
      <c r="G1279" s="15" t="s">
        <v>11287</v>
      </c>
      <c r="H1279" s="15"/>
      <c r="I1279" s="15" t="s">
        <v>149</v>
      </c>
      <c r="J1279" s="15" t="s">
        <v>11287</v>
      </c>
      <c r="K1279" s="15"/>
      <c r="L1279" s="15" t="s">
        <v>149</v>
      </c>
      <c r="M1279" s="217" t="s">
        <v>11288</v>
      </c>
      <c r="N1279" s="15" t="s">
        <v>11289</v>
      </c>
      <c r="O1279" s="15"/>
      <c r="P1279" s="15" t="s">
        <v>117</v>
      </c>
      <c r="Q1279" s="15" t="s">
        <v>11290</v>
      </c>
      <c r="R1279" s="18">
        <v>95</v>
      </c>
      <c r="S1279" s="19">
        <f t="shared" si="5"/>
        <v>15390</v>
      </c>
      <c r="T1279" s="12" t="s">
        <v>46</v>
      </c>
      <c r="U1279" s="15"/>
      <c r="V1279" s="19">
        <v>44610</v>
      </c>
      <c r="W1279" s="49" t="s">
        <v>71</v>
      </c>
      <c r="X1279" s="15"/>
      <c r="Y1279" s="13"/>
      <c r="Z1279" s="13">
        <v>4468495</v>
      </c>
      <c r="AA1279" s="13">
        <v>4698793</v>
      </c>
      <c r="AB1279" s="13"/>
      <c r="AC1279" s="49">
        <v>5635923</v>
      </c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</row>
    <row r="1280" spans="1:46" ht="45" customHeight="1">
      <c r="A1280" s="12" t="s">
        <v>11291</v>
      </c>
      <c r="B1280" s="13" t="s">
        <v>11292</v>
      </c>
      <c r="C1280" s="66" t="s">
        <v>11293</v>
      </c>
      <c r="D1280" s="15" t="s">
        <v>9966</v>
      </c>
      <c r="E1280" s="15" t="s">
        <v>11294</v>
      </c>
      <c r="F1280" s="15" t="s">
        <v>11294</v>
      </c>
      <c r="G1280" s="15" t="s">
        <v>11295</v>
      </c>
      <c r="H1280" s="15"/>
      <c r="I1280" s="15" t="s">
        <v>41</v>
      </c>
      <c r="J1280" s="15" t="s">
        <v>11295</v>
      </c>
      <c r="K1280" s="15"/>
      <c r="L1280" s="15" t="s">
        <v>41</v>
      </c>
      <c r="M1280" s="217" t="s">
        <v>11296</v>
      </c>
      <c r="N1280" s="15">
        <v>2604384578</v>
      </c>
      <c r="O1280" s="15"/>
      <c r="P1280" s="15" t="s">
        <v>44</v>
      </c>
      <c r="Q1280" s="15" t="s">
        <v>11297</v>
      </c>
      <c r="R1280" s="18">
        <v>27</v>
      </c>
      <c r="S1280" s="19">
        <f t="shared" si="5"/>
        <v>4374</v>
      </c>
      <c r="T1280" s="12" t="s">
        <v>46</v>
      </c>
      <c r="U1280" s="15"/>
      <c r="V1280" s="19">
        <v>44610</v>
      </c>
      <c r="W1280" s="15"/>
      <c r="X1280" s="15"/>
      <c r="Y1280" s="13"/>
      <c r="Z1280" s="13">
        <v>4516435</v>
      </c>
      <c r="AA1280" s="13"/>
      <c r="AB1280" s="13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</row>
    <row r="1281" spans="1:46" ht="45" customHeight="1">
      <c r="A1281" s="12" t="s">
        <v>11298</v>
      </c>
      <c r="B1281" s="13" t="s">
        <v>11299</v>
      </c>
      <c r="C1281" s="66" t="s">
        <v>11300</v>
      </c>
      <c r="D1281" s="15" t="s">
        <v>11301</v>
      </c>
      <c r="E1281" s="15" t="s">
        <v>11302</v>
      </c>
      <c r="F1281" s="15" t="s">
        <v>11302</v>
      </c>
      <c r="G1281" s="15" t="s">
        <v>11303</v>
      </c>
      <c r="H1281" s="15"/>
      <c r="I1281" s="15" t="s">
        <v>38</v>
      </c>
      <c r="J1281" s="15" t="s">
        <v>11303</v>
      </c>
      <c r="K1281" s="15"/>
      <c r="L1281" s="15" t="s">
        <v>38</v>
      </c>
      <c r="M1281" s="67" t="s">
        <v>11304</v>
      </c>
      <c r="N1281" s="15">
        <v>2614606643</v>
      </c>
      <c r="O1281" s="15"/>
      <c r="P1281" s="49" t="s">
        <v>8315</v>
      </c>
      <c r="Q1281" s="15" t="s">
        <v>11305</v>
      </c>
      <c r="R1281" s="18">
        <v>171</v>
      </c>
      <c r="S1281" s="19">
        <f t="shared" si="5"/>
        <v>27702</v>
      </c>
      <c r="T1281" s="12" t="s">
        <v>46</v>
      </c>
      <c r="U1281" s="15"/>
      <c r="V1281" s="19">
        <v>44610</v>
      </c>
      <c r="W1281" s="49" t="s">
        <v>71</v>
      </c>
      <c r="X1281" s="15"/>
      <c r="Y1281" s="13"/>
      <c r="Z1281" s="13"/>
      <c r="AA1281" s="13">
        <v>4605721</v>
      </c>
      <c r="AB1281" s="13"/>
      <c r="AC1281" s="49">
        <v>5637480</v>
      </c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</row>
    <row r="1282" spans="1:46" ht="45" customHeight="1">
      <c r="A1282" s="21" t="s">
        <v>11306</v>
      </c>
      <c r="B1282" s="13" t="s">
        <v>11307</v>
      </c>
      <c r="C1282" s="66" t="s">
        <v>11308</v>
      </c>
      <c r="D1282" s="15" t="s">
        <v>11309</v>
      </c>
      <c r="E1282" s="15" t="s">
        <v>9310</v>
      </c>
      <c r="F1282" s="15" t="s">
        <v>9310</v>
      </c>
      <c r="G1282" s="15" t="s">
        <v>11310</v>
      </c>
      <c r="H1282" s="15"/>
      <c r="I1282" s="15" t="s">
        <v>149</v>
      </c>
      <c r="J1282" s="15" t="s">
        <v>11310</v>
      </c>
      <c r="K1282" s="15"/>
      <c r="L1282" s="15" t="s">
        <v>149</v>
      </c>
      <c r="M1282" s="46" t="s">
        <v>11311</v>
      </c>
      <c r="N1282" s="15" t="s">
        <v>11312</v>
      </c>
      <c r="O1282" s="15"/>
      <c r="P1282" s="15" t="s">
        <v>117</v>
      </c>
      <c r="Q1282" s="15" t="s">
        <v>11313</v>
      </c>
      <c r="R1282" s="29">
        <v>7002</v>
      </c>
      <c r="S1282" s="30">
        <f t="shared" si="5"/>
        <v>1134324</v>
      </c>
      <c r="T1282" s="12" t="s">
        <v>70</v>
      </c>
      <c r="U1282" s="15"/>
      <c r="V1282" s="30">
        <f>S1282</f>
        <v>1134324</v>
      </c>
      <c r="W1282" s="15" t="s">
        <v>47</v>
      </c>
      <c r="X1282" s="15"/>
      <c r="Y1282" s="13"/>
      <c r="Z1282" s="13">
        <v>4505249</v>
      </c>
      <c r="AA1282" s="13"/>
      <c r="AB1282" s="13"/>
      <c r="AC1282" s="15">
        <v>5596937</v>
      </c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</row>
    <row r="1283" spans="1:46" ht="45" customHeight="1">
      <c r="A1283" s="12" t="s">
        <v>11314</v>
      </c>
      <c r="B1283" s="13" t="s">
        <v>11315</v>
      </c>
      <c r="C1283" s="66" t="s">
        <v>11316</v>
      </c>
      <c r="D1283" s="15" t="s">
        <v>11317</v>
      </c>
      <c r="E1283" s="15" t="s">
        <v>11318</v>
      </c>
      <c r="F1283" s="15" t="s">
        <v>11318</v>
      </c>
      <c r="G1283" s="15" t="s">
        <v>11319</v>
      </c>
      <c r="H1283" s="15" t="s">
        <v>1736</v>
      </c>
      <c r="I1283" s="15" t="s">
        <v>149</v>
      </c>
      <c r="J1283" s="15" t="s">
        <v>11319</v>
      </c>
      <c r="K1283" s="15" t="s">
        <v>1736</v>
      </c>
      <c r="L1283" s="15" t="s">
        <v>149</v>
      </c>
      <c r="M1283" s="217" t="s">
        <v>11320</v>
      </c>
      <c r="N1283" s="15">
        <v>2634225102</v>
      </c>
      <c r="O1283" s="15"/>
      <c r="P1283" s="15" t="s">
        <v>44</v>
      </c>
      <c r="Q1283" s="15" t="s">
        <v>11321</v>
      </c>
      <c r="R1283" s="18">
        <v>36</v>
      </c>
      <c r="S1283" s="19">
        <f t="shared" si="5"/>
        <v>5832</v>
      </c>
      <c r="T1283" s="12" t="s">
        <v>46</v>
      </c>
      <c r="U1283" s="15"/>
      <c r="V1283" s="19">
        <v>44610</v>
      </c>
      <c r="W1283" s="15"/>
      <c r="X1283" s="15"/>
      <c r="Y1283" s="13"/>
      <c r="Z1283" s="13">
        <v>4492230</v>
      </c>
      <c r="AA1283" s="13"/>
      <c r="AB1283" s="13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</row>
    <row r="1284" spans="1:46" ht="45" customHeight="1">
      <c r="A1284" s="12" t="s">
        <v>11322</v>
      </c>
      <c r="B1284" s="13" t="s">
        <v>11323</v>
      </c>
      <c r="C1284" s="66" t="s">
        <v>11324</v>
      </c>
      <c r="D1284" s="15" t="s">
        <v>11325</v>
      </c>
      <c r="E1284" s="15" t="s">
        <v>524</v>
      </c>
      <c r="F1284" s="15" t="s">
        <v>524</v>
      </c>
      <c r="G1284" s="15" t="s">
        <v>11326</v>
      </c>
      <c r="H1284" s="15"/>
      <c r="I1284" s="15" t="s">
        <v>80</v>
      </c>
      <c r="J1284" s="15" t="s">
        <v>11326</v>
      </c>
      <c r="K1284" s="15"/>
      <c r="L1284" s="15" t="s">
        <v>80</v>
      </c>
      <c r="M1284" s="145" t="s">
        <v>11327</v>
      </c>
      <c r="N1284" s="15">
        <v>2614858797</v>
      </c>
      <c r="O1284" s="15"/>
      <c r="P1284" s="15" t="s">
        <v>44</v>
      </c>
      <c r="Q1284" s="15" t="s">
        <v>11328</v>
      </c>
      <c r="R1284" s="18">
        <v>19</v>
      </c>
      <c r="S1284" s="19">
        <f t="shared" si="5"/>
        <v>3078</v>
      </c>
      <c r="T1284" s="12" t="s">
        <v>46</v>
      </c>
      <c r="U1284" s="15"/>
      <c r="V1284" s="19">
        <v>44610</v>
      </c>
      <c r="W1284" s="15" t="s">
        <v>71</v>
      </c>
      <c r="X1284" s="15"/>
      <c r="Y1284" s="13"/>
      <c r="Z1284" s="13">
        <v>4493950</v>
      </c>
      <c r="AA1284" s="13"/>
      <c r="AB1284" s="13"/>
      <c r="AC1284" s="15">
        <v>5596664</v>
      </c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</row>
    <row r="1285" spans="1:46" ht="45" customHeight="1">
      <c r="A1285" s="12" t="s">
        <v>11329</v>
      </c>
      <c r="B1285" s="13" t="s">
        <v>11330</v>
      </c>
      <c r="C1285" s="66" t="s">
        <v>11331</v>
      </c>
      <c r="D1285" s="15" t="s">
        <v>2994</v>
      </c>
      <c r="E1285" s="15" t="s">
        <v>11332</v>
      </c>
      <c r="F1285" s="15" t="s">
        <v>11332</v>
      </c>
      <c r="G1285" s="15" t="s">
        <v>11333</v>
      </c>
      <c r="H1285" s="15"/>
      <c r="I1285" s="15" t="s">
        <v>80</v>
      </c>
      <c r="J1285" s="15" t="s">
        <v>11334</v>
      </c>
      <c r="K1285" s="15"/>
      <c r="L1285" s="15" t="s">
        <v>38</v>
      </c>
      <c r="M1285" s="74" t="s">
        <v>2997</v>
      </c>
      <c r="N1285" s="15" t="s">
        <v>11335</v>
      </c>
      <c r="O1285" s="15"/>
      <c r="P1285" s="15" t="s">
        <v>117</v>
      </c>
      <c r="Q1285" s="15" t="s">
        <v>11336</v>
      </c>
      <c r="R1285" s="18">
        <v>504</v>
      </c>
      <c r="S1285" s="19">
        <f t="shared" si="5"/>
        <v>81648</v>
      </c>
      <c r="T1285" s="12" t="s">
        <v>46</v>
      </c>
      <c r="U1285" s="15"/>
      <c r="V1285" s="19">
        <v>44610</v>
      </c>
      <c r="W1285" s="15"/>
      <c r="X1285" s="15"/>
      <c r="Y1285" s="13"/>
      <c r="Z1285" s="13">
        <v>4482651</v>
      </c>
      <c r="AA1285" s="13"/>
      <c r="AB1285" s="13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</row>
    <row r="1286" spans="1:46" ht="45" customHeight="1">
      <c r="A1286" s="12" t="s">
        <v>11337</v>
      </c>
      <c r="B1286" s="13" t="s">
        <v>11338</v>
      </c>
      <c r="C1286" s="66" t="s">
        <v>11339</v>
      </c>
      <c r="D1286" s="15" t="s">
        <v>2994</v>
      </c>
      <c r="E1286" s="15" t="s">
        <v>10647</v>
      </c>
      <c r="F1286" s="15" t="s">
        <v>10647</v>
      </c>
      <c r="G1286" s="15" t="s">
        <v>11333</v>
      </c>
      <c r="H1286" s="15"/>
      <c r="I1286" s="15" t="s">
        <v>80</v>
      </c>
      <c r="J1286" s="15" t="s">
        <v>11340</v>
      </c>
      <c r="K1286" s="15"/>
      <c r="L1286" s="15" t="s">
        <v>6104</v>
      </c>
      <c r="M1286" s="67" t="s">
        <v>2997</v>
      </c>
      <c r="N1286" s="15" t="s">
        <v>10649</v>
      </c>
      <c r="O1286" s="15"/>
      <c r="P1286" s="15" t="s">
        <v>117</v>
      </c>
      <c r="Q1286" s="15" t="s">
        <v>11341</v>
      </c>
      <c r="R1286" s="18">
        <v>546</v>
      </c>
      <c r="S1286" s="19">
        <f t="shared" si="5"/>
        <v>88452</v>
      </c>
      <c r="T1286" s="12" t="s">
        <v>46</v>
      </c>
      <c r="U1286" s="15"/>
      <c r="V1286" s="19">
        <v>44610</v>
      </c>
      <c r="W1286" s="15"/>
      <c r="X1286" s="15"/>
      <c r="Y1286" s="13"/>
      <c r="Z1286" s="13">
        <v>4483074</v>
      </c>
      <c r="AA1286" s="13"/>
      <c r="AB1286" s="13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</row>
    <row r="1287" spans="1:46" ht="45" customHeight="1">
      <c r="A1287" s="12" t="s">
        <v>11342</v>
      </c>
      <c r="B1287" s="13" t="s">
        <v>11343</v>
      </c>
      <c r="C1287" s="66" t="s">
        <v>11344</v>
      </c>
      <c r="D1287" s="15" t="s">
        <v>11345</v>
      </c>
      <c r="E1287" s="15" t="s">
        <v>11346</v>
      </c>
      <c r="F1287" s="15" t="s">
        <v>11346</v>
      </c>
      <c r="G1287" s="15" t="s">
        <v>11347</v>
      </c>
      <c r="H1287" s="15" t="s">
        <v>4791</v>
      </c>
      <c r="I1287" s="15" t="s">
        <v>80</v>
      </c>
      <c r="J1287" s="15" t="s">
        <v>11348</v>
      </c>
      <c r="K1287" s="15" t="s">
        <v>7249</v>
      </c>
      <c r="L1287" s="15" t="s">
        <v>65</v>
      </c>
      <c r="M1287" s="67" t="s">
        <v>11349</v>
      </c>
      <c r="N1287" s="15">
        <v>2616944362</v>
      </c>
      <c r="O1287" s="15"/>
      <c r="P1287" s="15" t="s">
        <v>94</v>
      </c>
      <c r="Q1287" s="15" t="s">
        <v>11350</v>
      </c>
      <c r="R1287" s="18">
        <v>36</v>
      </c>
      <c r="S1287" s="19">
        <f t="shared" si="5"/>
        <v>5832</v>
      </c>
      <c r="T1287" s="12" t="s">
        <v>46</v>
      </c>
      <c r="U1287" s="15"/>
      <c r="V1287" s="19">
        <v>44610</v>
      </c>
      <c r="W1287" s="49" t="s">
        <v>71</v>
      </c>
      <c r="X1287" s="15"/>
      <c r="Y1287" s="13"/>
      <c r="Z1287" s="13">
        <v>4505274</v>
      </c>
      <c r="AA1287" s="13"/>
      <c r="AB1287" s="13"/>
      <c r="AC1287" s="49">
        <v>5629105</v>
      </c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</row>
    <row r="1288" spans="1:46" ht="45" customHeight="1">
      <c r="A1288" s="12" t="s">
        <v>11351</v>
      </c>
      <c r="B1288" s="13" t="s">
        <v>11352</v>
      </c>
      <c r="C1288" s="66" t="s">
        <v>11353</v>
      </c>
      <c r="D1288" s="15" t="s">
        <v>11354</v>
      </c>
      <c r="E1288" s="15" t="s">
        <v>11355</v>
      </c>
      <c r="F1288" s="15" t="s">
        <v>11355</v>
      </c>
      <c r="G1288" s="15" t="s">
        <v>11356</v>
      </c>
      <c r="H1288" s="15"/>
      <c r="I1288" s="15" t="s">
        <v>149</v>
      </c>
      <c r="J1288" s="15" t="s">
        <v>11356</v>
      </c>
      <c r="K1288" s="15"/>
      <c r="L1288" s="15" t="s">
        <v>149</v>
      </c>
      <c r="M1288" s="145" t="s">
        <v>11357</v>
      </c>
      <c r="N1288" s="15">
        <v>2612419667</v>
      </c>
      <c r="O1288" s="15"/>
      <c r="P1288" s="15" t="s">
        <v>7653</v>
      </c>
      <c r="Q1288" s="15" t="s">
        <v>11358</v>
      </c>
      <c r="R1288" s="18">
        <v>320</v>
      </c>
      <c r="S1288" s="19">
        <f t="shared" si="5"/>
        <v>51840</v>
      </c>
      <c r="T1288" s="12" t="s">
        <v>46</v>
      </c>
      <c r="U1288" s="15"/>
      <c r="V1288" s="19">
        <v>44610</v>
      </c>
      <c r="W1288" s="15"/>
      <c r="X1288" s="15"/>
      <c r="Y1288" s="13"/>
      <c r="Z1288" s="13">
        <v>4511781</v>
      </c>
      <c r="AA1288" s="13"/>
      <c r="AB1288" s="13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</row>
    <row r="1289" spans="1:46" ht="45" customHeight="1">
      <c r="A1289" s="12" t="s">
        <v>11359</v>
      </c>
      <c r="B1289" s="13" t="s">
        <v>11360</v>
      </c>
      <c r="C1289" s="197" t="s">
        <v>11361</v>
      </c>
      <c r="D1289" s="15" t="s">
        <v>11362</v>
      </c>
      <c r="E1289" s="15" t="s">
        <v>11363</v>
      </c>
      <c r="F1289" s="15" t="s">
        <v>11363</v>
      </c>
      <c r="G1289" s="15" t="s">
        <v>11364</v>
      </c>
      <c r="H1289" s="15"/>
      <c r="I1289" s="15" t="s">
        <v>80</v>
      </c>
      <c r="J1289" s="15" t="s">
        <v>11364</v>
      </c>
      <c r="K1289" s="15"/>
      <c r="L1289" s="15" t="s">
        <v>80</v>
      </c>
      <c r="M1289" s="67" t="s">
        <v>11365</v>
      </c>
      <c r="N1289" s="15">
        <v>2616631257</v>
      </c>
      <c r="O1289" s="15"/>
      <c r="P1289" s="49" t="s">
        <v>8075</v>
      </c>
      <c r="Q1289" s="15" t="s">
        <v>11366</v>
      </c>
      <c r="R1289" s="18">
        <v>11</v>
      </c>
      <c r="S1289" s="19">
        <f t="shared" si="5"/>
        <v>1782</v>
      </c>
      <c r="T1289" s="12" t="s">
        <v>46</v>
      </c>
      <c r="U1289" s="15"/>
      <c r="V1289" s="19">
        <v>44610</v>
      </c>
      <c r="W1289" s="49" t="s">
        <v>71</v>
      </c>
      <c r="X1289" s="15"/>
      <c r="Y1289" s="13"/>
      <c r="Z1289" s="13">
        <v>4532817</v>
      </c>
      <c r="AA1289" s="13"/>
      <c r="AB1289" s="13"/>
      <c r="AC1289" s="49">
        <v>5531156</v>
      </c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</row>
    <row r="1290" spans="1:46" ht="45" customHeight="1">
      <c r="A1290" s="12" t="s">
        <v>11367</v>
      </c>
      <c r="B1290" s="47" t="s">
        <v>11368</v>
      </c>
      <c r="C1290" s="197" t="s">
        <v>11369</v>
      </c>
      <c r="D1290" s="49" t="s">
        <v>7895</v>
      </c>
      <c r="E1290" s="15" t="s">
        <v>524</v>
      </c>
      <c r="F1290" s="15" t="s">
        <v>524</v>
      </c>
      <c r="G1290" s="15" t="s">
        <v>11370</v>
      </c>
      <c r="H1290" s="15"/>
      <c r="I1290" s="15" t="s">
        <v>38</v>
      </c>
      <c r="J1290" s="15" t="s">
        <v>11370</v>
      </c>
      <c r="K1290" s="15"/>
      <c r="L1290" s="15" t="s">
        <v>38</v>
      </c>
      <c r="M1290" s="217" t="s">
        <v>11371</v>
      </c>
      <c r="N1290" s="15">
        <v>2615325551</v>
      </c>
      <c r="O1290" s="15"/>
      <c r="P1290" s="15" t="s">
        <v>44</v>
      </c>
      <c r="Q1290" s="15" t="s">
        <v>11372</v>
      </c>
      <c r="R1290" s="18">
        <v>43</v>
      </c>
      <c r="S1290" s="19">
        <f t="shared" si="5"/>
        <v>6966</v>
      </c>
      <c r="T1290" s="12" t="s">
        <v>46</v>
      </c>
      <c r="U1290" s="15"/>
      <c r="V1290" s="19">
        <v>44610</v>
      </c>
      <c r="W1290" s="49" t="s">
        <v>71</v>
      </c>
      <c r="X1290" s="15"/>
      <c r="Y1290" s="13"/>
      <c r="Z1290" s="13">
        <v>453377</v>
      </c>
      <c r="AA1290" s="13"/>
      <c r="AB1290" s="13"/>
      <c r="AC1290" s="49">
        <v>5637206</v>
      </c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</row>
    <row r="1291" spans="1:46" ht="45" customHeight="1">
      <c r="A1291" s="12" t="s">
        <v>11373</v>
      </c>
      <c r="B1291" s="13" t="s">
        <v>11374</v>
      </c>
      <c r="C1291" s="66" t="s">
        <v>11375</v>
      </c>
      <c r="D1291" s="15" t="s">
        <v>11376</v>
      </c>
      <c r="E1291" s="15" t="s">
        <v>11355</v>
      </c>
      <c r="F1291" s="15" t="s">
        <v>11355</v>
      </c>
      <c r="G1291" s="15" t="s">
        <v>11377</v>
      </c>
      <c r="H1291" s="15"/>
      <c r="I1291" s="15" t="s">
        <v>38</v>
      </c>
      <c r="J1291" s="15" t="s">
        <v>11377</v>
      </c>
      <c r="K1291" s="15"/>
      <c r="L1291" s="15" t="s">
        <v>38</v>
      </c>
      <c r="M1291" s="67" t="s">
        <v>11378</v>
      </c>
      <c r="N1291" s="15" t="s">
        <v>11379</v>
      </c>
      <c r="O1291" s="15"/>
      <c r="P1291" s="15" t="s">
        <v>44</v>
      </c>
      <c r="Q1291" s="15" t="s">
        <v>11380</v>
      </c>
      <c r="R1291" s="18">
        <v>48</v>
      </c>
      <c r="S1291" s="19">
        <f t="shared" si="5"/>
        <v>7776</v>
      </c>
      <c r="T1291" s="12" t="s">
        <v>46</v>
      </c>
      <c r="U1291" s="15"/>
      <c r="V1291" s="19">
        <v>44610</v>
      </c>
      <c r="W1291" s="15" t="s">
        <v>71</v>
      </c>
      <c r="X1291" s="15"/>
      <c r="Y1291" s="13"/>
      <c r="Z1291" s="13">
        <v>4541569</v>
      </c>
      <c r="AA1291" s="13"/>
      <c r="AB1291" s="13"/>
      <c r="AC1291" s="49">
        <v>5637134</v>
      </c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</row>
    <row r="1292" spans="1:46" ht="45" customHeight="1">
      <c r="A1292" s="12" t="s">
        <v>11381</v>
      </c>
      <c r="B1292" s="13" t="s">
        <v>11382</v>
      </c>
      <c r="C1292" s="66" t="s">
        <v>11383</v>
      </c>
      <c r="D1292" s="15" t="s">
        <v>11384</v>
      </c>
      <c r="E1292" s="15" t="s">
        <v>524</v>
      </c>
      <c r="F1292" s="15" t="s">
        <v>524</v>
      </c>
      <c r="G1292" s="15" t="s">
        <v>11385</v>
      </c>
      <c r="H1292" s="15"/>
      <c r="I1292" s="15" t="s">
        <v>149</v>
      </c>
      <c r="J1292" s="15" t="s">
        <v>11386</v>
      </c>
      <c r="K1292" s="15"/>
      <c r="L1292" s="15" t="s">
        <v>149</v>
      </c>
      <c r="M1292" s="217" t="s">
        <v>11387</v>
      </c>
      <c r="N1292" s="15">
        <v>2617001133</v>
      </c>
      <c r="O1292" s="15"/>
      <c r="P1292" s="15" t="s">
        <v>44</v>
      </c>
      <c r="Q1292" s="15" t="s">
        <v>11388</v>
      </c>
      <c r="R1292" s="18">
        <v>36</v>
      </c>
      <c r="S1292" s="19">
        <f t="shared" si="5"/>
        <v>5832</v>
      </c>
      <c r="T1292" s="12" t="s">
        <v>46</v>
      </c>
      <c r="U1292" s="15"/>
      <c r="V1292" s="19">
        <v>44610</v>
      </c>
      <c r="W1292" s="15"/>
      <c r="X1292" s="15"/>
      <c r="Y1292" s="13"/>
      <c r="Z1292" s="13">
        <v>4526368</v>
      </c>
      <c r="AA1292" s="13"/>
      <c r="AB1292" s="13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</row>
    <row r="1293" spans="1:46" ht="45" customHeight="1">
      <c r="A1293" s="12" t="s">
        <v>11389</v>
      </c>
      <c r="B1293" s="13" t="s">
        <v>11390</v>
      </c>
      <c r="C1293" s="66" t="s">
        <v>11391</v>
      </c>
      <c r="D1293" s="15" t="s">
        <v>11392</v>
      </c>
      <c r="E1293" s="15" t="s">
        <v>11393</v>
      </c>
      <c r="F1293" s="15" t="s">
        <v>11393</v>
      </c>
      <c r="G1293" s="15" t="s">
        <v>11394</v>
      </c>
      <c r="H1293" s="15"/>
      <c r="I1293" s="15" t="s">
        <v>53</v>
      </c>
      <c r="J1293" s="15" t="s">
        <v>11394</v>
      </c>
      <c r="K1293" s="15"/>
      <c r="L1293" s="15" t="s">
        <v>53</v>
      </c>
      <c r="M1293" s="217" t="s">
        <v>11395</v>
      </c>
      <c r="N1293" s="15">
        <v>2616790667</v>
      </c>
      <c r="O1293" s="15"/>
      <c r="P1293" s="15" t="s">
        <v>94</v>
      </c>
      <c r="Q1293" s="15" t="s">
        <v>11396</v>
      </c>
      <c r="R1293" s="18">
        <v>75</v>
      </c>
      <c r="S1293" s="19">
        <f t="shared" si="5"/>
        <v>12150</v>
      </c>
      <c r="T1293" s="12" t="s">
        <v>46</v>
      </c>
      <c r="U1293" s="15"/>
      <c r="V1293" s="19">
        <v>44610</v>
      </c>
      <c r="W1293" s="15" t="s">
        <v>71</v>
      </c>
      <c r="X1293" s="15"/>
      <c r="Y1293" s="13">
        <v>3781075</v>
      </c>
      <c r="Z1293" s="13"/>
      <c r="AA1293" s="13"/>
      <c r="AB1293" s="13"/>
      <c r="AC1293" s="15">
        <v>5532815</v>
      </c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</row>
    <row r="1294" spans="1:46" ht="45" customHeight="1">
      <c r="A1294" s="21" t="s">
        <v>11397</v>
      </c>
      <c r="B1294" s="13" t="s">
        <v>11398</v>
      </c>
      <c r="C1294" s="66" t="s">
        <v>11399</v>
      </c>
      <c r="D1294" s="15" t="s">
        <v>11400</v>
      </c>
      <c r="E1294" s="15"/>
      <c r="F1294" s="15"/>
      <c r="G1294" s="15" t="s">
        <v>11401</v>
      </c>
      <c r="H1294" s="15" t="s">
        <v>65</v>
      </c>
      <c r="I1294" s="15" t="s">
        <v>65</v>
      </c>
      <c r="J1294" s="15" t="s">
        <v>11401</v>
      </c>
      <c r="K1294" s="15" t="s">
        <v>65</v>
      </c>
      <c r="L1294" s="15" t="s">
        <v>65</v>
      </c>
      <c r="M1294" s="16" t="s">
        <v>11402</v>
      </c>
      <c r="N1294" s="15">
        <v>357244176</v>
      </c>
      <c r="O1294" s="15"/>
      <c r="P1294" s="15" t="s">
        <v>117</v>
      </c>
      <c r="Q1294" s="15" t="s">
        <v>11403</v>
      </c>
      <c r="R1294" s="29">
        <v>782</v>
      </c>
      <c r="S1294" s="30">
        <f t="shared" si="5"/>
        <v>126684</v>
      </c>
      <c r="T1294" s="12" t="s">
        <v>252</v>
      </c>
      <c r="U1294" s="15"/>
      <c r="V1294" s="30">
        <v>123900</v>
      </c>
      <c r="W1294" s="15" t="s">
        <v>71</v>
      </c>
      <c r="X1294" s="15"/>
      <c r="Y1294" s="13"/>
      <c r="Z1294" s="13"/>
      <c r="AA1294" s="47">
        <v>4688202</v>
      </c>
      <c r="AB1294" s="13"/>
      <c r="AC1294" s="15">
        <v>5633242</v>
      </c>
      <c r="AD1294" s="49">
        <v>6481497</v>
      </c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</row>
    <row r="1295" spans="1:46" ht="45" customHeight="1">
      <c r="A1295" s="12" t="s">
        <v>11404</v>
      </c>
      <c r="B1295" s="13" t="s">
        <v>11405</v>
      </c>
      <c r="C1295" s="66" t="s">
        <v>11406</v>
      </c>
      <c r="D1295" s="15" t="s">
        <v>11407</v>
      </c>
      <c r="E1295" s="15" t="s">
        <v>8178</v>
      </c>
      <c r="F1295" s="15" t="s">
        <v>8178</v>
      </c>
      <c r="G1295" s="15" t="s">
        <v>11408</v>
      </c>
      <c r="H1295" s="15"/>
      <c r="I1295" s="15" t="s">
        <v>149</v>
      </c>
      <c r="J1295" s="15" t="s">
        <v>11408</v>
      </c>
      <c r="K1295" s="15"/>
      <c r="L1295" s="15" t="s">
        <v>149</v>
      </c>
      <c r="M1295" s="217" t="s">
        <v>11409</v>
      </c>
      <c r="N1295" s="15">
        <v>2614541012</v>
      </c>
      <c r="O1295" s="15"/>
      <c r="P1295" s="15" t="s">
        <v>44</v>
      </c>
      <c r="Q1295" s="15" t="s">
        <v>11410</v>
      </c>
      <c r="R1295" s="18">
        <v>30</v>
      </c>
      <c r="S1295" s="19">
        <f t="shared" si="5"/>
        <v>4860</v>
      </c>
      <c r="T1295" s="12" t="s">
        <v>46</v>
      </c>
      <c r="U1295" s="15"/>
      <c r="V1295" s="19">
        <v>44610</v>
      </c>
      <c r="W1295" s="15"/>
      <c r="X1295" s="15"/>
      <c r="Y1295" s="13"/>
      <c r="Z1295" s="13">
        <v>4549402</v>
      </c>
      <c r="AA1295" s="13"/>
      <c r="AB1295" s="13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</row>
    <row r="1296" spans="1:46" ht="45" customHeight="1">
      <c r="A1296" s="12" t="s">
        <v>11411</v>
      </c>
      <c r="B1296" s="13" t="s">
        <v>11412</v>
      </c>
      <c r="C1296" s="66" t="s">
        <v>11413</v>
      </c>
      <c r="D1296" s="15" t="s">
        <v>11414</v>
      </c>
      <c r="E1296" s="15" t="s">
        <v>7991</v>
      </c>
      <c r="F1296" s="15" t="s">
        <v>7991</v>
      </c>
      <c r="G1296" s="15" t="s">
        <v>11415</v>
      </c>
      <c r="H1296" s="15"/>
      <c r="I1296" s="15" t="s">
        <v>8513</v>
      </c>
      <c r="J1296" s="15" t="s">
        <v>11415</v>
      </c>
      <c r="K1296" s="15"/>
      <c r="L1296" s="15" t="s">
        <v>8513</v>
      </c>
      <c r="M1296" s="217" t="s">
        <v>11416</v>
      </c>
      <c r="N1296" s="15" t="s">
        <v>11417</v>
      </c>
      <c r="O1296" s="15"/>
      <c r="P1296" s="15" t="s">
        <v>94</v>
      </c>
      <c r="Q1296" s="15" t="s">
        <v>11418</v>
      </c>
      <c r="R1296" s="18">
        <v>214</v>
      </c>
      <c r="S1296" s="19">
        <f t="shared" si="5"/>
        <v>34668</v>
      </c>
      <c r="T1296" s="12" t="s">
        <v>46</v>
      </c>
      <c r="U1296" s="15"/>
      <c r="V1296" s="19">
        <v>44610</v>
      </c>
      <c r="W1296" s="15" t="s">
        <v>71</v>
      </c>
      <c r="X1296" s="15"/>
      <c r="Y1296" s="13"/>
      <c r="Z1296" s="13"/>
      <c r="AA1296" s="13">
        <v>4612299</v>
      </c>
      <c r="AB1296" s="13"/>
      <c r="AC1296" s="15">
        <v>5511582</v>
      </c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</row>
    <row r="1297" spans="1:46" ht="45" customHeight="1">
      <c r="A1297" s="12" t="s">
        <v>11419</v>
      </c>
      <c r="B1297" s="13" t="s">
        <v>11420</v>
      </c>
      <c r="C1297" s="66" t="s">
        <v>11421</v>
      </c>
      <c r="D1297" s="15" t="s">
        <v>11422</v>
      </c>
      <c r="E1297" s="15" t="s">
        <v>9099</v>
      </c>
      <c r="F1297" s="15" t="s">
        <v>9099</v>
      </c>
      <c r="G1297" s="15" t="s">
        <v>11423</v>
      </c>
      <c r="H1297" s="15"/>
      <c r="I1297" s="15" t="s">
        <v>53</v>
      </c>
      <c r="J1297" s="15" t="s">
        <v>11424</v>
      </c>
      <c r="K1297" s="15"/>
      <c r="L1297" s="15" t="s">
        <v>1279</v>
      </c>
      <c r="M1297" s="67" t="s">
        <v>7062</v>
      </c>
      <c r="N1297" s="15" t="s">
        <v>11425</v>
      </c>
      <c r="O1297" s="15"/>
      <c r="P1297" s="15" t="s">
        <v>94</v>
      </c>
      <c r="Q1297" s="15" t="s">
        <v>11426</v>
      </c>
      <c r="R1297" s="18">
        <v>348</v>
      </c>
      <c r="S1297" s="19">
        <f t="shared" si="5"/>
        <v>56376</v>
      </c>
      <c r="T1297" s="12" t="s">
        <v>46</v>
      </c>
      <c r="U1297" s="15"/>
      <c r="V1297" s="19">
        <v>44610</v>
      </c>
      <c r="W1297" s="15"/>
      <c r="X1297" s="15"/>
      <c r="Y1297" s="13"/>
      <c r="Z1297" s="13"/>
      <c r="AA1297" s="13">
        <v>4591056</v>
      </c>
      <c r="AB1297" s="13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</row>
    <row r="1298" spans="1:46" ht="45" customHeight="1">
      <c r="A1298" s="12" t="s">
        <v>11427</v>
      </c>
      <c r="B1298" s="13" t="s">
        <v>11428</v>
      </c>
      <c r="C1298" s="66" t="s">
        <v>11429</v>
      </c>
      <c r="D1298" s="15" t="s">
        <v>9098</v>
      </c>
      <c r="E1298" s="15" t="s">
        <v>9099</v>
      </c>
      <c r="F1298" s="15" t="s">
        <v>9099</v>
      </c>
      <c r="G1298" s="15" t="s">
        <v>11423</v>
      </c>
      <c r="H1298" s="15"/>
      <c r="I1298" s="15" t="s">
        <v>53</v>
      </c>
      <c r="J1298" s="15" t="s">
        <v>11430</v>
      </c>
      <c r="K1298" s="15"/>
      <c r="L1298" s="15" t="s">
        <v>41</v>
      </c>
      <c r="M1298" s="67" t="s">
        <v>7062</v>
      </c>
      <c r="N1298" s="15" t="s">
        <v>11425</v>
      </c>
      <c r="O1298" s="15"/>
      <c r="P1298" s="15" t="s">
        <v>117</v>
      </c>
      <c r="Q1298" s="15" t="s">
        <v>11431</v>
      </c>
      <c r="R1298" s="18">
        <v>119</v>
      </c>
      <c r="S1298" s="19">
        <f t="shared" si="5"/>
        <v>19278</v>
      </c>
      <c r="T1298" s="12" t="s">
        <v>46</v>
      </c>
      <c r="U1298" s="15"/>
      <c r="V1298" s="19">
        <v>44610</v>
      </c>
      <c r="W1298" s="15"/>
      <c r="X1298" s="15"/>
      <c r="Y1298" s="13"/>
      <c r="Z1298" s="13"/>
      <c r="AA1298" s="13">
        <v>4591594</v>
      </c>
      <c r="AB1298" s="13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</row>
    <row r="1299" spans="1:46" ht="45" customHeight="1">
      <c r="A1299" s="12" t="s">
        <v>11432</v>
      </c>
      <c r="B1299" s="13" t="s">
        <v>11433</v>
      </c>
      <c r="C1299" s="66" t="s">
        <v>11434</v>
      </c>
      <c r="D1299" s="15" t="s">
        <v>9098</v>
      </c>
      <c r="E1299" s="15" t="s">
        <v>9099</v>
      </c>
      <c r="F1299" s="15" t="s">
        <v>9099</v>
      </c>
      <c r="G1299" s="15" t="s">
        <v>11423</v>
      </c>
      <c r="H1299" s="15"/>
      <c r="I1299" s="15" t="s">
        <v>53</v>
      </c>
      <c r="J1299" s="15" t="s">
        <v>11435</v>
      </c>
      <c r="K1299" s="15"/>
      <c r="L1299" s="15" t="s">
        <v>1279</v>
      </c>
      <c r="M1299" s="67" t="s">
        <v>7062</v>
      </c>
      <c r="N1299" s="15" t="s">
        <v>11425</v>
      </c>
      <c r="O1299" s="15"/>
      <c r="P1299" s="15" t="s">
        <v>94</v>
      </c>
      <c r="Q1299" s="15" t="s">
        <v>11436</v>
      </c>
      <c r="R1299" s="18">
        <v>64</v>
      </c>
      <c r="S1299" s="19">
        <f t="shared" si="5"/>
        <v>10368</v>
      </c>
      <c r="T1299" s="12" t="s">
        <v>46</v>
      </c>
      <c r="U1299" s="15"/>
      <c r="V1299" s="19">
        <v>44610</v>
      </c>
      <c r="W1299" s="15"/>
      <c r="X1299" s="15"/>
      <c r="Y1299" s="13"/>
      <c r="Z1299" s="13"/>
      <c r="AA1299" s="13">
        <v>4591513</v>
      </c>
      <c r="AB1299" s="13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</row>
    <row r="1300" spans="1:46" ht="45" customHeight="1">
      <c r="A1300" s="12" t="s">
        <v>11437</v>
      </c>
      <c r="B1300" s="13" t="s">
        <v>11438</v>
      </c>
      <c r="C1300" s="66" t="s">
        <v>11439</v>
      </c>
      <c r="D1300" s="15" t="s">
        <v>9098</v>
      </c>
      <c r="E1300" s="15" t="s">
        <v>9099</v>
      </c>
      <c r="F1300" s="15" t="s">
        <v>9099</v>
      </c>
      <c r="G1300" s="15" t="s">
        <v>11423</v>
      </c>
      <c r="H1300" s="15"/>
      <c r="I1300" s="15" t="s">
        <v>53</v>
      </c>
      <c r="J1300" s="15" t="s">
        <v>11440</v>
      </c>
      <c r="K1300" s="15"/>
      <c r="L1300" s="15" t="s">
        <v>7704</v>
      </c>
      <c r="M1300" s="67" t="s">
        <v>7062</v>
      </c>
      <c r="N1300" s="15" t="s">
        <v>11425</v>
      </c>
      <c r="O1300" s="15"/>
      <c r="P1300" s="15" t="s">
        <v>117</v>
      </c>
      <c r="Q1300" s="15" t="s">
        <v>11441</v>
      </c>
      <c r="R1300" s="18">
        <v>177</v>
      </c>
      <c r="S1300" s="19">
        <f t="shared" si="5"/>
        <v>28674</v>
      </c>
      <c r="T1300" s="12" t="s">
        <v>46</v>
      </c>
      <c r="U1300" s="15"/>
      <c r="V1300" s="19">
        <v>44610</v>
      </c>
      <c r="W1300" s="15"/>
      <c r="X1300" s="15"/>
      <c r="Y1300" s="13"/>
      <c r="Z1300" s="13"/>
      <c r="AA1300" s="13">
        <v>4591641</v>
      </c>
      <c r="AB1300" s="13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</row>
    <row r="1301" spans="1:46" ht="45" customHeight="1">
      <c r="A1301" s="12" t="s">
        <v>11442</v>
      </c>
      <c r="B1301" s="13" t="s">
        <v>11443</v>
      </c>
      <c r="C1301" s="66" t="s">
        <v>11444</v>
      </c>
      <c r="D1301" s="15" t="s">
        <v>4946</v>
      </c>
      <c r="E1301" s="15" t="s">
        <v>7991</v>
      </c>
      <c r="F1301" s="15" t="s">
        <v>7991</v>
      </c>
      <c r="G1301" s="15" t="s">
        <v>11445</v>
      </c>
      <c r="H1301" s="15"/>
      <c r="I1301" s="15" t="s">
        <v>6584</v>
      </c>
      <c r="J1301" s="15" t="s">
        <v>11445</v>
      </c>
      <c r="K1301" s="15"/>
      <c r="L1301" s="15" t="s">
        <v>6584</v>
      </c>
      <c r="M1301" s="217" t="s">
        <v>11446</v>
      </c>
      <c r="N1301" s="15" t="s">
        <v>11447</v>
      </c>
      <c r="O1301" s="15"/>
      <c r="P1301" s="15" t="s">
        <v>94</v>
      </c>
      <c r="Q1301" s="15" t="s">
        <v>11448</v>
      </c>
      <c r="R1301" s="18">
        <v>176</v>
      </c>
      <c r="S1301" s="19">
        <f t="shared" si="5"/>
        <v>28512</v>
      </c>
      <c r="T1301" s="12" t="s">
        <v>46</v>
      </c>
      <c r="U1301" s="15"/>
      <c r="V1301" s="19">
        <v>44610</v>
      </c>
      <c r="W1301" s="49" t="s">
        <v>71</v>
      </c>
      <c r="X1301" s="15"/>
      <c r="Y1301" s="13"/>
      <c r="Z1301" s="13"/>
      <c r="AA1301" s="13">
        <v>4634453</v>
      </c>
      <c r="AB1301" s="13"/>
      <c r="AC1301" s="49">
        <v>5637545</v>
      </c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</row>
    <row r="1302" spans="1:46" ht="45" customHeight="1">
      <c r="A1302" s="12" t="s">
        <v>11449</v>
      </c>
      <c r="B1302" s="13" t="s">
        <v>11450</v>
      </c>
      <c r="C1302" s="66" t="s">
        <v>11451</v>
      </c>
      <c r="D1302" s="15" t="s">
        <v>11452</v>
      </c>
      <c r="E1302" s="15" t="s">
        <v>11453</v>
      </c>
      <c r="F1302" s="15" t="s">
        <v>11453</v>
      </c>
      <c r="G1302" s="15" t="s">
        <v>11454</v>
      </c>
      <c r="H1302" s="15" t="s">
        <v>1058</v>
      </c>
      <c r="I1302" s="15" t="s">
        <v>7704</v>
      </c>
      <c r="J1302" s="15" t="s">
        <v>11454</v>
      </c>
      <c r="K1302" s="15" t="s">
        <v>1058</v>
      </c>
      <c r="L1302" s="15" t="s">
        <v>7704</v>
      </c>
      <c r="M1302" s="16" t="s">
        <v>11455</v>
      </c>
      <c r="N1302" s="15">
        <v>2614662782</v>
      </c>
      <c r="O1302" s="15"/>
      <c r="P1302" s="15" t="s">
        <v>117</v>
      </c>
      <c r="Q1302" s="15" t="s">
        <v>11456</v>
      </c>
      <c r="R1302" s="18">
        <v>250</v>
      </c>
      <c r="S1302" s="19">
        <f t="shared" si="5"/>
        <v>40500</v>
      </c>
      <c r="T1302" s="12" t="s">
        <v>46</v>
      </c>
      <c r="U1302" s="15"/>
      <c r="V1302" s="19">
        <v>44610</v>
      </c>
      <c r="W1302" s="15" t="s">
        <v>71</v>
      </c>
      <c r="X1302" s="15"/>
      <c r="Y1302" s="13"/>
      <c r="Z1302" s="13"/>
      <c r="AA1302" s="13">
        <v>4642570</v>
      </c>
      <c r="AB1302" s="13"/>
      <c r="AC1302" s="15">
        <v>5569278</v>
      </c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</row>
    <row r="1303" spans="1:46" ht="45" customHeight="1">
      <c r="A1303" s="79" t="s">
        <v>11457</v>
      </c>
      <c r="B1303" s="80" t="s">
        <v>11458</v>
      </c>
      <c r="C1303" s="223" t="s">
        <v>11459</v>
      </c>
      <c r="D1303" s="82" t="s">
        <v>5716</v>
      </c>
      <c r="E1303" s="82" t="s">
        <v>11460</v>
      </c>
      <c r="F1303" s="82" t="s">
        <v>11460</v>
      </c>
      <c r="G1303" s="82" t="s">
        <v>11461</v>
      </c>
      <c r="H1303" s="82" t="s">
        <v>2652</v>
      </c>
      <c r="I1303" s="82" t="s">
        <v>53</v>
      </c>
      <c r="J1303" s="82" t="s">
        <v>11461</v>
      </c>
      <c r="K1303" s="82" t="s">
        <v>11462</v>
      </c>
      <c r="L1303" s="82" t="s">
        <v>53</v>
      </c>
      <c r="M1303" s="91" t="s">
        <v>11463</v>
      </c>
      <c r="N1303" s="82">
        <v>4611470</v>
      </c>
      <c r="O1303" s="82"/>
      <c r="P1303" s="82" t="s">
        <v>151</v>
      </c>
      <c r="Q1303" s="82" t="s">
        <v>11464</v>
      </c>
      <c r="R1303" s="85" t="s">
        <v>770</v>
      </c>
      <c r="S1303" s="86" t="e">
        <f t="shared" si="5"/>
        <v>#VALUE!</v>
      </c>
      <c r="T1303" s="87" t="s">
        <v>770</v>
      </c>
      <c r="U1303" s="82"/>
      <c r="V1303" s="86">
        <v>0</v>
      </c>
      <c r="W1303" s="82"/>
      <c r="X1303" s="82"/>
      <c r="Y1303" s="80"/>
      <c r="Z1303" s="80"/>
      <c r="AA1303" s="80">
        <v>4677483</v>
      </c>
      <c r="AB1303" s="80"/>
      <c r="AC1303" s="82"/>
      <c r="AD1303" s="82"/>
      <c r="AE1303" s="82"/>
      <c r="AF1303" s="82"/>
      <c r="AG1303" s="82"/>
      <c r="AH1303" s="82"/>
      <c r="AI1303" s="82"/>
      <c r="AJ1303" s="82"/>
      <c r="AK1303" s="82"/>
      <c r="AL1303" s="82"/>
      <c r="AM1303" s="82"/>
      <c r="AN1303" s="82"/>
      <c r="AO1303" s="82"/>
      <c r="AP1303" s="82"/>
      <c r="AQ1303" s="82"/>
      <c r="AR1303" s="82"/>
      <c r="AS1303" s="82"/>
      <c r="AT1303" s="82"/>
    </row>
    <row r="1304" spans="1:46" ht="45" customHeight="1">
      <c r="A1304" s="12" t="s">
        <v>11465</v>
      </c>
      <c r="B1304" s="13" t="s">
        <v>11466</v>
      </c>
      <c r="C1304" s="66" t="s">
        <v>11467</v>
      </c>
      <c r="D1304" s="15" t="s">
        <v>11468</v>
      </c>
      <c r="E1304" s="15" t="s">
        <v>3020</v>
      </c>
      <c r="F1304" s="15" t="s">
        <v>3020</v>
      </c>
      <c r="G1304" s="15" t="s">
        <v>11469</v>
      </c>
      <c r="H1304" s="15" t="s">
        <v>1279</v>
      </c>
      <c r="I1304" s="15" t="s">
        <v>1279</v>
      </c>
      <c r="J1304" s="15" t="s">
        <v>11469</v>
      </c>
      <c r="K1304" s="15" t="s">
        <v>1279</v>
      </c>
      <c r="L1304" s="15" t="s">
        <v>1279</v>
      </c>
      <c r="M1304" s="16" t="s">
        <v>11470</v>
      </c>
      <c r="N1304" s="15">
        <v>2614606855</v>
      </c>
      <c r="O1304" s="15"/>
      <c r="P1304" s="15" t="s">
        <v>44</v>
      </c>
      <c r="Q1304" s="15" t="s">
        <v>11471</v>
      </c>
      <c r="R1304" s="18">
        <v>420</v>
      </c>
      <c r="S1304" s="19">
        <f t="shared" si="5"/>
        <v>68040</v>
      </c>
      <c r="T1304" s="12" t="s">
        <v>46</v>
      </c>
      <c r="U1304" s="15"/>
      <c r="V1304" s="19">
        <v>44610</v>
      </c>
      <c r="W1304" s="15" t="s">
        <v>71</v>
      </c>
      <c r="X1304" s="15"/>
      <c r="Y1304" s="13"/>
      <c r="Z1304" s="13"/>
      <c r="AA1304" s="13">
        <v>4636928</v>
      </c>
      <c r="AB1304" s="13"/>
      <c r="AC1304" s="15">
        <v>5607229</v>
      </c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</row>
    <row r="1305" spans="1:46" ht="45" customHeight="1">
      <c r="A1305" s="21" t="s">
        <v>11472</v>
      </c>
      <c r="B1305" s="13" t="s">
        <v>11473</v>
      </c>
      <c r="C1305" s="197" t="s">
        <v>11474</v>
      </c>
      <c r="D1305" s="15" t="s">
        <v>11475</v>
      </c>
      <c r="E1305" s="15" t="s">
        <v>11476</v>
      </c>
      <c r="F1305" s="15" t="s">
        <v>11476</v>
      </c>
      <c r="G1305" s="15" t="s">
        <v>11477</v>
      </c>
      <c r="H1305" s="15" t="s">
        <v>149</v>
      </c>
      <c r="I1305" s="15" t="s">
        <v>149</v>
      </c>
      <c r="J1305" s="15" t="s">
        <v>11477</v>
      </c>
      <c r="K1305" s="15" t="s">
        <v>149</v>
      </c>
      <c r="L1305" s="15" t="s">
        <v>149</v>
      </c>
      <c r="M1305" s="67" t="s">
        <v>11478</v>
      </c>
      <c r="N1305" s="15">
        <v>1130300040</v>
      </c>
      <c r="O1305" s="15"/>
      <c r="P1305" s="15" t="s">
        <v>11479</v>
      </c>
      <c r="Q1305" s="15" t="s">
        <v>11480</v>
      </c>
      <c r="R1305" s="29">
        <v>15757</v>
      </c>
      <c r="S1305" s="30">
        <f t="shared" si="5"/>
        <v>2552634</v>
      </c>
      <c r="T1305" s="12" t="s">
        <v>70</v>
      </c>
      <c r="U1305" s="15"/>
      <c r="V1305" s="30">
        <f>S1305</f>
        <v>2552634</v>
      </c>
      <c r="W1305" s="15"/>
      <c r="X1305" s="15"/>
      <c r="Y1305" s="13"/>
      <c r="Z1305" s="13"/>
      <c r="AA1305" s="13">
        <v>4626853</v>
      </c>
      <c r="AB1305" s="13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</row>
    <row r="1306" spans="1:46" ht="45" customHeight="1">
      <c r="A1306" s="12" t="s">
        <v>11481</v>
      </c>
      <c r="B1306" s="13" t="s">
        <v>11482</v>
      </c>
      <c r="C1306" s="66" t="s">
        <v>11483</v>
      </c>
      <c r="D1306" s="15" t="s">
        <v>11484</v>
      </c>
      <c r="E1306" s="15" t="s">
        <v>11485</v>
      </c>
      <c r="F1306" s="15" t="s">
        <v>11485</v>
      </c>
      <c r="G1306" s="15" t="s">
        <v>11486</v>
      </c>
      <c r="H1306" s="15" t="s">
        <v>38</v>
      </c>
      <c r="I1306" s="15" t="s">
        <v>38</v>
      </c>
      <c r="J1306" s="15" t="s">
        <v>11486</v>
      </c>
      <c r="K1306" s="15" t="s">
        <v>38</v>
      </c>
      <c r="L1306" s="15" t="s">
        <v>38</v>
      </c>
      <c r="M1306" s="16" t="s">
        <v>1979</v>
      </c>
      <c r="N1306" s="15">
        <v>2615444803</v>
      </c>
      <c r="O1306" s="15"/>
      <c r="P1306" s="15" t="s">
        <v>94</v>
      </c>
      <c r="Q1306" s="15" t="s">
        <v>11487</v>
      </c>
      <c r="R1306" s="18">
        <v>105</v>
      </c>
      <c r="S1306" s="19">
        <f t="shared" si="5"/>
        <v>17010</v>
      </c>
      <c r="T1306" s="12" t="s">
        <v>46</v>
      </c>
      <c r="U1306" s="15"/>
      <c r="V1306" s="19">
        <v>44610</v>
      </c>
      <c r="W1306" s="15" t="s">
        <v>47</v>
      </c>
      <c r="X1306" s="15"/>
      <c r="Y1306" s="13"/>
      <c r="Z1306" s="13"/>
      <c r="AA1306" s="13">
        <v>4669696</v>
      </c>
      <c r="AB1306" s="13"/>
      <c r="AC1306" s="15">
        <v>5518555</v>
      </c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</row>
    <row r="1307" spans="1:46" ht="45" customHeight="1">
      <c r="A1307" s="12" t="s">
        <v>11488</v>
      </c>
      <c r="B1307" s="13" t="s">
        <v>11489</v>
      </c>
      <c r="C1307" s="66" t="s">
        <v>11490</v>
      </c>
      <c r="D1307" s="15" t="s">
        <v>11491</v>
      </c>
      <c r="E1307" s="15" t="s">
        <v>11492</v>
      </c>
      <c r="F1307" s="15" t="s">
        <v>11492</v>
      </c>
      <c r="G1307" s="15" t="s">
        <v>11493</v>
      </c>
      <c r="H1307" s="15" t="s">
        <v>11494</v>
      </c>
      <c r="I1307" s="15" t="s">
        <v>11494</v>
      </c>
      <c r="J1307" s="15" t="s">
        <v>11495</v>
      </c>
      <c r="K1307" s="15" t="s">
        <v>1058</v>
      </c>
      <c r="L1307" s="15" t="s">
        <v>7704</v>
      </c>
      <c r="M1307" s="16" t="s">
        <v>1979</v>
      </c>
      <c r="N1307" s="15">
        <v>2615444803</v>
      </c>
      <c r="O1307" s="15"/>
      <c r="P1307" s="15" t="s">
        <v>94</v>
      </c>
      <c r="Q1307" s="15" t="s">
        <v>11496</v>
      </c>
      <c r="R1307" s="18">
        <v>136</v>
      </c>
      <c r="S1307" s="19">
        <f t="shared" si="5"/>
        <v>22032</v>
      </c>
      <c r="T1307" s="12" t="s">
        <v>46</v>
      </c>
      <c r="U1307" s="15"/>
      <c r="V1307" s="19">
        <v>44610</v>
      </c>
      <c r="W1307" s="49" t="s">
        <v>71</v>
      </c>
      <c r="X1307" s="15"/>
      <c r="Y1307" s="13"/>
      <c r="Z1307" s="13"/>
      <c r="AA1307" s="13">
        <v>4717714</v>
      </c>
      <c r="AB1307" s="13"/>
      <c r="AC1307" s="15">
        <v>5505249</v>
      </c>
      <c r="AD1307" s="49">
        <v>6471482</v>
      </c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</row>
    <row r="1308" spans="1:46" ht="45" customHeight="1">
      <c r="A1308" s="12" t="s">
        <v>11497</v>
      </c>
      <c r="B1308" s="13" t="s">
        <v>11498</v>
      </c>
      <c r="C1308" s="66" t="s">
        <v>11499</v>
      </c>
      <c r="D1308" s="15" t="s">
        <v>11500</v>
      </c>
      <c r="E1308" s="15" t="s">
        <v>1295</v>
      </c>
      <c r="F1308" s="15" t="s">
        <v>1295</v>
      </c>
      <c r="G1308" s="15" t="s">
        <v>11501</v>
      </c>
      <c r="H1308" s="15" t="s">
        <v>80</v>
      </c>
      <c r="I1308" s="15" t="s">
        <v>80</v>
      </c>
      <c r="J1308" s="15" t="s">
        <v>11501</v>
      </c>
      <c r="K1308" s="15" t="s">
        <v>80</v>
      </c>
      <c r="L1308" s="15" t="s">
        <v>80</v>
      </c>
      <c r="M1308" s="217" t="s">
        <v>11502</v>
      </c>
      <c r="N1308" s="15">
        <v>2616325164</v>
      </c>
      <c r="O1308" s="15"/>
      <c r="P1308" s="15" t="s">
        <v>117</v>
      </c>
      <c r="Q1308" s="15" t="s">
        <v>11503</v>
      </c>
      <c r="R1308" s="18">
        <v>223</v>
      </c>
      <c r="S1308" s="19">
        <f t="shared" si="5"/>
        <v>36126</v>
      </c>
      <c r="T1308" s="12" t="s">
        <v>46</v>
      </c>
      <c r="U1308" s="15"/>
      <c r="V1308" s="19">
        <v>44610</v>
      </c>
      <c r="W1308" s="15"/>
      <c r="X1308" s="15"/>
      <c r="Y1308" s="13"/>
      <c r="Z1308" s="13"/>
      <c r="AA1308" s="13">
        <v>4714026</v>
      </c>
      <c r="AB1308" s="13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</row>
    <row r="1309" spans="1:46" ht="45" customHeight="1">
      <c r="A1309" s="12" t="s">
        <v>11504</v>
      </c>
      <c r="B1309" s="13" t="s">
        <v>11505</v>
      </c>
      <c r="C1309" s="66" t="s">
        <v>11506</v>
      </c>
      <c r="D1309" s="15" t="s">
        <v>11507</v>
      </c>
      <c r="E1309" s="15" t="s">
        <v>11508</v>
      </c>
      <c r="F1309" s="15" t="s">
        <v>11508</v>
      </c>
      <c r="G1309" s="15" t="s">
        <v>11509</v>
      </c>
      <c r="H1309" s="15" t="s">
        <v>80</v>
      </c>
      <c r="I1309" s="15" t="s">
        <v>80</v>
      </c>
      <c r="J1309" s="15" t="s">
        <v>11509</v>
      </c>
      <c r="K1309" s="15" t="s">
        <v>80</v>
      </c>
      <c r="L1309" s="15" t="s">
        <v>80</v>
      </c>
      <c r="M1309" s="16" t="s">
        <v>11510</v>
      </c>
      <c r="N1309" s="15" t="s">
        <v>11511</v>
      </c>
      <c r="O1309" s="15"/>
      <c r="P1309" s="15" t="s">
        <v>94</v>
      </c>
      <c r="Q1309" s="15" t="s">
        <v>11512</v>
      </c>
      <c r="R1309" s="18">
        <v>139</v>
      </c>
      <c r="S1309" s="19">
        <f t="shared" si="5"/>
        <v>22518</v>
      </c>
      <c r="T1309" s="12" t="s">
        <v>46</v>
      </c>
      <c r="U1309" s="15"/>
      <c r="V1309" s="19">
        <v>44610</v>
      </c>
      <c r="W1309" s="15" t="s">
        <v>71</v>
      </c>
      <c r="X1309" s="15"/>
      <c r="Y1309" s="13"/>
      <c r="Z1309" s="13"/>
      <c r="AA1309" s="13">
        <v>4697887</v>
      </c>
      <c r="AB1309" s="13"/>
      <c r="AC1309" s="15">
        <v>5511651</v>
      </c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</row>
    <row r="1310" spans="1:46" ht="45" customHeight="1">
      <c r="A1310" s="12" t="s">
        <v>11513</v>
      </c>
      <c r="B1310" s="13" t="s">
        <v>11514</v>
      </c>
      <c r="C1310" s="66" t="s">
        <v>11515</v>
      </c>
      <c r="D1310" s="15" t="s">
        <v>11516</v>
      </c>
      <c r="E1310" s="15" t="s">
        <v>11517</v>
      </c>
      <c r="F1310" s="15" t="s">
        <v>11517</v>
      </c>
      <c r="G1310" s="15" t="s">
        <v>11518</v>
      </c>
      <c r="H1310" s="15" t="s">
        <v>11494</v>
      </c>
      <c r="I1310" s="15" t="s">
        <v>11494</v>
      </c>
      <c r="J1310" s="15" t="s">
        <v>11519</v>
      </c>
      <c r="K1310" s="15" t="s">
        <v>881</v>
      </c>
      <c r="L1310" s="15" t="s">
        <v>881</v>
      </c>
      <c r="M1310" s="16" t="s">
        <v>11520</v>
      </c>
      <c r="N1310" s="15">
        <v>2616976004</v>
      </c>
      <c r="O1310" s="15"/>
      <c r="P1310" s="15" t="s">
        <v>94</v>
      </c>
      <c r="Q1310" s="15" t="s">
        <v>11521</v>
      </c>
      <c r="R1310" s="18">
        <v>53</v>
      </c>
      <c r="S1310" s="19">
        <f t="shared" si="5"/>
        <v>8586</v>
      </c>
      <c r="T1310" s="12" t="s">
        <v>46</v>
      </c>
      <c r="U1310" s="15"/>
      <c r="V1310" s="19">
        <v>44610</v>
      </c>
      <c r="W1310" s="49" t="s">
        <v>71</v>
      </c>
      <c r="X1310" s="15"/>
      <c r="Y1310" s="13"/>
      <c r="Z1310" s="13"/>
      <c r="AA1310" s="13">
        <v>4689557</v>
      </c>
      <c r="AB1310" s="13"/>
      <c r="AC1310" s="49">
        <v>5637291</v>
      </c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</row>
    <row r="1311" spans="1:46" ht="45" customHeight="1">
      <c r="A1311" s="12" t="s">
        <v>11522</v>
      </c>
      <c r="B1311" s="13" t="s">
        <v>11523</v>
      </c>
      <c r="C1311" s="66" t="s">
        <v>11524</v>
      </c>
      <c r="D1311" s="15" t="s">
        <v>11525</v>
      </c>
      <c r="E1311" s="15" t="s">
        <v>10195</v>
      </c>
      <c r="F1311" s="224" t="s">
        <v>10195</v>
      </c>
      <c r="G1311" s="15" t="s">
        <v>11526</v>
      </c>
      <c r="H1311" s="15" t="s">
        <v>115</v>
      </c>
      <c r="I1311" s="15" t="s">
        <v>115</v>
      </c>
      <c r="J1311" s="15" t="s">
        <v>11526</v>
      </c>
      <c r="K1311" s="15" t="s">
        <v>11527</v>
      </c>
      <c r="L1311" s="15" t="s">
        <v>115</v>
      </c>
      <c r="M1311" s="16" t="s">
        <v>11528</v>
      </c>
      <c r="N1311" s="15" t="s">
        <v>5085</v>
      </c>
      <c r="O1311" s="15"/>
      <c r="P1311" s="15" t="s">
        <v>94</v>
      </c>
      <c r="Q1311" s="15" t="s">
        <v>11529</v>
      </c>
      <c r="R1311" s="18">
        <v>58</v>
      </c>
      <c r="S1311" s="19">
        <f t="shared" si="5"/>
        <v>9396</v>
      </c>
      <c r="T1311" s="12" t="s">
        <v>46</v>
      </c>
      <c r="U1311" s="15"/>
      <c r="V1311" s="19">
        <v>44610</v>
      </c>
      <c r="W1311" s="49" t="s">
        <v>71</v>
      </c>
      <c r="X1311" s="15"/>
      <c r="Y1311" s="13"/>
      <c r="Z1311" s="13"/>
      <c r="AA1311" s="13">
        <v>4689548</v>
      </c>
      <c r="AB1311" s="13"/>
      <c r="AC1311" s="49">
        <v>5631694</v>
      </c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</row>
    <row r="1312" spans="1:46" ht="45" customHeight="1">
      <c r="A1312" s="21" t="s">
        <v>11530</v>
      </c>
      <c r="B1312" s="13" t="s">
        <v>11531</v>
      </c>
      <c r="C1312" s="66" t="s">
        <v>11532</v>
      </c>
      <c r="D1312" s="15" t="s">
        <v>11533</v>
      </c>
      <c r="E1312" s="163" t="s">
        <v>11534</v>
      </c>
      <c r="F1312" s="163" t="s">
        <v>11534</v>
      </c>
      <c r="G1312" s="15" t="s">
        <v>11535</v>
      </c>
      <c r="H1312" s="15" t="s">
        <v>11536</v>
      </c>
      <c r="I1312" s="15" t="s">
        <v>11536</v>
      </c>
      <c r="J1312" s="15" t="s">
        <v>11537</v>
      </c>
      <c r="K1312" s="15" t="s">
        <v>65</v>
      </c>
      <c r="L1312" s="15" t="s">
        <v>8513</v>
      </c>
      <c r="M1312" s="16" t="s">
        <v>11402</v>
      </c>
      <c r="N1312" s="15">
        <v>2615898699</v>
      </c>
      <c r="O1312" s="15"/>
      <c r="P1312" s="15" t="s">
        <v>94</v>
      </c>
      <c r="Q1312" s="15" t="s">
        <v>11538</v>
      </c>
      <c r="R1312" s="29">
        <v>775</v>
      </c>
      <c r="S1312" s="30">
        <f t="shared" si="5"/>
        <v>125550</v>
      </c>
      <c r="T1312" s="12" t="s">
        <v>252</v>
      </c>
      <c r="U1312" s="15"/>
      <c r="V1312" s="30">
        <v>123900</v>
      </c>
      <c r="W1312" s="49" t="s">
        <v>71</v>
      </c>
      <c r="X1312" s="15"/>
      <c r="Y1312" s="13"/>
      <c r="Z1312" s="13"/>
      <c r="AA1312" s="13">
        <v>4684895</v>
      </c>
      <c r="AB1312" s="13"/>
      <c r="AC1312" s="49">
        <v>5633264</v>
      </c>
      <c r="AD1312" s="49">
        <v>6481719</v>
      </c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</row>
    <row r="1313" spans="1:46" ht="45" customHeight="1">
      <c r="A1313" s="12" t="s">
        <v>11539</v>
      </c>
      <c r="B1313" s="13" t="s">
        <v>11540</v>
      </c>
      <c r="C1313" s="66" t="s">
        <v>11541</v>
      </c>
      <c r="D1313" s="15" t="s">
        <v>10392</v>
      </c>
      <c r="E1313" s="15" t="s">
        <v>11542</v>
      </c>
      <c r="F1313" s="15" t="s">
        <v>11542</v>
      </c>
      <c r="G1313" s="15" t="s">
        <v>11543</v>
      </c>
      <c r="H1313" s="15"/>
      <c r="I1313" s="15" t="s">
        <v>115</v>
      </c>
      <c r="J1313" s="15" t="s">
        <v>11543</v>
      </c>
      <c r="K1313" s="15"/>
      <c r="L1313" s="15" t="s">
        <v>115</v>
      </c>
      <c r="M1313" s="16" t="s">
        <v>10395</v>
      </c>
      <c r="N1313" s="15" t="s">
        <v>11544</v>
      </c>
      <c r="O1313" s="15"/>
      <c r="P1313" s="15" t="s">
        <v>3192</v>
      </c>
      <c r="Q1313" s="15" t="s">
        <v>11545</v>
      </c>
      <c r="R1313" s="225">
        <v>216</v>
      </c>
      <c r="S1313" s="19">
        <f t="shared" si="5"/>
        <v>34992</v>
      </c>
      <c r="T1313" s="12" t="s">
        <v>46</v>
      </c>
      <c r="U1313" s="15"/>
      <c r="V1313" s="19">
        <v>44610</v>
      </c>
      <c r="W1313" s="15" t="s">
        <v>71</v>
      </c>
      <c r="X1313" s="15"/>
      <c r="Y1313" s="13"/>
      <c r="Z1313" s="13"/>
      <c r="AA1313" s="13">
        <v>4670890</v>
      </c>
      <c r="AB1313" s="13"/>
      <c r="AC1313" s="15">
        <v>5506046</v>
      </c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</row>
    <row r="1314" spans="1:46" ht="45" customHeight="1">
      <c r="A1314" s="12" t="s">
        <v>11546</v>
      </c>
      <c r="B1314" s="13" t="s">
        <v>11547</v>
      </c>
      <c r="C1314" s="66" t="s">
        <v>11548</v>
      </c>
      <c r="D1314" s="15" t="s">
        <v>11549</v>
      </c>
      <c r="E1314" s="15" t="s">
        <v>11492</v>
      </c>
      <c r="F1314" s="15" t="s">
        <v>11492</v>
      </c>
      <c r="G1314" s="15" t="s">
        <v>11550</v>
      </c>
      <c r="H1314" s="15"/>
      <c r="I1314" s="15" t="s">
        <v>1058</v>
      </c>
      <c r="J1314" s="15" t="s">
        <v>11550</v>
      </c>
      <c r="K1314" s="15"/>
      <c r="L1314" s="15" t="s">
        <v>1058</v>
      </c>
      <c r="M1314" s="16" t="s">
        <v>1979</v>
      </c>
      <c r="N1314" s="15" t="s">
        <v>8288</v>
      </c>
      <c r="O1314" s="15"/>
      <c r="P1314" s="15" t="s">
        <v>94</v>
      </c>
      <c r="Q1314" s="15" t="s">
        <v>11551</v>
      </c>
      <c r="R1314" s="18">
        <v>460</v>
      </c>
      <c r="S1314" s="19">
        <f t="shared" si="5"/>
        <v>74520</v>
      </c>
      <c r="T1314" s="12" t="s">
        <v>46</v>
      </c>
      <c r="U1314" s="15"/>
      <c r="V1314" s="19">
        <v>44610</v>
      </c>
      <c r="W1314" s="15" t="s">
        <v>71</v>
      </c>
      <c r="X1314" s="15"/>
      <c r="Y1314" s="13"/>
      <c r="Z1314" s="13"/>
      <c r="AA1314" s="13">
        <v>4707603</v>
      </c>
      <c r="AB1314" s="13"/>
      <c r="AC1314" s="15">
        <v>5518208</v>
      </c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</row>
    <row r="1315" spans="1:46" ht="45" customHeight="1">
      <c r="A1315" s="12" t="s">
        <v>11552</v>
      </c>
      <c r="B1315" s="13" t="s">
        <v>11553</v>
      </c>
      <c r="C1315" s="66" t="s">
        <v>11554</v>
      </c>
      <c r="D1315" s="15" t="s">
        <v>10392</v>
      </c>
      <c r="E1315" s="15" t="s">
        <v>11555</v>
      </c>
      <c r="F1315" s="15" t="s">
        <v>11555</v>
      </c>
      <c r="G1315" s="15" t="s">
        <v>11556</v>
      </c>
      <c r="H1315" s="15"/>
      <c r="I1315" s="15" t="s">
        <v>115</v>
      </c>
      <c r="J1315" s="15" t="s">
        <v>11556</v>
      </c>
      <c r="K1315" s="15"/>
      <c r="L1315" s="15" t="s">
        <v>115</v>
      </c>
      <c r="M1315" s="16" t="s">
        <v>11557</v>
      </c>
      <c r="N1315" s="15" t="s">
        <v>11544</v>
      </c>
      <c r="O1315" s="15"/>
      <c r="P1315" s="15" t="s">
        <v>3192</v>
      </c>
      <c r="Q1315" s="15" t="s">
        <v>11558</v>
      </c>
      <c r="R1315" s="18">
        <v>216</v>
      </c>
      <c r="S1315" s="19">
        <f t="shared" si="5"/>
        <v>34992</v>
      </c>
      <c r="T1315" s="12" t="s">
        <v>46</v>
      </c>
      <c r="U1315" s="15"/>
      <c r="V1315" s="19">
        <v>44610</v>
      </c>
      <c r="W1315" s="15" t="s">
        <v>71</v>
      </c>
      <c r="X1315" s="15"/>
      <c r="Y1315" s="13"/>
      <c r="Z1315" s="13"/>
      <c r="AA1315" s="13">
        <v>4736587</v>
      </c>
      <c r="AB1315" s="13"/>
      <c r="AC1315" s="15">
        <v>5505791</v>
      </c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</row>
    <row r="1316" spans="1:46" ht="45" customHeight="1">
      <c r="A1316" s="21" t="s">
        <v>11559</v>
      </c>
      <c r="B1316" s="13" t="s">
        <v>11560</v>
      </c>
      <c r="C1316" s="66" t="s">
        <v>11561</v>
      </c>
      <c r="D1316" s="15" t="s">
        <v>11562</v>
      </c>
      <c r="E1316" s="15" t="s">
        <v>11563</v>
      </c>
      <c r="F1316" s="15" t="s">
        <v>11563</v>
      </c>
      <c r="G1316" s="15" t="s">
        <v>11564</v>
      </c>
      <c r="H1316" s="15"/>
      <c r="I1316" s="15" t="s">
        <v>38</v>
      </c>
      <c r="J1316" s="15" t="s">
        <v>11564</v>
      </c>
      <c r="K1316" s="15"/>
      <c r="L1316" s="15" t="s">
        <v>38</v>
      </c>
      <c r="M1316" s="16" t="s">
        <v>11565</v>
      </c>
      <c r="N1316" s="15" t="s">
        <v>11566</v>
      </c>
      <c r="O1316" s="15"/>
      <c r="P1316" s="15" t="s">
        <v>196</v>
      </c>
      <c r="Q1316" s="15" t="s">
        <v>11567</v>
      </c>
      <c r="R1316" s="29">
        <v>1908</v>
      </c>
      <c r="S1316" s="30">
        <f t="shared" si="5"/>
        <v>309096</v>
      </c>
      <c r="T1316" s="12" t="s">
        <v>198</v>
      </c>
      <c r="U1316" s="15"/>
      <c r="V1316" s="30">
        <v>215940</v>
      </c>
      <c r="W1316" s="15" t="s">
        <v>71</v>
      </c>
      <c r="X1316" s="15"/>
      <c r="Y1316" s="13"/>
      <c r="Z1316" s="13"/>
      <c r="AA1316" s="13">
        <v>4740889</v>
      </c>
      <c r="AB1316" s="13"/>
      <c r="AC1316" s="15">
        <v>5515621</v>
      </c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</row>
    <row r="1317" spans="1:46" ht="45" customHeight="1">
      <c r="A1317" s="12" t="s">
        <v>11568</v>
      </c>
      <c r="B1317" s="13" t="s">
        <v>11569</v>
      </c>
      <c r="C1317" s="66" t="s">
        <v>11570</v>
      </c>
      <c r="D1317" s="15" t="s">
        <v>11571</v>
      </c>
      <c r="E1317" s="15" t="s">
        <v>11572</v>
      </c>
      <c r="F1317" s="15" t="s">
        <v>11572</v>
      </c>
      <c r="G1317" s="15" t="s">
        <v>11573</v>
      </c>
      <c r="H1317" s="15"/>
      <c r="I1317" s="15" t="s">
        <v>2691</v>
      </c>
      <c r="J1317" s="15" t="s">
        <v>11573</v>
      </c>
      <c r="K1317" s="15"/>
      <c r="L1317" s="15" t="s">
        <v>2691</v>
      </c>
      <c r="M1317" s="15" t="s">
        <v>11574</v>
      </c>
      <c r="N1317" s="13" t="s">
        <v>11575</v>
      </c>
      <c r="O1317" s="15"/>
      <c r="P1317" s="15" t="s">
        <v>94</v>
      </c>
      <c r="Q1317" s="15" t="s">
        <v>11576</v>
      </c>
      <c r="R1317" s="18">
        <v>54</v>
      </c>
      <c r="S1317" s="19">
        <f t="shared" si="5"/>
        <v>8748</v>
      </c>
      <c r="T1317" s="12" t="s">
        <v>46</v>
      </c>
      <c r="U1317" s="15"/>
      <c r="V1317" s="19">
        <v>44610</v>
      </c>
      <c r="W1317" s="15" t="s">
        <v>71</v>
      </c>
      <c r="X1317" s="15"/>
      <c r="Y1317" s="13"/>
      <c r="Z1317" s="13"/>
      <c r="AA1317" s="13">
        <v>47487744</v>
      </c>
      <c r="AB1317" s="13"/>
      <c r="AC1317" s="15">
        <v>5618106</v>
      </c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</row>
    <row r="1318" spans="1:46" ht="45" customHeight="1">
      <c r="A1318" s="12" t="s">
        <v>11577</v>
      </c>
      <c r="B1318" s="13" t="s">
        <v>11578</v>
      </c>
      <c r="C1318" s="66" t="s">
        <v>8214</v>
      </c>
      <c r="D1318" s="15" t="s">
        <v>8215</v>
      </c>
      <c r="E1318" s="15" t="s">
        <v>11579</v>
      </c>
      <c r="F1318" s="15" t="s">
        <v>11579</v>
      </c>
      <c r="G1318" s="15" t="s">
        <v>11580</v>
      </c>
      <c r="H1318" s="15"/>
      <c r="I1318" s="15" t="s">
        <v>38</v>
      </c>
      <c r="J1318" s="15" t="s">
        <v>11580</v>
      </c>
      <c r="K1318" s="15"/>
      <c r="L1318" s="15" t="s">
        <v>38</v>
      </c>
      <c r="M1318" s="49" t="s">
        <v>8219</v>
      </c>
      <c r="N1318" s="15">
        <v>2994235567</v>
      </c>
      <c r="O1318" s="15"/>
      <c r="P1318" s="15" t="s">
        <v>1310</v>
      </c>
      <c r="Q1318" s="15" t="s">
        <v>11581</v>
      </c>
      <c r="R1318" s="18">
        <v>83</v>
      </c>
      <c r="S1318" s="19">
        <f t="shared" si="5"/>
        <v>13446</v>
      </c>
      <c r="T1318" s="12" t="s">
        <v>46</v>
      </c>
      <c r="U1318" s="15"/>
      <c r="V1318" s="19">
        <v>44610</v>
      </c>
      <c r="W1318" s="49" t="s">
        <v>71</v>
      </c>
      <c r="X1318" s="15"/>
      <c r="Y1318" s="13"/>
      <c r="Z1318" s="13"/>
      <c r="AA1318" s="13">
        <v>4757783</v>
      </c>
      <c r="AB1318" s="13"/>
      <c r="AC1318" s="49">
        <v>5636663</v>
      </c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</row>
    <row r="1319" spans="1:46" ht="45" customHeight="1">
      <c r="A1319" s="12" t="s">
        <v>11582</v>
      </c>
      <c r="B1319" s="13" t="s">
        <v>11583</v>
      </c>
      <c r="C1319" s="66" t="s">
        <v>11584</v>
      </c>
      <c r="D1319" s="15" t="s">
        <v>11585</v>
      </c>
      <c r="E1319" s="15" t="s">
        <v>11586</v>
      </c>
      <c r="F1319" s="15" t="s">
        <v>11586</v>
      </c>
      <c r="G1319" s="15" t="s">
        <v>11587</v>
      </c>
      <c r="H1319" s="15"/>
      <c r="I1319" s="15" t="s">
        <v>38</v>
      </c>
      <c r="J1319" s="15" t="s">
        <v>11587</v>
      </c>
      <c r="K1319" s="15"/>
      <c r="L1319" s="15" t="s">
        <v>38</v>
      </c>
      <c r="M1319" s="15" t="s">
        <v>11588</v>
      </c>
      <c r="N1319" s="15" t="s">
        <v>11589</v>
      </c>
      <c r="O1319" s="15"/>
      <c r="P1319" s="15" t="s">
        <v>855</v>
      </c>
      <c r="Q1319" s="15" t="s">
        <v>11590</v>
      </c>
      <c r="R1319" s="18">
        <v>287</v>
      </c>
      <c r="S1319" s="19">
        <f t="shared" si="5"/>
        <v>46494</v>
      </c>
      <c r="T1319" s="12" t="s">
        <v>46</v>
      </c>
      <c r="U1319" s="15"/>
      <c r="V1319" s="19">
        <v>44610</v>
      </c>
      <c r="W1319" s="49" t="s">
        <v>71</v>
      </c>
      <c r="X1319" s="15"/>
      <c r="Y1319" s="13"/>
      <c r="Z1319" s="13"/>
      <c r="AA1319" s="13">
        <v>4757943</v>
      </c>
      <c r="AB1319" s="13"/>
      <c r="AC1319" s="49">
        <v>5627156</v>
      </c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</row>
    <row r="1320" spans="1:46" ht="45" customHeight="1">
      <c r="A1320" s="21" t="s">
        <v>11591</v>
      </c>
      <c r="B1320" s="13" t="s">
        <v>11592</v>
      </c>
      <c r="C1320" s="66" t="s">
        <v>11593</v>
      </c>
      <c r="D1320" s="15" t="s">
        <v>4527</v>
      </c>
      <c r="E1320" s="15" t="s">
        <v>11594</v>
      </c>
      <c r="F1320" s="15" t="s">
        <v>11594</v>
      </c>
      <c r="G1320" s="15" t="s">
        <v>11595</v>
      </c>
      <c r="H1320" s="15" t="s">
        <v>2652</v>
      </c>
      <c r="I1320" s="15" t="s">
        <v>11596</v>
      </c>
      <c r="J1320" s="15" t="s">
        <v>11597</v>
      </c>
      <c r="K1320" s="15"/>
      <c r="L1320" s="15" t="s">
        <v>7704</v>
      </c>
      <c r="M1320" s="15" t="s">
        <v>11598</v>
      </c>
      <c r="N1320" s="15" t="s">
        <v>11599</v>
      </c>
      <c r="O1320" s="15"/>
      <c r="P1320" s="15" t="s">
        <v>94</v>
      </c>
      <c r="Q1320" s="15" t="s">
        <v>11600</v>
      </c>
      <c r="R1320" s="29">
        <v>4382</v>
      </c>
      <c r="S1320" s="30">
        <f t="shared" si="5"/>
        <v>709884</v>
      </c>
      <c r="T1320" s="12" t="s">
        <v>105</v>
      </c>
      <c r="U1320" s="15"/>
      <c r="V1320" s="30">
        <v>736320</v>
      </c>
      <c r="W1320" s="15"/>
      <c r="X1320" s="15"/>
      <c r="Y1320" s="13"/>
      <c r="Z1320" s="13"/>
      <c r="AA1320" s="13">
        <v>4759314</v>
      </c>
      <c r="AB1320" s="13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</row>
    <row r="1321" spans="1:46" ht="45" customHeight="1">
      <c r="A1321" s="50" t="s">
        <v>11601</v>
      </c>
      <c r="B1321" s="51" t="s">
        <v>11602</v>
      </c>
      <c r="C1321" s="95" t="s">
        <v>11603</v>
      </c>
      <c r="D1321" s="53" t="s">
        <v>6593</v>
      </c>
      <c r="E1321" s="53" t="s">
        <v>11604</v>
      </c>
      <c r="F1321" s="53" t="s">
        <v>11604</v>
      </c>
      <c r="G1321" s="53" t="s">
        <v>11605</v>
      </c>
      <c r="H1321" s="53" t="s">
        <v>2652</v>
      </c>
      <c r="I1321" s="53" t="s">
        <v>53</v>
      </c>
      <c r="J1321" s="53" t="s">
        <v>11606</v>
      </c>
      <c r="K1321" s="53"/>
      <c r="L1321" s="53" t="s">
        <v>38</v>
      </c>
      <c r="M1321" s="53" t="s">
        <v>11607</v>
      </c>
      <c r="N1321" s="53" t="s">
        <v>11608</v>
      </c>
      <c r="O1321" s="53"/>
      <c r="P1321" s="53" t="s">
        <v>1381</v>
      </c>
      <c r="Q1321" s="53" t="s">
        <v>11609</v>
      </c>
      <c r="R1321" s="56">
        <v>58</v>
      </c>
      <c r="S1321" s="57">
        <f t="shared" si="5"/>
        <v>9396</v>
      </c>
      <c r="T1321" s="50" t="s">
        <v>46</v>
      </c>
      <c r="U1321" s="53"/>
      <c r="V1321" s="57">
        <v>44610</v>
      </c>
      <c r="W1321" s="53" t="s">
        <v>47</v>
      </c>
      <c r="X1321" s="53"/>
      <c r="Y1321" s="51"/>
      <c r="Z1321" s="51"/>
      <c r="AA1321" s="51">
        <v>4786256</v>
      </c>
      <c r="AB1321" s="51"/>
      <c r="AC1321" s="53">
        <v>5571154</v>
      </c>
      <c r="AD1321" s="53"/>
      <c r="AE1321" s="53"/>
      <c r="AF1321" s="53"/>
      <c r="AG1321" s="53"/>
      <c r="AH1321" s="53"/>
      <c r="AI1321" s="53"/>
      <c r="AJ1321" s="53"/>
      <c r="AK1321" s="53"/>
      <c r="AL1321" s="53"/>
      <c r="AM1321" s="53"/>
      <c r="AN1321" s="53"/>
      <c r="AO1321" s="53"/>
      <c r="AP1321" s="53"/>
      <c r="AQ1321" s="53"/>
      <c r="AR1321" s="53"/>
      <c r="AS1321" s="53"/>
      <c r="AT1321" s="53"/>
    </row>
    <row r="1322" spans="1:46" ht="45" customHeight="1">
      <c r="A1322" s="12" t="s">
        <v>11610</v>
      </c>
      <c r="B1322" s="13" t="s">
        <v>11611</v>
      </c>
      <c r="C1322" s="66" t="s">
        <v>11612</v>
      </c>
      <c r="D1322" s="15" t="s">
        <v>11613</v>
      </c>
      <c r="E1322" s="15" t="s">
        <v>11614</v>
      </c>
      <c r="F1322" s="15" t="s">
        <v>11614</v>
      </c>
      <c r="G1322" s="15" t="s">
        <v>11615</v>
      </c>
      <c r="H1322" s="15"/>
      <c r="I1322" s="15" t="s">
        <v>149</v>
      </c>
      <c r="J1322" s="15" t="s">
        <v>11615</v>
      </c>
      <c r="K1322" s="15"/>
      <c r="L1322" s="15" t="s">
        <v>149</v>
      </c>
      <c r="M1322" s="15" t="s">
        <v>11616</v>
      </c>
      <c r="N1322" s="15" t="s">
        <v>11617</v>
      </c>
      <c r="O1322" s="73">
        <v>46622</v>
      </c>
      <c r="P1322" s="15" t="s">
        <v>117</v>
      </c>
      <c r="Q1322" s="15" t="s">
        <v>11618</v>
      </c>
      <c r="R1322" s="18">
        <v>124</v>
      </c>
      <c r="S1322" s="19">
        <f t="shared" si="5"/>
        <v>20088</v>
      </c>
      <c r="T1322" s="12" t="s">
        <v>46</v>
      </c>
      <c r="U1322" s="15"/>
      <c r="V1322" s="19">
        <v>44610</v>
      </c>
      <c r="W1322" s="15" t="s">
        <v>71</v>
      </c>
      <c r="X1322" s="15"/>
      <c r="Y1322" s="13"/>
      <c r="Z1322" s="13"/>
      <c r="AA1322" s="13">
        <v>4791560</v>
      </c>
      <c r="AB1322" s="13"/>
      <c r="AC1322" s="15">
        <v>5626596</v>
      </c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</row>
    <row r="1323" spans="1:46" ht="45" customHeight="1">
      <c r="A1323" s="12" t="s">
        <v>11619</v>
      </c>
      <c r="B1323" s="13" t="s">
        <v>11620</v>
      </c>
      <c r="C1323" s="66" t="s">
        <v>11621</v>
      </c>
      <c r="D1323" s="15" t="s">
        <v>11622</v>
      </c>
      <c r="E1323" s="15" t="s">
        <v>11623</v>
      </c>
      <c r="F1323" s="15" t="s">
        <v>11623</v>
      </c>
      <c r="G1323" s="15" t="s">
        <v>11624</v>
      </c>
      <c r="H1323" s="15"/>
      <c r="I1323" s="15" t="s">
        <v>65</v>
      </c>
      <c r="J1323" s="15" t="s">
        <v>11624</v>
      </c>
      <c r="K1323" s="15"/>
      <c r="L1323" s="15" t="s">
        <v>65</v>
      </c>
      <c r="M1323" s="15" t="s">
        <v>11625</v>
      </c>
      <c r="N1323" s="15">
        <v>2613426919</v>
      </c>
      <c r="O1323" s="15"/>
      <c r="P1323" s="15" t="s">
        <v>44</v>
      </c>
      <c r="Q1323" s="15" t="s">
        <v>11626</v>
      </c>
      <c r="R1323" s="18">
        <v>33</v>
      </c>
      <c r="S1323" s="19">
        <f t="shared" si="5"/>
        <v>5346</v>
      </c>
      <c r="T1323" s="12" t="s">
        <v>46</v>
      </c>
      <c r="U1323" s="15"/>
      <c r="V1323" s="19">
        <v>44610</v>
      </c>
      <c r="W1323" s="15"/>
      <c r="X1323" s="15"/>
      <c r="Y1323" s="13"/>
      <c r="Z1323" s="13"/>
      <c r="AA1323" s="13">
        <v>4800185</v>
      </c>
      <c r="AB1323" s="13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</row>
    <row r="1324" spans="1:46" ht="45" customHeight="1">
      <c r="A1324" s="79" t="s">
        <v>11627</v>
      </c>
      <c r="B1324" s="80" t="s">
        <v>11628</v>
      </c>
      <c r="C1324" s="223" t="s">
        <v>11629</v>
      </c>
      <c r="D1324" s="82" t="s">
        <v>11630</v>
      </c>
      <c r="E1324" s="82" t="s">
        <v>11631</v>
      </c>
      <c r="F1324" s="82" t="s">
        <v>11631</v>
      </c>
      <c r="G1324" s="82" t="s">
        <v>11632</v>
      </c>
      <c r="H1324" s="82"/>
      <c r="I1324" s="82" t="s">
        <v>41</v>
      </c>
      <c r="J1324" s="82" t="s">
        <v>11632</v>
      </c>
      <c r="K1324" s="82"/>
      <c r="L1324" s="82" t="s">
        <v>41</v>
      </c>
      <c r="M1324" s="82" t="s">
        <v>11633</v>
      </c>
      <c r="N1324" s="82" t="s">
        <v>11634</v>
      </c>
      <c r="O1324" s="82"/>
      <c r="P1324" s="82" t="s">
        <v>4401</v>
      </c>
      <c r="Q1324" s="82" t="s">
        <v>11635</v>
      </c>
      <c r="R1324" s="85" t="s">
        <v>770</v>
      </c>
      <c r="S1324" s="86" t="e">
        <f t="shared" si="5"/>
        <v>#VALUE!</v>
      </c>
      <c r="T1324" s="87" t="s">
        <v>770</v>
      </c>
      <c r="U1324" s="82"/>
      <c r="V1324" s="86">
        <v>0</v>
      </c>
      <c r="W1324" s="82"/>
      <c r="X1324" s="82"/>
      <c r="Y1324" s="80"/>
      <c r="Z1324" s="80"/>
      <c r="AA1324" s="80">
        <v>4818463</v>
      </c>
      <c r="AB1324" s="80"/>
      <c r="AC1324" s="82"/>
      <c r="AD1324" s="82"/>
      <c r="AE1324" s="82"/>
      <c r="AF1324" s="82"/>
      <c r="AG1324" s="82"/>
      <c r="AH1324" s="82"/>
      <c r="AI1324" s="82"/>
      <c r="AJ1324" s="82"/>
      <c r="AK1324" s="82"/>
      <c r="AL1324" s="82"/>
      <c r="AM1324" s="82"/>
      <c r="AN1324" s="82"/>
      <c r="AO1324" s="82"/>
      <c r="AP1324" s="82"/>
      <c r="AQ1324" s="82"/>
      <c r="AR1324" s="82"/>
      <c r="AS1324" s="82"/>
      <c r="AT1324" s="82"/>
    </row>
    <row r="1325" spans="1:46" ht="45" customHeight="1">
      <c r="A1325" s="12" t="s">
        <v>11636</v>
      </c>
      <c r="B1325" s="13" t="s">
        <v>11637</v>
      </c>
      <c r="C1325" s="66" t="s">
        <v>11638</v>
      </c>
      <c r="D1325" s="15" t="s">
        <v>11639</v>
      </c>
      <c r="E1325" s="15" t="s">
        <v>3583</v>
      </c>
      <c r="F1325" s="15" t="s">
        <v>3583</v>
      </c>
      <c r="G1325" s="15" t="s">
        <v>11640</v>
      </c>
      <c r="H1325" s="15"/>
      <c r="I1325" s="15" t="s">
        <v>149</v>
      </c>
      <c r="J1325" s="15" t="s">
        <v>11640</v>
      </c>
      <c r="K1325" s="15"/>
      <c r="L1325" s="15" t="s">
        <v>149</v>
      </c>
      <c r="M1325" s="15" t="s">
        <v>11641</v>
      </c>
      <c r="N1325" s="15" t="s">
        <v>11642</v>
      </c>
      <c r="O1325" s="15"/>
      <c r="P1325" s="15" t="s">
        <v>44</v>
      </c>
      <c r="Q1325" s="15" t="s">
        <v>11643</v>
      </c>
      <c r="R1325" s="225">
        <v>23</v>
      </c>
      <c r="S1325" s="19">
        <f t="shared" si="5"/>
        <v>3726</v>
      </c>
      <c r="T1325" s="12" t="s">
        <v>46</v>
      </c>
      <c r="U1325" s="15"/>
      <c r="V1325" s="19">
        <v>44610</v>
      </c>
      <c r="W1325" s="15"/>
      <c r="X1325" s="15"/>
      <c r="Y1325" s="13"/>
      <c r="Z1325" s="13"/>
      <c r="AA1325" s="13">
        <v>4827158</v>
      </c>
      <c r="AB1325" s="13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</row>
    <row r="1326" spans="1:46" ht="45" customHeight="1">
      <c r="A1326" s="12" t="s">
        <v>11644</v>
      </c>
      <c r="B1326" s="13" t="s">
        <v>11645</v>
      </c>
      <c r="C1326" s="66" t="s">
        <v>11646</v>
      </c>
      <c r="D1326" s="15" t="s">
        <v>11647</v>
      </c>
      <c r="E1326" s="15" t="s">
        <v>11648</v>
      </c>
      <c r="F1326" s="15" t="s">
        <v>11648</v>
      </c>
      <c r="G1326" s="15" t="s">
        <v>11649</v>
      </c>
      <c r="H1326" s="15"/>
      <c r="I1326" s="15" t="s">
        <v>149</v>
      </c>
      <c r="J1326" s="15" t="s">
        <v>11649</v>
      </c>
      <c r="K1326" s="15"/>
      <c r="L1326" s="15" t="s">
        <v>149</v>
      </c>
      <c r="M1326" s="15" t="s">
        <v>8296</v>
      </c>
      <c r="N1326" s="15" t="s">
        <v>11650</v>
      </c>
      <c r="O1326" s="15"/>
      <c r="P1326" s="15" t="s">
        <v>44</v>
      </c>
      <c r="Q1326" s="15" t="s">
        <v>11651</v>
      </c>
      <c r="R1326" s="225">
        <v>90</v>
      </c>
      <c r="S1326" s="19">
        <f t="shared" si="5"/>
        <v>14580</v>
      </c>
      <c r="T1326" s="12" t="s">
        <v>46</v>
      </c>
      <c r="U1326" s="15"/>
      <c r="V1326" s="19">
        <v>44610</v>
      </c>
      <c r="W1326" s="15" t="s">
        <v>47</v>
      </c>
      <c r="X1326" s="15"/>
      <c r="Y1326" s="13"/>
      <c r="Z1326" s="13"/>
      <c r="AA1326" s="13">
        <v>4733990</v>
      </c>
      <c r="AB1326" s="13"/>
      <c r="AC1326" s="15">
        <v>5606363</v>
      </c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</row>
    <row r="1327" spans="1:46" ht="45" customHeight="1">
      <c r="A1327" s="12" t="s">
        <v>11652</v>
      </c>
      <c r="B1327" s="13" t="s">
        <v>11653</v>
      </c>
      <c r="C1327" s="66" t="s">
        <v>11654</v>
      </c>
      <c r="D1327" s="15" t="s">
        <v>11655</v>
      </c>
      <c r="E1327" s="15" t="s">
        <v>11656</v>
      </c>
      <c r="F1327" s="15" t="s">
        <v>11656</v>
      </c>
      <c r="G1327" s="15" t="s">
        <v>11657</v>
      </c>
      <c r="H1327" s="15"/>
      <c r="I1327" s="15" t="s">
        <v>65</v>
      </c>
      <c r="J1327" s="15" t="s">
        <v>11657</v>
      </c>
      <c r="K1327" s="15"/>
      <c r="L1327" s="15" t="s">
        <v>65</v>
      </c>
      <c r="M1327" s="49" t="s">
        <v>11658</v>
      </c>
      <c r="N1327" s="15" t="s">
        <v>11659</v>
      </c>
      <c r="O1327" s="15"/>
      <c r="P1327" s="15" t="s">
        <v>151</v>
      </c>
      <c r="Q1327" s="15" t="s">
        <v>11660</v>
      </c>
      <c r="R1327" s="225">
        <v>117</v>
      </c>
      <c r="S1327" s="19">
        <f t="shared" si="5"/>
        <v>18954</v>
      </c>
      <c r="T1327" s="12" t="s">
        <v>46</v>
      </c>
      <c r="U1327" s="15"/>
      <c r="V1327" s="19">
        <v>44610</v>
      </c>
      <c r="W1327" s="49" t="s">
        <v>71</v>
      </c>
      <c r="X1327" s="15"/>
      <c r="Y1327" s="13"/>
      <c r="Z1327" s="13"/>
      <c r="AA1327" s="13">
        <v>4829401</v>
      </c>
      <c r="AB1327" s="13"/>
      <c r="AC1327" s="49">
        <v>5636396</v>
      </c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</row>
    <row r="1328" spans="1:46" ht="45" customHeight="1">
      <c r="A1328" s="79" t="s">
        <v>11661</v>
      </c>
      <c r="B1328" s="80" t="s">
        <v>11662</v>
      </c>
      <c r="C1328" s="223" t="s">
        <v>11663</v>
      </c>
      <c r="D1328" s="82" t="s">
        <v>11664</v>
      </c>
      <c r="E1328" s="82" t="s">
        <v>11665</v>
      </c>
      <c r="F1328" s="82" t="s">
        <v>11665</v>
      </c>
      <c r="G1328" s="82" t="s">
        <v>11666</v>
      </c>
      <c r="H1328" s="82"/>
      <c r="I1328" s="82" t="s">
        <v>332</v>
      </c>
      <c r="J1328" s="82" t="s">
        <v>11666</v>
      </c>
      <c r="K1328" s="82"/>
      <c r="L1328" s="82" t="s">
        <v>332</v>
      </c>
      <c r="M1328" s="82" t="s">
        <v>11667</v>
      </c>
      <c r="N1328" s="82" t="s">
        <v>11668</v>
      </c>
      <c r="O1328" s="82"/>
      <c r="P1328" s="82" t="s">
        <v>1381</v>
      </c>
      <c r="Q1328" s="82" t="s">
        <v>11669</v>
      </c>
      <c r="R1328" s="85" t="s">
        <v>770</v>
      </c>
      <c r="S1328" s="86" t="e">
        <f t="shared" si="5"/>
        <v>#VALUE!</v>
      </c>
      <c r="T1328" s="87" t="s">
        <v>770</v>
      </c>
      <c r="U1328" s="82"/>
      <c r="V1328" s="86">
        <v>0</v>
      </c>
      <c r="W1328" s="82" t="s">
        <v>71</v>
      </c>
      <c r="X1328" s="82"/>
      <c r="Y1328" s="80"/>
      <c r="Z1328" s="80"/>
      <c r="AA1328" s="80">
        <v>4853661</v>
      </c>
      <c r="AB1328" s="80"/>
      <c r="AC1328" s="82">
        <v>5614088</v>
      </c>
      <c r="AD1328" s="82"/>
      <c r="AE1328" s="82"/>
      <c r="AF1328" s="82"/>
      <c r="AG1328" s="82"/>
      <c r="AH1328" s="82"/>
      <c r="AI1328" s="82"/>
      <c r="AJ1328" s="82"/>
      <c r="AK1328" s="82"/>
      <c r="AL1328" s="82"/>
      <c r="AM1328" s="82"/>
      <c r="AN1328" s="82"/>
      <c r="AO1328" s="82"/>
      <c r="AP1328" s="82"/>
      <c r="AQ1328" s="82"/>
      <c r="AR1328" s="82"/>
      <c r="AS1328" s="82"/>
      <c r="AT1328" s="82"/>
    </row>
    <row r="1329" spans="1:46" ht="45" customHeight="1">
      <c r="A1329" s="12" t="s">
        <v>11670</v>
      </c>
      <c r="B1329" s="13" t="s">
        <v>11671</v>
      </c>
      <c r="C1329" s="66" t="s">
        <v>11672</v>
      </c>
      <c r="D1329" s="15" t="s">
        <v>11673</v>
      </c>
      <c r="E1329" s="15" t="s">
        <v>11674</v>
      </c>
      <c r="F1329" s="15" t="s">
        <v>11674</v>
      </c>
      <c r="G1329" s="15" t="s">
        <v>11675</v>
      </c>
      <c r="H1329" s="15"/>
      <c r="I1329" s="15" t="s">
        <v>53</v>
      </c>
      <c r="J1329" s="15" t="s">
        <v>11676</v>
      </c>
      <c r="K1329" s="15"/>
      <c r="L1329" s="15" t="s">
        <v>38</v>
      </c>
      <c r="M1329" s="15" t="s">
        <v>11677</v>
      </c>
      <c r="N1329" s="15" t="s">
        <v>11678</v>
      </c>
      <c r="O1329" s="15"/>
      <c r="P1329" s="15" t="s">
        <v>768</v>
      </c>
      <c r="Q1329" s="15" t="s">
        <v>11679</v>
      </c>
      <c r="R1329" s="225">
        <v>28</v>
      </c>
      <c r="S1329" s="19">
        <f t="shared" si="5"/>
        <v>4536</v>
      </c>
      <c r="T1329" s="12" t="s">
        <v>46</v>
      </c>
      <c r="U1329" s="15"/>
      <c r="V1329" s="19">
        <v>44610</v>
      </c>
      <c r="W1329" s="49" t="s">
        <v>71</v>
      </c>
      <c r="X1329" s="15"/>
      <c r="Y1329" s="13"/>
      <c r="Z1329" s="13"/>
      <c r="AA1329" s="13">
        <v>4860846</v>
      </c>
      <c r="AB1329" s="13"/>
      <c r="AC1329" s="49">
        <v>5636051</v>
      </c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</row>
    <row r="1330" spans="1:46" ht="45" customHeight="1">
      <c r="A1330" s="21" t="s">
        <v>11680</v>
      </c>
      <c r="B1330" s="13" t="s">
        <v>11681</v>
      </c>
      <c r="C1330" s="66" t="s">
        <v>11682</v>
      </c>
      <c r="D1330" s="15" t="s">
        <v>11683</v>
      </c>
      <c r="E1330" s="15" t="s">
        <v>11684</v>
      </c>
      <c r="F1330" s="15" t="s">
        <v>11684</v>
      </c>
      <c r="G1330" s="15" t="s">
        <v>11685</v>
      </c>
      <c r="H1330" s="15"/>
      <c r="I1330" s="15" t="s">
        <v>11494</v>
      </c>
      <c r="J1330" s="15" t="s">
        <v>11686</v>
      </c>
      <c r="K1330" s="15"/>
      <c r="L1330" s="15" t="s">
        <v>41</v>
      </c>
      <c r="M1330" s="15" t="s">
        <v>11687</v>
      </c>
      <c r="N1330" s="15">
        <v>2994871100</v>
      </c>
      <c r="O1330" s="15"/>
      <c r="P1330" s="15" t="s">
        <v>94</v>
      </c>
      <c r="Q1330" s="15" t="s">
        <v>11688</v>
      </c>
      <c r="R1330" s="29">
        <v>824</v>
      </c>
      <c r="S1330" s="30">
        <f t="shared" si="5"/>
        <v>133488</v>
      </c>
      <c r="T1330" s="12" t="s">
        <v>252</v>
      </c>
      <c r="U1330" s="15"/>
      <c r="V1330" s="30">
        <v>123900</v>
      </c>
      <c r="W1330" s="15"/>
      <c r="X1330" s="15"/>
      <c r="Y1330" s="13"/>
      <c r="Z1330" s="13"/>
      <c r="AA1330" s="13">
        <v>4872357</v>
      </c>
      <c r="AB1330" s="13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</row>
    <row r="1331" spans="1:46" ht="45" customHeight="1">
      <c r="A1331" s="12" t="s">
        <v>11689</v>
      </c>
      <c r="B1331" s="13" t="s">
        <v>11690</v>
      </c>
      <c r="C1331" s="66" t="s">
        <v>11691</v>
      </c>
      <c r="D1331" s="15" t="s">
        <v>11692</v>
      </c>
      <c r="E1331" s="15" t="s">
        <v>11693</v>
      </c>
      <c r="F1331" s="15" t="s">
        <v>11693</v>
      </c>
      <c r="G1331" s="15" t="s">
        <v>11694</v>
      </c>
      <c r="H1331" s="15"/>
      <c r="I1331" s="15" t="s">
        <v>149</v>
      </c>
      <c r="J1331" s="15" t="s">
        <v>11694</v>
      </c>
      <c r="K1331" s="15"/>
      <c r="L1331" s="15" t="s">
        <v>149</v>
      </c>
      <c r="M1331" s="15" t="s">
        <v>11695</v>
      </c>
      <c r="N1331" s="15" t="s">
        <v>11696</v>
      </c>
      <c r="O1331" s="15"/>
      <c r="P1331" s="15" t="s">
        <v>3631</v>
      </c>
      <c r="Q1331" s="15" t="s">
        <v>11697</v>
      </c>
      <c r="R1331" s="225">
        <v>123</v>
      </c>
      <c r="S1331" s="19">
        <f t="shared" si="5"/>
        <v>19926</v>
      </c>
      <c r="T1331" s="12" t="s">
        <v>46</v>
      </c>
      <c r="U1331" s="15"/>
      <c r="V1331" s="19">
        <v>44610</v>
      </c>
      <c r="W1331" s="15"/>
      <c r="X1331" s="15"/>
      <c r="Y1331" s="13"/>
      <c r="Z1331" s="13"/>
      <c r="AA1331" s="13">
        <v>4862452</v>
      </c>
      <c r="AB1331" s="13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</row>
    <row r="1332" spans="1:46" ht="45" customHeight="1">
      <c r="A1332" s="12" t="s">
        <v>11698</v>
      </c>
      <c r="B1332" s="13" t="s">
        <v>11699</v>
      </c>
      <c r="C1332" s="66" t="s">
        <v>11700</v>
      </c>
      <c r="D1332" s="15" t="s">
        <v>11701</v>
      </c>
      <c r="E1332" s="15" t="s">
        <v>524</v>
      </c>
      <c r="F1332" s="15" t="s">
        <v>524</v>
      </c>
      <c r="G1332" s="15" t="s">
        <v>11702</v>
      </c>
      <c r="H1332" s="15"/>
      <c r="I1332" s="15" t="s">
        <v>65</v>
      </c>
      <c r="J1332" s="15" t="s">
        <v>11702</v>
      </c>
      <c r="K1332" s="15"/>
      <c r="L1332" s="15" t="s">
        <v>65</v>
      </c>
      <c r="M1332" s="15" t="s">
        <v>11703</v>
      </c>
      <c r="N1332" s="15" t="s">
        <v>11704</v>
      </c>
      <c r="O1332" s="15"/>
      <c r="P1332" s="15" t="s">
        <v>44</v>
      </c>
      <c r="Q1332" s="15" t="s">
        <v>11705</v>
      </c>
      <c r="R1332" s="225">
        <v>20</v>
      </c>
      <c r="S1332" s="19">
        <f t="shared" si="5"/>
        <v>3240</v>
      </c>
      <c r="T1332" s="12" t="s">
        <v>46</v>
      </c>
      <c r="U1332" s="15"/>
      <c r="V1332" s="19">
        <v>44610</v>
      </c>
      <c r="W1332" s="49" t="s">
        <v>71</v>
      </c>
      <c r="X1332" s="15"/>
      <c r="Y1332" s="13"/>
      <c r="Z1332" s="13"/>
      <c r="AA1332" s="13">
        <v>4872334</v>
      </c>
      <c r="AB1332" s="13"/>
      <c r="AC1332" s="49">
        <v>5626845</v>
      </c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</row>
    <row r="1333" spans="1:46" ht="45" customHeight="1">
      <c r="A1333" s="12" t="s">
        <v>11706</v>
      </c>
      <c r="B1333" s="13" t="s">
        <v>11707</v>
      </c>
      <c r="C1333" s="66" t="s">
        <v>11708</v>
      </c>
      <c r="D1333" s="15" t="s">
        <v>11709</v>
      </c>
      <c r="E1333" s="15" t="s">
        <v>11710</v>
      </c>
      <c r="F1333" s="15" t="s">
        <v>11710</v>
      </c>
      <c r="G1333" s="15" t="s">
        <v>11711</v>
      </c>
      <c r="H1333" s="15"/>
      <c r="I1333" s="15" t="s">
        <v>80</v>
      </c>
      <c r="J1333" s="15" t="s">
        <v>11712</v>
      </c>
      <c r="K1333" s="15"/>
      <c r="L1333" s="15" t="s">
        <v>149</v>
      </c>
      <c r="M1333" s="15" t="s">
        <v>11220</v>
      </c>
      <c r="N1333" s="15" t="s">
        <v>11713</v>
      </c>
      <c r="O1333" s="15"/>
      <c r="P1333" s="15" t="s">
        <v>44</v>
      </c>
      <c r="Q1333" s="15" t="s">
        <v>11714</v>
      </c>
      <c r="R1333" s="225">
        <v>38</v>
      </c>
      <c r="S1333" s="19">
        <f t="shared" si="5"/>
        <v>6156</v>
      </c>
      <c r="T1333" s="12" t="s">
        <v>46</v>
      </c>
      <c r="U1333" s="15"/>
      <c r="V1333" s="19">
        <v>44610</v>
      </c>
      <c r="W1333" s="49" t="s">
        <v>47</v>
      </c>
      <c r="X1333" s="15"/>
      <c r="Y1333" s="13"/>
      <c r="Z1333" s="13"/>
      <c r="AA1333" s="13">
        <v>4810476</v>
      </c>
      <c r="AB1333" s="13"/>
      <c r="AC1333" s="49">
        <v>5634475</v>
      </c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</row>
    <row r="1334" spans="1:46" ht="45" customHeight="1">
      <c r="A1334" s="12" t="s">
        <v>11715</v>
      </c>
      <c r="B1334" s="13" t="s">
        <v>11716</v>
      </c>
      <c r="C1334" s="66" t="s">
        <v>11717</v>
      </c>
      <c r="D1334" s="15" t="s">
        <v>11718</v>
      </c>
      <c r="E1334" s="15" t="s">
        <v>11719</v>
      </c>
      <c r="F1334" s="15" t="s">
        <v>11719</v>
      </c>
      <c r="G1334" s="15" t="s">
        <v>11720</v>
      </c>
      <c r="H1334" s="15"/>
      <c r="I1334" s="15" t="s">
        <v>80</v>
      </c>
      <c r="J1334" s="15" t="s">
        <v>11720</v>
      </c>
      <c r="K1334" s="15"/>
      <c r="L1334" s="15" t="s">
        <v>80</v>
      </c>
      <c r="M1334" s="49" t="s">
        <v>11721</v>
      </c>
      <c r="N1334" s="49" t="s">
        <v>11722</v>
      </c>
      <c r="O1334" s="15"/>
      <c r="P1334" s="15" t="s">
        <v>117</v>
      </c>
      <c r="Q1334" s="49" t="s">
        <v>11723</v>
      </c>
      <c r="R1334" s="225">
        <v>207</v>
      </c>
      <c r="S1334" s="19">
        <f t="shared" si="5"/>
        <v>33534</v>
      </c>
      <c r="T1334" s="12" t="s">
        <v>46</v>
      </c>
      <c r="U1334" s="15"/>
      <c r="V1334" s="19">
        <v>44610</v>
      </c>
      <c r="W1334" s="49" t="s">
        <v>71</v>
      </c>
      <c r="X1334" s="15"/>
      <c r="Y1334" s="13"/>
      <c r="Z1334" s="13"/>
      <c r="AA1334" s="13">
        <v>4879580</v>
      </c>
      <c r="AB1334" s="13"/>
      <c r="AC1334" s="15"/>
      <c r="AD1334" s="49">
        <v>6460116</v>
      </c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</row>
    <row r="1335" spans="1:46" ht="45" customHeight="1">
      <c r="A1335" s="12" t="s">
        <v>11724</v>
      </c>
      <c r="B1335" s="13" t="s">
        <v>11725</v>
      </c>
      <c r="C1335" s="66" t="s">
        <v>11726</v>
      </c>
      <c r="D1335" s="15" t="s">
        <v>11727</v>
      </c>
      <c r="E1335" s="15" t="s">
        <v>11728</v>
      </c>
      <c r="F1335" s="15" t="s">
        <v>11728</v>
      </c>
      <c r="G1335" s="15" t="s">
        <v>11729</v>
      </c>
      <c r="H1335" s="15"/>
      <c r="I1335" s="15" t="s">
        <v>80</v>
      </c>
      <c r="J1335" s="15" t="s">
        <v>11729</v>
      </c>
      <c r="K1335" s="15"/>
      <c r="L1335" s="15" t="s">
        <v>80</v>
      </c>
      <c r="M1335" s="15" t="s">
        <v>11730</v>
      </c>
      <c r="N1335" s="15" t="s">
        <v>11731</v>
      </c>
      <c r="O1335" s="15"/>
      <c r="P1335" s="15" t="s">
        <v>94</v>
      </c>
      <c r="Q1335" s="15" t="s">
        <v>11732</v>
      </c>
      <c r="R1335" s="225">
        <v>254</v>
      </c>
      <c r="S1335" s="19">
        <f t="shared" si="5"/>
        <v>41148</v>
      </c>
      <c r="T1335" s="12" t="s">
        <v>46</v>
      </c>
      <c r="U1335" s="15"/>
      <c r="V1335" s="19">
        <v>44610</v>
      </c>
      <c r="W1335" s="15"/>
      <c r="X1335" s="15"/>
      <c r="Y1335" s="13"/>
      <c r="Z1335" s="13"/>
      <c r="AA1335" s="13">
        <v>4879629</v>
      </c>
      <c r="AB1335" s="13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</row>
    <row r="1336" spans="1:46" ht="45" customHeight="1">
      <c r="A1336" s="12" t="s">
        <v>11733</v>
      </c>
      <c r="B1336" s="13" t="s">
        <v>11734</v>
      </c>
      <c r="C1336" s="66" t="s">
        <v>11735</v>
      </c>
      <c r="D1336" s="15" t="s">
        <v>10361</v>
      </c>
      <c r="E1336" s="15" t="s">
        <v>11736</v>
      </c>
      <c r="F1336" s="15" t="s">
        <v>11736</v>
      </c>
      <c r="G1336" s="15" t="s">
        <v>11737</v>
      </c>
      <c r="H1336" s="15" t="s">
        <v>2652</v>
      </c>
      <c r="I1336" s="15" t="s">
        <v>53</v>
      </c>
      <c r="J1336" s="15" t="s">
        <v>11737</v>
      </c>
      <c r="K1336" s="15" t="s">
        <v>2652</v>
      </c>
      <c r="L1336" s="15" t="s">
        <v>53</v>
      </c>
      <c r="M1336" s="15" t="s">
        <v>10589</v>
      </c>
      <c r="N1336" s="15" t="s">
        <v>11738</v>
      </c>
      <c r="O1336" s="15"/>
      <c r="P1336" s="15" t="s">
        <v>94</v>
      </c>
      <c r="Q1336" s="15" t="s">
        <v>11739</v>
      </c>
      <c r="R1336" s="225">
        <v>45</v>
      </c>
      <c r="S1336" s="19">
        <f t="shared" si="5"/>
        <v>7290</v>
      </c>
      <c r="T1336" s="12" t="s">
        <v>46</v>
      </c>
      <c r="U1336" s="15"/>
      <c r="V1336" s="19">
        <v>44610</v>
      </c>
      <c r="W1336" s="15"/>
      <c r="X1336" s="15"/>
      <c r="Y1336" s="13"/>
      <c r="Z1336" s="13"/>
      <c r="AA1336" s="13">
        <v>4896648</v>
      </c>
      <c r="AB1336" s="13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</row>
    <row r="1337" spans="1:46" ht="45" customHeight="1">
      <c r="A1337" s="12" t="s">
        <v>11740</v>
      </c>
      <c r="B1337" s="13" t="s">
        <v>11741</v>
      </c>
      <c r="C1337" s="66" t="s">
        <v>11742</v>
      </c>
      <c r="D1337" s="15" t="s">
        <v>11743</v>
      </c>
      <c r="E1337" s="15" t="s">
        <v>11744</v>
      </c>
      <c r="F1337" s="15" t="s">
        <v>11744</v>
      </c>
      <c r="G1337" s="15" t="s">
        <v>11745</v>
      </c>
      <c r="H1337" s="15"/>
      <c r="I1337" s="15" t="s">
        <v>38</v>
      </c>
      <c r="J1337" s="15" t="s">
        <v>11745</v>
      </c>
      <c r="K1337" s="15"/>
      <c r="L1337" s="15" t="s">
        <v>38</v>
      </c>
      <c r="M1337" s="15" t="s">
        <v>11746</v>
      </c>
      <c r="N1337" s="15">
        <v>2614548737</v>
      </c>
      <c r="O1337" s="15"/>
      <c r="P1337" s="15" t="s">
        <v>1381</v>
      </c>
      <c r="Q1337" s="15" t="s">
        <v>11747</v>
      </c>
      <c r="R1337" s="225">
        <v>206</v>
      </c>
      <c r="S1337" s="19">
        <f t="shared" si="5"/>
        <v>33372</v>
      </c>
      <c r="T1337" s="12" t="s">
        <v>46</v>
      </c>
      <c r="U1337" s="15"/>
      <c r="V1337" s="19">
        <v>44610</v>
      </c>
      <c r="W1337" s="15" t="s">
        <v>71</v>
      </c>
      <c r="X1337" s="15"/>
      <c r="Y1337" s="13"/>
      <c r="Z1337" s="13"/>
      <c r="AA1337" s="13">
        <v>49063231</v>
      </c>
      <c r="AB1337" s="13"/>
      <c r="AC1337" s="15">
        <v>5597879</v>
      </c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</row>
    <row r="1338" spans="1:46" ht="45" customHeight="1">
      <c r="A1338" s="12" t="s">
        <v>11748</v>
      </c>
      <c r="B1338" s="13" t="s">
        <v>11749</v>
      </c>
      <c r="C1338" s="66" t="s">
        <v>11750</v>
      </c>
      <c r="D1338" s="15" t="s">
        <v>11751</v>
      </c>
      <c r="E1338" s="15" t="s">
        <v>11752</v>
      </c>
      <c r="F1338" s="15" t="s">
        <v>11752</v>
      </c>
      <c r="G1338" s="15" t="s">
        <v>11753</v>
      </c>
      <c r="H1338" s="15"/>
      <c r="I1338" s="15" t="s">
        <v>149</v>
      </c>
      <c r="J1338" s="15" t="s">
        <v>11753</v>
      </c>
      <c r="K1338" s="15"/>
      <c r="L1338" s="15" t="s">
        <v>149</v>
      </c>
      <c r="M1338" s="15" t="s">
        <v>11754</v>
      </c>
      <c r="N1338" s="15" t="s">
        <v>11755</v>
      </c>
      <c r="O1338" s="15"/>
      <c r="P1338" s="15" t="s">
        <v>1310</v>
      </c>
      <c r="Q1338" s="15" t="s">
        <v>11756</v>
      </c>
      <c r="R1338" s="225">
        <v>24</v>
      </c>
      <c r="S1338" s="19">
        <f t="shared" si="5"/>
        <v>3888</v>
      </c>
      <c r="T1338" s="12" t="s">
        <v>46</v>
      </c>
      <c r="U1338" s="15"/>
      <c r="V1338" s="19">
        <v>44610</v>
      </c>
      <c r="W1338" s="49" t="s">
        <v>71</v>
      </c>
      <c r="X1338" s="15"/>
      <c r="Y1338" s="13"/>
      <c r="Z1338" s="13"/>
      <c r="AA1338" s="13">
        <v>4816067</v>
      </c>
      <c r="AB1338" s="13"/>
      <c r="AC1338" s="49">
        <v>5635914</v>
      </c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</row>
    <row r="1339" spans="1:46" ht="45" customHeight="1">
      <c r="A1339" s="12" t="s">
        <v>11757</v>
      </c>
      <c r="B1339" s="13" t="s">
        <v>11758</v>
      </c>
      <c r="C1339" s="66" t="s">
        <v>11759</v>
      </c>
      <c r="D1339" s="15" t="s">
        <v>6457</v>
      </c>
      <c r="E1339" s="15" t="s">
        <v>11760</v>
      </c>
      <c r="F1339" s="15" t="s">
        <v>11760</v>
      </c>
      <c r="G1339" s="15" t="s">
        <v>11761</v>
      </c>
      <c r="H1339" s="15" t="s">
        <v>2652</v>
      </c>
      <c r="I1339" s="15" t="s">
        <v>53</v>
      </c>
      <c r="J1339" s="15" t="s">
        <v>11761</v>
      </c>
      <c r="K1339" s="15" t="s">
        <v>2652</v>
      </c>
      <c r="L1339" s="15" t="s">
        <v>53</v>
      </c>
      <c r="M1339" s="15" t="s">
        <v>11762</v>
      </c>
      <c r="N1339" s="15">
        <v>2615415678</v>
      </c>
      <c r="O1339" s="15"/>
      <c r="P1339" s="15" t="s">
        <v>4479</v>
      </c>
      <c r="Q1339" s="15" t="s">
        <v>11763</v>
      </c>
      <c r="R1339" s="225">
        <v>73</v>
      </c>
      <c r="S1339" s="19">
        <f t="shared" si="5"/>
        <v>11826</v>
      </c>
      <c r="T1339" s="12" t="s">
        <v>46</v>
      </c>
      <c r="U1339" s="15"/>
      <c r="V1339" s="19">
        <v>44610</v>
      </c>
      <c r="W1339" s="15" t="s">
        <v>71</v>
      </c>
      <c r="X1339" s="15"/>
      <c r="Y1339" s="13"/>
      <c r="Z1339" s="13"/>
      <c r="AA1339" s="13">
        <v>4928380</v>
      </c>
      <c r="AB1339" s="13"/>
      <c r="AC1339" s="15">
        <v>5593335</v>
      </c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</row>
    <row r="1340" spans="1:46" ht="45" customHeight="1">
      <c r="A1340" s="12" t="s">
        <v>11764</v>
      </c>
      <c r="B1340" s="13" t="s">
        <v>11765</v>
      </c>
      <c r="C1340" s="66" t="s">
        <v>8863</v>
      </c>
      <c r="D1340" s="15" t="s">
        <v>8864</v>
      </c>
      <c r="E1340" s="15" t="s">
        <v>7991</v>
      </c>
      <c r="F1340" s="15" t="s">
        <v>7991</v>
      </c>
      <c r="G1340" s="15" t="s">
        <v>11766</v>
      </c>
      <c r="H1340" s="15"/>
      <c r="I1340" s="15" t="s">
        <v>149</v>
      </c>
      <c r="J1340" s="15" t="s">
        <v>11766</v>
      </c>
      <c r="K1340" s="15"/>
      <c r="L1340" s="15" t="s">
        <v>149</v>
      </c>
      <c r="M1340" s="15" t="s">
        <v>3487</v>
      </c>
      <c r="N1340" s="15">
        <v>2613050927</v>
      </c>
      <c r="O1340" s="15"/>
      <c r="P1340" s="15" t="s">
        <v>94</v>
      </c>
      <c r="Q1340" s="15" t="s">
        <v>11558</v>
      </c>
      <c r="R1340" s="225">
        <v>326</v>
      </c>
      <c r="S1340" s="19">
        <f t="shared" si="5"/>
        <v>52812</v>
      </c>
      <c r="T1340" s="12" t="s">
        <v>46</v>
      </c>
      <c r="U1340" s="15"/>
      <c r="V1340" s="19">
        <v>44610</v>
      </c>
      <c r="W1340" s="15" t="s">
        <v>47</v>
      </c>
      <c r="X1340" s="15"/>
      <c r="Y1340" s="13"/>
      <c r="Z1340" s="13"/>
      <c r="AA1340" s="13">
        <v>4946433</v>
      </c>
      <c r="AB1340" s="13"/>
      <c r="AC1340" s="15">
        <v>5531808</v>
      </c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</row>
    <row r="1341" spans="1:46" ht="45" customHeight="1">
      <c r="A1341" s="12" t="s">
        <v>11767</v>
      </c>
      <c r="B1341" s="13" t="s">
        <v>11768</v>
      </c>
      <c r="C1341" s="66" t="s">
        <v>11769</v>
      </c>
      <c r="D1341" s="15" t="s">
        <v>11770</v>
      </c>
      <c r="E1341" s="15" t="s">
        <v>11760</v>
      </c>
      <c r="F1341" s="15" t="s">
        <v>11760</v>
      </c>
      <c r="G1341" s="15" t="s">
        <v>11771</v>
      </c>
      <c r="H1341" s="15"/>
      <c r="I1341" s="15" t="s">
        <v>6584</v>
      </c>
      <c r="J1341" s="15" t="s">
        <v>11771</v>
      </c>
      <c r="K1341" s="15"/>
      <c r="L1341" s="15" t="s">
        <v>6584</v>
      </c>
      <c r="M1341" s="15" t="s">
        <v>11762</v>
      </c>
      <c r="N1341" s="15">
        <v>2614156278</v>
      </c>
      <c r="O1341" s="15"/>
      <c r="P1341" s="15" t="s">
        <v>4479</v>
      </c>
      <c r="Q1341" s="15" t="s">
        <v>11772</v>
      </c>
      <c r="R1341" s="225">
        <v>59</v>
      </c>
      <c r="S1341" s="19">
        <f t="shared" si="5"/>
        <v>9558</v>
      </c>
      <c r="T1341" s="12" t="s">
        <v>46</v>
      </c>
      <c r="U1341" s="15"/>
      <c r="V1341" s="19">
        <v>44610</v>
      </c>
      <c r="W1341" s="15" t="s">
        <v>71</v>
      </c>
      <c r="X1341" s="15"/>
      <c r="Y1341" s="13"/>
      <c r="Z1341" s="13"/>
      <c r="AA1341" s="13">
        <v>4979090</v>
      </c>
      <c r="AB1341" s="13"/>
      <c r="AC1341" s="15">
        <v>5595835</v>
      </c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</row>
    <row r="1342" spans="1:46" ht="45" customHeight="1">
      <c r="A1342" s="12" t="s">
        <v>11773</v>
      </c>
      <c r="B1342" s="13" t="s">
        <v>11774</v>
      </c>
      <c r="C1342" s="66" t="s">
        <v>11775</v>
      </c>
      <c r="D1342" s="15" t="s">
        <v>6457</v>
      </c>
      <c r="E1342" s="15" t="s">
        <v>11760</v>
      </c>
      <c r="F1342" s="15" t="s">
        <v>11760</v>
      </c>
      <c r="G1342" s="15" t="s">
        <v>11776</v>
      </c>
      <c r="H1342" s="15"/>
      <c r="I1342" s="15" t="s">
        <v>6584</v>
      </c>
      <c r="J1342" s="15" t="s">
        <v>11776</v>
      </c>
      <c r="K1342" s="15"/>
      <c r="L1342" s="15" t="s">
        <v>6584</v>
      </c>
      <c r="M1342" s="15" t="s">
        <v>11762</v>
      </c>
      <c r="N1342" s="15">
        <v>2614156278</v>
      </c>
      <c r="O1342" s="15"/>
      <c r="P1342" s="15" t="s">
        <v>4479</v>
      </c>
      <c r="Q1342" s="15" t="s">
        <v>11777</v>
      </c>
      <c r="R1342" s="225">
        <v>113</v>
      </c>
      <c r="S1342" s="19">
        <f t="shared" si="5"/>
        <v>18306</v>
      </c>
      <c r="T1342" s="12" t="s">
        <v>46</v>
      </c>
      <c r="U1342" s="15"/>
      <c r="V1342" s="19">
        <v>44610</v>
      </c>
      <c r="W1342" s="15" t="s">
        <v>71</v>
      </c>
      <c r="X1342" s="15"/>
      <c r="Y1342" s="13"/>
      <c r="Z1342" s="13"/>
      <c r="AA1342" s="13">
        <v>4959652</v>
      </c>
      <c r="AB1342" s="13"/>
      <c r="AC1342" s="15">
        <v>5594096</v>
      </c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</row>
    <row r="1343" spans="1:46" ht="45" customHeight="1">
      <c r="A1343" s="12" t="s">
        <v>11778</v>
      </c>
      <c r="B1343" s="13" t="s">
        <v>11779</v>
      </c>
      <c r="C1343" s="66" t="s">
        <v>11780</v>
      </c>
      <c r="D1343" s="15" t="s">
        <v>11781</v>
      </c>
      <c r="E1343" s="15" t="s">
        <v>11782</v>
      </c>
      <c r="F1343" s="15" t="s">
        <v>11782</v>
      </c>
      <c r="G1343" s="15" t="s">
        <v>11783</v>
      </c>
      <c r="H1343" s="15"/>
      <c r="I1343" s="15" t="s">
        <v>149</v>
      </c>
      <c r="J1343" s="15" t="s">
        <v>11783</v>
      </c>
      <c r="K1343" s="15"/>
      <c r="L1343" s="15" t="s">
        <v>149</v>
      </c>
      <c r="M1343" s="15" t="s">
        <v>11784</v>
      </c>
      <c r="N1343" s="15" t="s">
        <v>11785</v>
      </c>
      <c r="O1343" s="15"/>
      <c r="P1343" s="15" t="s">
        <v>94</v>
      </c>
      <c r="Q1343" s="15" t="s">
        <v>11786</v>
      </c>
      <c r="R1343" s="225">
        <v>23</v>
      </c>
      <c r="S1343" s="19">
        <f t="shared" si="5"/>
        <v>3726</v>
      </c>
      <c r="T1343" s="12" t="s">
        <v>46</v>
      </c>
      <c r="U1343" s="15"/>
      <c r="V1343" s="19">
        <v>44610</v>
      </c>
      <c r="W1343" s="15" t="s">
        <v>71</v>
      </c>
      <c r="X1343" s="15"/>
      <c r="Y1343" s="13"/>
      <c r="Z1343" s="13"/>
      <c r="AA1343" s="13">
        <v>4944138</v>
      </c>
      <c r="AB1343" s="13"/>
      <c r="AC1343" s="15">
        <v>5528167</v>
      </c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</row>
    <row r="1344" spans="1:46" ht="45" customHeight="1">
      <c r="A1344" s="12" t="s">
        <v>11787</v>
      </c>
      <c r="B1344" s="13" t="s">
        <v>11788</v>
      </c>
      <c r="C1344" s="66" t="s">
        <v>11769</v>
      </c>
      <c r="D1344" s="15" t="s">
        <v>11770</v>
      </c>
      <c r="E1344" s="15" t="s">
        <v>11760</v>
      </c>
      <c r="F1344" s="15" t="s">
        <v>11760</v>
      </c>
      <c r="G1344" s="15" t="s">
        <v>11789</v>
      </c>
      <c r="H1344" s="15"/>
      <c r="I1344" s="15" t="s">
        <v>149</v>
      </c>
      <c r="J1344" s="15" t="s">
        <v>11789</v>
      </c>
      <c r="K1344" s="15"/>
      <c r="L1344" s="15" t="s">
        <v>149</v>
      </c>
      <c r="M1344" s="15" t="s">
        <v>11762</v>
      </c>
      <c r="N1344" s="15" t="s">
        <v>11790</v>
      </c>
      <c r="O1344" s="15"/>
      <c r="P1344" s="15" t="s">
        <v>4479</v>
      </c>
      <c r="Q1344" s="15" t="s">
        <v>11791</v>
      </c>
      <c r="R1344" s="225">
        <v>63</v>
      </c>
      <c r="S1344" s="19">
        <f t="shared" si="5"/>
        <v>10206</v>
      </c>
      <c r="T1344" s="12" t="s">
        <v>46</v>
      </c>
      <c r="U1344" s="15"/>
      <c r="V1344" s="19">
        <v>44610</v>
      </c>
      <c r="W1344" s="15" t="s">
        <v>71</v>
      </c>
      <c r="X1344" s="15"/>
      <c r="Y1344" s="13"/>
      <c r="Z1344" s="13"/>
      <c r="AA1344" s="13">
        <v>4963694</v>
      </c>
      <c r="AB1344" s="13"/>
      <c r="AC1344" s="15">
        <v>5595690</v>
      </c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</row>
    <row r="1345" spans="1:46" ht="45" customHeight="1">
      <c r="A1345" s="21" t="s">
        <v>11792</v>
      </c>
      <c r="B1345" s="13" t="s">
        <v>11793</v>
      </c>
      <c r="C1345" s="66" t="s">
        <v>11794</v>
      </c>
      <c r="D1345" s="15" t="s">
        <v>10968</v>
      </c>
      <c r="E1345" s="15" t="s">
        <v>11795</v>
      </c>
      <c r="F1345" s="15" t="s">
        <v>11795</v>
      </c>
      <c r="G1345" s="15" t="s">
        <v>10970</v>
      </c>
      <c r="H1345" s="15"/>
      <c r="I1345" s="15" t="s">
        <v>80</v>
      </c>
      <c r="J1345" s="15" t="s">
        <v>10970</v>
      </c>
      <c r="K1345" s="15"/>
      <c r="L1345" s="15" t="s">
        <v>80</v>
      </c>
      <c r="M1345" s="49" t="s">
        <v>10973</v>
      </c>
      <c r="N1345" s="15" t="s">
        <v>11796</v>
      </c>
      <c r="O1345" s="15"/>
      <c r="P1345" s="49" t="s">
        <v>11797</v>
      </c>
      <c r="Q1345" s="15" t="s">
        <v>11798</v>
      </c>
      <c r="R1345" s="12">
        <v>3983</v>
      </c>
      <c r="S1345" s="30">
        <f t="shared" si="5"/>
        <v>645246</v>
      </c>
      <c r="T1345" s="12" t="s">
        <v>129</v>
      </c>
      <c r="U1345" s="15"/>
      <c r="V1345" s="30">
        <v>545160</v>
      </c>
      <c r="W1345" s="49" t="s">
        <v>71</v>
      </c>
      <c r="X1345" s="15"/>
      <c r="Y1345" s="15"/>
      <c r="Z1345" s="15"/>
      <c r="AA1345" s="13">
        <v>4950277</v>
      </c>
      <c r="AB1345" s="13"/>
      <c r="AC1345" s="49">
        <v>5622958</v>
      </c>
      <c r="AD1345" s="15"/>
      <c r="AE1345" s="145"/>
      <c r="AF1345" s="145"/>
      <c r="AG1345" s="145"/>
      <c r="AH1345" s="145"/>
      <c r="AI1345" s="145"/>
      <c r="AJ1345" s="145"/>
      <c r="AK1345" s="145"/>
      <c r="AL1345" s="145"/>
      <c r="AM1345" s="145"/>
      <c r="AN1345" s="145"/>
      <c r="AO1345" s="145"/>
      <c r="AP1345" s="145"/>
      <c r="AQ1345" s="145"/>
      <c r="AR1345" s="145"/>
      <c r="AS1345" s="145"/>
      <c r="AT1345" s="145"/>
    </row>
    <row r="1346" spans="1:46" ht="45" customHeight="1">
      <c r="A1346" s="12" t="s">
        <v>11799</v>
      </c>
      <c r="B1346" s="13" t="s">
        <v>11800</v>
      </c>
      <c r="C1346" s="66" t="s">
        <v>11801</v>
      </c>
      <c r="D1346" s="15" t="s">
        <v>9176</v>
      </c>
      <c r="E1346" s="15" t="s">
        <v>11802</v>
      </c>
      <c r="F1346" s="15" t="s">
        <v>11802</v>
      </c>
      <c r="G1346" s="15" t="s">
        <v>11803</v>
      </c>
      <c r="H1346" s="15"/>
      <c r="I1346" s="15" t="s">
        <v>11804</v>
      </c>
      <c r="J1346" s="15" t="s">
        <v>11803</v>
      </c>
      <c r="K1346" s="15"/>
      <c r="L1346" s="15" t="s">
        <v>11804</v>
      </c>
      <c r="M1346" s="49" t="s">
        <v>11805</v>
      </c>
      <c r="N1346" s="15">
        <v>2616773920</v>
      </c>
      <c r="O1346" s="15"/>
      <c r="P1346" s="15" t="s">
        <v>10501</v>
      </c>
      <c r="Q1346" s="15" t="s">
        <v>11806</v>
      </c>
      <c r="R1346" s="12">
        <v>86</v>
      </c>
      <c r="S1346" s="19">
        <f t="shared" si="5"/>
        <v>13932</v>
      </c>
      <c r="T1346" s="12" t="s">
        <v>46</v>
      </c>
      <c r="U1346" s="15"/>
      <c r="V1346" s="19">
        <v>44610</v>
      </c>
      <c r="W1346" s="15" t="s">
        <v>71</v>
      </c>
      <c r="X1346" s="15"/>
      <c r="Y1346" s="15"/>
      <c r="Z1346" s="15"/>
      <c r="AA1346" s="13">
        <v>4967773</v>
      </c>
      <c r="AB1346" s="13"/>
      <c r="AC1346" s="15">
        <v>5528131</v>
      </c>
      <c r="AD1346" s="15"/>
      <c r="AE1346" s="145"/>
      <c r="AF1346" s="145"/>
      <c r="AG1346" s="145"/>
      <c r="AH1346" s="145"/>
      <c r="AI1346" s="145"/>
      <c r="AJ1346" s="145"/>
      <c r="AK1346" s="145"/>
      <c r="AL1346" s="145"/>
      <c r="AM1346" s="145"/>
      <c r="AN1346" s="145"/>
      <c r="AO1346" s="145"/>
      <c r="AP1346" s="145"/>
      <c r="AQ1346" s="145"/>
      <c r="AR1346" s="145"/>
      <c r="AS1346" s="145"/>
      <c r="AT1346" s="145"/>
    </row>
    <row r="1347" spans="1:46" ht="45" customHeight="1">
      <c r="A1347" s="12" t="s">
        <v>11807</v>
      </c>
      <c r="B1347" s="13" t="s">
        <v>11808</v>
      </c>
      <c r="C1347" s="66" t="s">
        <v>11809</v>
      </c>
      <c r="D1347" s="15" t="s">
        <v>11810</v>
      </c>
      <c r="E1347" s="15" t="s">
        <v>3919</v>
      </c>
      <c r="F1347" s="15" t="s">
        <v>3919</v>
      </c>
      <c r="G1347" s="15" t="s">
        <v>11811</v>
      </c>
      <c r="H1347" s="15"/>
      <c r="I1347" s="15" t="s">
        <v>149</v>
      </c>
      <c r="J1347" s="15" t="s">
        <v>11811</v>
      </c>
      <c r="K1347" s="15"/>
      <c r="L1347" s="15" t="s">
        <v>149</v>
      </c>
      <c r="M1347" s="15" t="s">
        <v>3487</v>
      </c>
      <c r="N1347" s="15">
        <v>2613050927</v>
      </c>
      <c r="O1347" s="15"/>
      <c r="P1347" s="15" t="s">
        <v>151</v>
      </c>
      <c r="Q1347" s="15" t="s">
        <v>11812</v>
      </c>
      <c r="R1347" s="12">
        <v>30</v>
      </c>
      <c r="S1347" s="19">
        <f t="shared" si="5"/>
        <v>4860</v>
      </c>
      <c r="T1347" s="12" t="s">
        <v>46</v>
      </c>
      <c r="U1347" s="15"/>
      <c r="V1347" s="19">
        <v>44610</v>
      </c>
      <c r="W1347" s="49" t="s">
        <v>71</v>
      </c>
      <c r="X1347" s="15"/>
      <c r="Y1347" s="15"/>
      <c r="Z1347" s="15"/>
      <c r="AA1347" s="13">
        <v>4959449</v>
      </c>
      <c r="AB1347" s="13"/>
      <c r="AC1347" s="49">
        <v>5628257</v>
      </c>
      <c r="AD1347" s="15"/>
      <c r="AE1347" s="145"/>
      <c r="AF1347" s="145"/>
      <c r="AG1347" s="145"/>
      <c r="AH1347" s="145"/>
      <c r="AI1347" s="145"/>
      <c r="AJ1347" s="145"/>
      <c r="AK1347" s="145"/>
      <c r="AL1347" s="145"/>
      <c r="AM1347" s="145"/>
      <c r="AN1347" s="145"/>
      <c r="AO1347" s="145"/>
      <c r="AP1347" s="145"/>
      <c r="AQ1347" s="145"/>
      <c r="AR1347" s="145"/>
      <c r="AS1347" s="145"/>
      <c r="AT1347" s="145"/>
    </row>
    <row r="1348" spans="1:46" ht="45" customHeight="1">
      <c r="A1348" s="12" t="s">
        <v>11813</v>
      </c>
      <c r="B1348" s="13" t="s">
        <v>11814</v>
      </c>
      <c r="C1348" s="66" t="s">
        <v>11815</v>
      </c>
      <c r="D1348" s="15" t="s">
        <v>11816</v>
      </c>
      <c r="E1348" s="15" t="s">
        <v>11817</v>
      </c>
      <c r="F1348" s="15" t="s">
        <v>11817</v>
      </c>
      <c r="G1348" s="15" t="s">
        <v>11818</v>
      </c>
      <c r="H1348" s="15"/>
      <c r="I1348" s="15" t="s">
        <v>8816</v>
      </c>
      <c r="J1348" s="15" t="s">
        <v>11818</v>
      </c>
      <c r="K1348" s="15"/>
      <c r="L1348" s="15" t="s">
        <v>8816</v>
      </c>
      <c r="M1348" s="15" t="s">
        <v>11819</v>
      </c>
      <c r="N1348" s="15" t="s">
        <v>11820</v>
      </c>
      <c r="O1348" s="15"/>
      <c r="P1348" s="15" t="s">
        <v>5573</v>
      </c>
      <c r="Q1348" s="15" t="s">
        <v>11821</v>
      </c>
      <c r="R1348" s="225">
        <v>247</v>
      </c>
      <c r="S1348" s="19">
        <f t="shared" si="5"/>
        <v>40014</v>
      </c>
      <c r="T1348" s="12" t="s">
        <v>46</v>
      </c>
      <c r="U1348" s="15"/>
      <c r="V1348" s="19">
        <v>44610</v>
      </c>
      <c r="W1348" s="15"/>
      <c r="X1348" s="15"/>
      <c r="Y1348" s="13"/>
      <c r="Z1348" s="13"/>
      <c r="AA1348" s="13">
        <v>4941262</v>
      </c>
      <c r="AB1348" s="13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</row>
    <row r="1349" spans="1:46" ht="45" customHeight="1">
      <c r="A1349" s="21" t="s">
        <v>11822</v>
      </c>
      <c r="B1349" s="13" t="s">
        <v>11823</v>
      </c>
      <c r="C1349" s="66" t="s">
        <v>11824</v>
      </c>
      <c r="D1349" s="15" t="s">
        <v>3205</v>
      </c>
      <c r="E1349" s="15" t="s">
        <v>11825</v>
      </c>
      <c r="F1349" s="15" t="s">
        <v>11825</v>
      </c>
      <c r="G1349" s="15" t="s">
        <v>11826</v>
      </c>
      <c r="H1349" s="15"/>
      <c r="I1349" s="15" t="s">
        <v>2691</v>
      </c>
      <c r="J1349" s="15" t="s">
        <v>11826</v>
      </c>
      <c r="K1349" s="15"/>
      <c r="L1349" s="15" t="s">
        <v>2691</v>
      </c>
      <c r="M1349" s="15" t="s">
        <v>11827</v>
      </c>
      <c r="N1349" s="15">
        <v>2634492171</v>
      </c>
      <c r="O1349" s="15"/>
      <c r="P1349" s="15" t="s">
        <v>94</v>
      </c>
      <c r="Q1349" s="15" t="s">
        <v>11828</v>
      </c>
      <c r="R1349" s="226" t="s">
        <v>5746</v>
      </c>
      <c r="S1349" s="30" t="e">
        <f t="shared" si="5"/>
        <v>#VALUE!</v>
      </c>
      <c r="T1349" s="12" t="s">
        <v>5746</v>
      </c>
      <c r="U1349" s="15"/>
      <c r="V1349" s="30">
        <v>71980</v>
      </c>
      <c r="W1349" s="15"/>
      <c r="X1349" s="15"/>
      <c r="Y1349" s="13"/>
      <c r="Z1349" s="13"/>
      <c r="AA1349" s="13"/>
      <c r="AB1349" s="13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</row>
    <row r="1350" spans="1:46" ht="45" customHeight="1">
      <c r="A1350" s="21" t="s">
        <v>11829</v>
      </c>
      <c r="B1350" s="13" t="s">
        <v>11830</v>
      </c>
      <c r="C1350" s="127" t="s">
        <v>11831</v>
      </c>
      <c r="D1350" s="15" t="s">
        <v>11832</v>
      </c>
      <c r="E1350" s="15" t="s">
        <v>11833</v>
      </c>
      <c r="F1350" s="15" t="s">
        <v>11833</v>
      </c>
      <c r="G1350" s="15" t="s">
        <v>11834</v>
      </c>
      <c r="H1350" s="15"/>
      <c r="I1350" s="15" t="s">
        <v>6584</v>
      </c>
      <c r="J1350" s="15" t="s">
        <v>11834</v>
      </c>
      <c r="K1350" s="15"/>
      <c r="L1350" s="15" t="s">
        <v>6584</v>
      </c>
      <c r="M1350" s="15" t="s">
        <v>11835</v>
      </c>
      <c r="N1350" s="15">
        <v>2634331068</v>
      </c>
      <c r="O1350" s="15"/>
      <c r="P1350" s="15" t="s">
        <v>44</v>
      </c>
      <c r="Q1350" s="15" t="s">
        <v>11836</v>
      </c>
      <c r="R1350" s="226" t="s">
        <v>5746</v>
      </c>
      <c r="S1350" s="30" t="e">
        <f t="shared" si="5"/>
        <v>#VALUE!</v>
      </c>
      <c r="T1350" s="12" t="s">
        <v>5746</v>
      </c>
      <c r="U1350" s="15"/>
      <c r="V1350" s="30">
        <v>71980</v>
      </c>
      <c r="W1350" s="15"/>
      <c r="X1350" s="15"/>
      <c r="Y1350" s="13"/>
      <c r="Z1350" s="13"/>
      <c r="AA1350" s="13"/>
      <c r="AB1350" s="13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</row>
    <row r="1351" spans="1:46" ht="45" customHeight="1">
      <c r="A1351" s="21" t="s">
        <v>11837</v>
      </c>
      <c r="B1351" s="13" t="s">
        <v>11838</v>
      </c>
      <c r="C1351" s="66" t="s">
        <v>11839</v>
      </c>
      <c r="D1351" s="15" t="s">
        <v>11840</v>
      </c>
      <c r="E1351" s="15" t="s">
        <v>7732</v>
      </c>
      <c r="F1351" s="15" t="s">
        <v>7732</v>
      </c>
      <c r="G1351" s="15" t="s">
        <v>11841</v>
      </c>
      <c r="H1351" s="15"/>
      <c r="I1351" s="15" t="s">
        <v>115</v>
      </c>
      <c r="J1351" s="15" t="s">
        <v>11841</v>
      </c>
      <c r="K1351" s="15"/>
      <c r="L1351" s="15" t="s">
        <v>115</v>
      </c>
      <c r="M1351" s="15" t="s">
        <v>11842</v>
      </c>
      <c r="N1351" s="15">
        <v>2613064516</v>
      </c>
      <c r="O1351" s="15"/>
      <c r="P1351" s="15" t="s">
        <v>151</v>
      </c>
      <c r="Q1351" s="15" t="s">
        <v>11843</v>
      </c>
      <c r="R1351" s="226" t="s">
        <v>5746</v>
      </c>
      <c r="S1351" s="30" t="e">
        <f t="shared" si="5"/>
        <v>#VALUE!</v>
      </c>
      <c r="T1351" s="12" t="s">
        <v>5746</v>
      </c>
      <c r="U1351" s="15"/>
      <c r="V1351" s="30">
        <v>71980</v>
      </c>
      <c r="W1351" s="15"/>
      <c r="X1351" s="15"/>
      <c r="Y1351" s="13"/>
      <c r="Z1351" s="13"/>
      <c r="AA1351" s="13"/>
      <c r="AB1351" s="13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</row>
    <row r="1352" spans="1:46" ht="45" customHeight="1">
      <c r="A1352" s="12" t="s">
        <v>11844</v>
      </c>
      <c r="B1352" s="13" t="s">
        <v>11845</v>
      </c>
      <c r="C1352" s="66" t="s">
        <v>11846</v>
      </c>
      <c r="D1352" s="15" t="s">
        <v>11847</v>
      </c>
      <c r="E1352" s="15"/>
      <c r="F1352" s="15"/>
      <c r="G1352" s="15" t="s">
        <v>11848</v>
      </c>
      <c r="H1352" s="15"/>
      <c r="I1352" s="15" t="s">
        <v>65</v>
      </c>
      <c r="J1352" s="15" t="s">
        <v>11848</v>
      </c>
      <c r="K1352" s="15"/>
      <c r="L1352" s="15" t="s">
        <v>65</v>
      </c>
      <c r="M1352" s="49" t="s">
        <v>11849</v>
      </c>
      <c r="N1352" s="49">
        <v>2634567495</v>
      </c>
      <c r="O1352" s="15"/>
      <c r="P1352" s="49" t="s">
        <v>11850</v>
      </c>
      <c r="Q1352" s="15" t="s">
        <v>11851</v>
      </c>
      <c r="R1352" s="227">
        <v>57.993000000000002</v>
      </c>
      <c r="S1352" s="19">
        <f t="shared" si="5"/>
        <v>9394.866</v>
      </c>
      <c r="T1352" s="89" t="s">
        <v>46</v>
      </c>
      <c r="U1352" s="15"/>
      <c r="V1352" s="203">
        <v>44610</v>
      </c>
      <c r="W1352" s="49" t="s">
        <v>47</v>
      </c>
      <c r="X1352" s="15"/>
      <c r="Y1352" s="13"/>
      <c r="Z1352" s="13"/>
      <c r="AA1352" s="13"/>
      <c r="AB1352" s="13"/>
      <c r="AC1352" s="49">
        <v>5635202</v>
      </c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</row>
    <row r="1353" spans="1:46" ht="45" customHeight="1">
      <c r="A1353" s="21" t="s">
        <v>11852</v>
      </c>
      <c r="B1353" s="13" t="s">
        <v>11853</v>
      </c>
      <c r="C1353" s="228" t="s">
        <v>11854</v>
      </c>
      <c r="D1353" s="15" t="s">
        <v>11855</v>
      </c>
      <c r="E1353" s="15"/>
      <c r="F1353" s="15"/>
      <c r="G1353" s="15" t="s">
        <v>11856</v>
      </c>
      <c r="H1353" s="15"/>
      <c r="I1353" s="15" t="s">
        <v>6104</v>
      </c>
      <c r="J1353" s="15" t="s">
        <v>11856</v>
      </c>
      <c r="K1353" s="15"/>
      <c r="L1353" s="15" t="s">
        <v>6104</v>
      </c>
      <c r="M1353" s="15" t="s">
        <v>11857</v>
      </c>
      <c r="N1353" s="15">
        <v>2622568354</v>
      </c>
      <c r="O1353" s="15"/>
      <c r="P1353" s="15" t="s">
        <v>11858</v>
      </c>
      <c r="Q1353" s="15" t="s">
        <v>11859</v>
      </c>
      <c r="R1353" s="12" t="s">
        <v>5746</v>
      </c>
      <c r="S1353" s="30" t="e">
        <f t="shared" si="5"/>
        <v>#VALUE!</v>
      </c>
      <c r="T1353" s="12" t="s">
        <v>5746</v>
      </c>
      <c r="U1353" s="13"/>
      <c r="V1353" s="229">
        <v>71980</v>
      </c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</row>
    <row r="1354" spans="1:46" ht="45" customHeight="1">
      <c r="A1354" s="21" t="s">
        <v>11860</v>
      </c>
      <c r="B1354" s="13" t="s">
        <v>11861</v>
      </c>
      <c r="C1354" s="66" t="s">
        <v>11862</v>
      </c>
      <c r="D1354" s="15" t="s">
        <v>11863</v>
      </c>
      <c r="E1354" s="15"/>
      <c r="F1354" s="15"/>
      <c r="G1354" s="15" t="s">
        <v>11864</v>
      </c>
      <c r="H1354" s="15"/>
      <c r="I1354" s="15" t="s">
        <v>115</v>
      </c>
      <c r="J1354" s="15" t="s">
        <v>11864</v>
      </c>
      <c r="K1354" s="15"/>
      <c r="L1354" s="15" t="s">
        <v>115</v>
      </c>
      <c r="M1354" s="15" t="s">
        <v>11865</v>
      </c>
      <c r="N1354" s="15">
        <v>4320900</v>
      </c>
      <c r="O1354" s="15"/>
      <c r="P1354" s="15" t="s">
        <v>151</v>
      </c>
      <c r="Q1354" s="15" t="s">
        <v>11866</v>
      </c>
      <c r="R1354" s="226" t="s">
        <v>5746</v>
      </c>
      <c r="S1354" s="30" t="e">
        <f t="shared" si="5"/>
        <v>#VALUE!</v>
      </c>
      <c r="T1354" s="12" t="s">
        <v>5746</v>
      </c>
      <c r="U1354" s="15"/>
      <c r="V1354" s="30">
        <v>71980</v>
      </c>
      <c r="W1354" s="15"/>
      <c r="X1354" s="15"/>
      <c r="Y1354" s="13"/>
      <c r="Z1354" s="13"/>
      <c r="AA1354" s="13"/>
      <c r="AB1354" s="13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</row>
    <row r="1355" spans="1:46" ht="45" customHeight="1">
      <c r="A1355" s="12" t="s">
        <v>11867</v>
      </c>
      <c r="B1355" s="13" t="s">
        <v>11868</v>
      </c>
      <c r="C1355" s="66" t="s">
        <v>11869</v>
      </c>
      <c r="D1355" s="15" t="s">
        <v>11452</v>
      </c>
      <c r="E1355" s="15" t="s">
        <v>11453</v>
      </c>
      <c r="F1355" s="15" t="s">
        <v>11453</v>
      </c>
      <c r="G1355" s="15" t="s">
        <v>11870</v>
      </c>
      <c r="H1355" s="15"/>
      <c r="I1355" s="15" t="s">
        <v>38</v>
      </c>
      <c r="J1355" s="15" t="s">
        <v>11870</v>
      </c>
      <c r="K1355" s="15"/>
      <c r="L1355" s="15" t="s">
        <v>38</v>
      </c>
      <c r="M1355" s="15" t="s">
        <v>11455</v>
      </c>
      <c r="N1355" s="15" t="s">
        <v>11871</v>
      </c>
      <c r="O1355" s="15"/>
      <c r="P1355" s="15" t="s">
        <v>117</v>
      </c>
      <c r="Q1355" s="15" t="s">
        <v>11872</v>
      </c>
      <c r="R1355" s="225">
        <v>172</v>
      </c>
      <c r="S1355" s="19">
        <f t="shared" si="5"/>
        <v>27864</v>
      </c>
      <c r="T1355" s="12" t="s">
        <v>46</v>
      </c>
      <c r="U1355" s="15"/>
      <c r="V1355" s="19">
        <v>44610</v>
      </c>
      <c r="W1355" s="15" t="s">
        <v>71</v>
      </c>
      <c r="X1355" s="15"/>
      <c r="Y1355" s="13"/>
      <c r="Z1355" s="13"/>
      <c r="AA1355" s="13">
        <v>5021088</v>
      </c>
      <c r="AB1355" s="13"/>
      <c r="AC1355" s="15">
        <v>5576409</v>
      </c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</row>
    <row r="1356" spans="1:46" ht="45" customHeight="1">
      <c r="A1356" s="21" t="s">
        <v>11873</v>
      </c>
      <c r="B1356" s="13" t="s">
        <v>11874</v>
      </c>
      <c r="C1356" s="66" t="s">
        <v>11875</v>
      </c>
      <c r="D1356" s="15" t="s">
        <v>8898</v>
      </c>
      <c r="E1356" s="15" t="s">
        <v>11876</v>
      </c>
      <c r="F1356" s="15" t="s">
        <v>11876</v>
      </c>
      <c r="G1356" s="15" t="s">
        <v>11877</v>
      </c>
      <c r="H1356" s="15"/>
      <c r="I1356" s="15" t="s">
        <v>7704</v>
      </c>
      <c r="J1356" s="15" t="s">
        <v>11877</v>
      </c>
      <c r="K1356" s="15"/>
      <c r="L1356" s="15" t="s">
        <v>7704</v>
      </c>
      <c r="M1356" s="49" t="s">
        <v>11878</v>
      </c>
      <c r="N1356" s="15" t="s">
        <v>11879</v>
      </c>
      <c r="O1356" s="15"/>
      <c r="P1356" s="15" t="s">
        <v>1224</v>
      </c>
      <c r="Q1356" s="15" t="s">
        <v>11880</v>
      </c>
      <c r="R1356" s="226">
        <v>30737</v>
      </c>
      <c r="S1356" s="30">
        <f>162*R1356</f>
        <v>4979394</v>
      </c>
      <c r="T1356" s="12" t="s">
        <v>70</v>
      </c>
      <c r="U1356" s="15"/>
      <c r="V1356" s="30">
        <f>S1356</f>
        <v>4979394</v>
      </c>
      <c r="W1356" s="15"/>
      <c r="X1356" s="15"/>
      <c r="Y1356" s="13"/>
      <c r="Z1356" s="13"/>
      <c r="AA1356" s="13">
        <v>5024088</v>
      </c>
      <c r="AB1356" s="13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</row>
    <row r="1357" spans="1:46" ht="45" customHeight="1">
      <c r="A1357" s="21" t="s">
        <v>11881</v>
      </c>
      <c r="B1357" s="13" t="s">
        <v>11882</v>
      </c>
      <c r="C1357" s="66" t="s">
        <v>11883</v>
      </c>
      <c r="D1357" s="15" t="s">
        <v>11884</v>
      </c>
      <c r="E1357" s="15"/>
      <c r="F1357" s="15"/>
      <c r="G1357" s="15" t="s">
        <v>11885</v>
      </c>
      <c r="H1357" s="15" t="s">
        <v>11886</v>
      </c>
      <c r="I1357" s="15" t="s">
        <v>65</v>
      </c>
      <c r="J1357" s="15" t="s">
        <v>11885</v>
      </c>
      <c r="K1357" s="15" t="s">
        <v>11886</v>
      </c>
      <c r="L1357" s="15" t="s">
        <v>65</v>
      </c>
      <c r="M1357" s="15" t="s">
        <v>11887</v>
      </c>
      <c r="N1357" s="15">
        <v>2615389806</v>
      </c>
      <c r="O1357" s="15"/>
      <c r="P1357" s="15" t="s">
        <v>44</v>
      </c>
      <c r="Q1357" s="15" t="s">
        <v>11888</v>
      </c>
      <c r="R1357" s="226" t="s">
        <v>5746</v>
      </c>
      <c r="S1357" s="30" t="e">
        <f t="shared" ref="S1357:S1409" si="6">162*R1357</f>
        <v>#VALUE!</v>
      </c>
      <c r="T1357" s="12" t="s">
        <v>5746</v>
      </c>
      <c r="U1357" s="15"/>
      <c r="V1357" s="30">
        <v>71980</v>
      </c>
      <c r="W1357" s="15"/>
      <c r="X1357" s="15"/>
      <c r="Y1357" s="13"/>
      <c r="Z1357" s="13"/>
      <c r="AA1357" s="13"/>
      <c r="AB1357" s="13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</row>
    <row r="1358" spans="1:46" ht="45" customHeight="1">
      <c r="A1358" s="12" t="s">
        <v>11889</v>
      </c>
      <c r="B1358" s="13" t="s">
        <v>11890</v>
      </c>
      <c r="C1358" s="66" t="s">
        <v>11891</v>
      </c>
      <c r="D1358" s="15" t="s">
        <v>6247</v>
      </c>
      <c r="E1358" s="15" t="s">
        <v>11892</v>
      </c>
      <c r="F1358" s="15" t="s">
        <v>11892</v>
      </c>
      <c r="G1358" s="15" t="s">
        <v>11893</v>
      </c>
      <c r="H1358" s="15"/>
      <c r="I1358" s="15" t="s">
        <v>149</v>
      </c>
      <c r="J1358" s="15" t="s">
        <v>11894</v>
      </c>
      <c r="K1358" s="15"/>
      <c r="L1358" s="15" t="s">
        <v>41</v>
      </c>
      <c r="M1358" s="15" t="s">
        <v>5594</v>
      </c>
      <c r="N1358" s="15">
        <v>4222848</v>
      </c>
      <c r="O1358" s="15"/>
      <c r="P1358" s="15" t="s">
        <v>44</v>
      </c>
      <c r="Q1358" s="15" t="s">
        <v>11895</v>
      </c>
      <c r="R1358" s="225">
        <v>47</v>
      </c>
      <c r="S1358" s="19">
        <f t="shared" si="6"/>
        <v>7614</v>
      </c>
      <c r="T1358" s="12" t="s">
        <v>46</v>
      </c>
      <c r="U1358" s="15"/>
      <c r="V1358" s="19">
        <v>44610</v>
      </c>
      <c r="W1358" s="15" t="s">
        <v>71</v>
      </c>
      <c r="X1358" s="15"/>
      <c r="Y1358" s="13"/>
      <c r="Z1358" s="13"/>
      <c r="AA1358" s="13">
        <v>5066809</v>
      </c>
      <c r="AB1358" s="13"/>
      <c r="AC1358" s="15">
        <v>5617938</v>
      </c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</row>
    <row r="1359" spans="1:46" ht="45" customHeight="1">
      <c r="A1359" s="12" t="s">
        <v>11896</v>
      </c>
      <c r="B1359" s="13" t="s">
        <v>11897</v>
      </c>
      <c r="C1359" s="66" t="s">
        <v>11898</v>
      </c>
      <c r="D1359" s="15" t="s">
        <v>11899</v>
      </c>
      <c r="E1359" s="15" t="s">
        <v>11900</v>
      </c>
      <c r="F1359" s="15" t="s">
        <v>11900</v>
      </c>
      <c r="G1359" s="15" t="s">
        <v>11901</v>
      </c>
      <c r="H1359" s="15"/>
      <c r="I1359" s="15" t="s">
        <v>149</v>
      </c>
      <c r="J1359" s="15" t="s">
        <v>11901</v>
      </c>
      <c r="K1359" s="15"/>
      <c r="L1359" s="15" t="s">
        <v>149</v>
      </c>
      <c r="M1359" s="15" t="s">
        <v>11902</v>
      </c>
      <c r="N1359" s="15" t="s">
        <v>11903</v>
      </c>
      <c r="O1359" s="15"/>
      <c r="P1359" s="15" t="s">
        <v>3793</v>
      </c>
      <c r="Q1359" s="15" t="s">
        <v>11904</v>
      </c>
      <c r="R1359" s="225">
        <v>109</v>
      </c>
      <c r="S1359" s="19">
        <f t="shared" si="6"/>
        <v>17658</v>
      </c>
      <c r="T1359" s="12" t="s">
        <v>46</v>
      </c>
      <c r="U1359" s="15"/>
      <c r="V1359" s="19">
        <v>44610</v>
      </c>
      <c r="W1359" s="49" t="s">
        <v>71</v>
      </c>
      <c r="X1359" s="15"/>
      <c r="Y1359" s="13"/>
      <c r="Z1359" s="13"/>
      <c r="AA1359" s="13">
        <v>5066874</v>
      </c>
      <c r="AB1359" s="13"/>
      <c r="AC1359" s="49">
        <v>5621953</v>
      </c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</row>
    <row r="1360" spans="1:46" ht="45" customHeight="1">
      <c r="A1360" s="21" t="s">
        <v>11905</v>
      </c>
      <c r="B1360" s="13" t="s">
        <v>11906</v>
      </c>
      <c r="C1360" s="66" t="s">
        <v>11907</v>
      </c>
      <c r="D1360" s="15" t="s">
        <v>11908</v>
      </c>
      <c r="E1360" s="15" t="s">
        <v>10655</v>
      </c>
      <c r="F1360" s="15" t="s">
        <v>10655</v>
      </c>
      <c r="G1360" s="15" t="s">
        <v>11909</v>
      </c>
      <c r="H1360" s="15"/>
      <c r="I1360" s="15" t="s">
        <v>149</v>
      </c>
      <c r="J1360" s="15" t="s">
        <v>11910</v>
      </c>
      <c r="K1360" s="15"/>
      <c r="L1360" s="15" t="s">
        <v>80</v>
      </c>
      <c r="M1360" s="15" t="s">
        <v>11911</v>
      </c>
      <c r="N1360" s="15">
        <v>156914480</v>
      </c>
      <c r="O1360" s="15"/>
      <c r="P1360" s="15" t="s">
        <v>408</v>
      </c>
      <c r="Q1360" s="49" t="s">
        <v>11912</v>
      </c>
      <c r="R1360" s="226">
        <v>829</v>
      </c>
      <c r="S1360" s="30">
        <f t="shared" si="6"/>
        <v>134298</v>
      </c>
      <c r="T1360" s="12" t="s">
        <v>252</v>
      </c>
      <c r="U1360" s="15"/>
      <c r="V1360" s="30">
        <v>123900</v>
      </c>
      <c r="W1360" s="49" t="s">
        <v>71</v>
      </c>
      <c r="X1360" s="15"/>
      <c r="Y1360" s="13"/>
      <c r="Z1360" s="13"/>
      <c r="AA1360" s="13">
        <v>5067912</v>
      </c>
      <c r="AB1360" s="13"/>
      <c r="AC1360" s="49">
        <v>5631793</v>
      </c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</row>
    <row r="1361" spans="1:46" ht="45" customHeight="1">
      <c r="A1361" s="12" t="s">
        <v>11913</v>
      </c>
      <c r="B1361" s="13" t="s">
        <v>11914</v>
      </c>
      <c r="C1361" s="66" t="s">
        <v>11915</v>
      </c>
      <c r="D1361" s="15" t="s">
        <v>11916</v>
      </c>
      <c r="E1361" s="15" t="s">
        <v>11917</v>
      </c>
      <c r="F1361" s="15" t="s">
        <v>11917</v>
      </c>
      <c r="G1361" s="15" t="s">
        <v>11918</v>
      </c>
      <c r="H1361" s="15"/>
      <c r="I1361" s="15" t="s">
        <v>38</v>
      </c>
      <c r="J1361" s="15" t="s">
        <v>11918</v>
      </c>
      <c r="K1361" s="15"/>
      <c r="L1361" s="15" t="s">
        <v>38</v>
      </c>
      <c r="M1361" s="15" t="s">
        <v>3487</v>
      </c>
      <c r="N1361" s="15">
        <v>2615099655</v>
      </c>
      <c r="O1361" s="15"/>
      <c r="P1361" s="15" t="s">
        <v>44</v>
      </c>
      <c r="Q1361" s="15" t="s">
        <v>11919</v>
      </c>
      <c r="R1361" s="225">
        <v>27</v>
      </c>
      <c r="S1361" s="19">
        <f t="shared" si="6"/>
        <v>4374</v>
      </c>
      <c r="T1361" s="12" t="s">
        <v>46</v>
      </c>
      <c r="U1361" s="15"/>
      <c r="V1361" s="19">
        <v>44610</v>
      </c>
      <c r="W1361" s="15" t="s">
        <v>71</v>
      </c>
      <c r="X1361" s="15"/>
      <c r="Y1361" s="13"/>
      <c r="Z1361" s="13"/>
      <c r="AA1361" s="13">
        <v>5036886</v>
      </c>
      <c r="AB1361" s="13"/>
      <c r="AC1361" s="15">
        <v>5617895</v>
      </c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</row>
    <row r="1362" spans="1:46" ht="45" customHeight="1">
      <c r="A1362" s="12" t="s">
        <v>11920</v>
      </c>
      <c r="B1362" s="13" t="s">
        <v>11921</v>
      </c>
      <c r="C1362" s="66" t="s">
        <v>11922</v>
      </c>
      <c r="D1362" s="15" t="s">
        <v>11923</v>
      </c>
      <c r="E1362" s="15" t="s">
        <v>11924</v>
      </c>
      <c r="F1362" s="15" t="s">
        <v>11924</v>
      </c>
      <c r="G1362" s="15" t="s">
        <v>11925</v>
      </c>
      <c r="H1362" s="15"/>
      <c r="I1362" s="15" t="s">
        <v>41</v>
      </c>
      <c r="J1362" s="15" t="s">
        <v>11925</v>
      </c>
      <c r="K1362" s="15"/>
      <c r="L1362" s="15" t="s">
        <v>9312</v>
      </c>
      <c r="M1362" s="15" t="s">
        <v>11926</v>
      </c>
      <c r="N1362" s="15">
        <v>2625647221</v>
      </c>
      <c r="O1362" s="15"/>
      <c r="P1362" s="15" t="s">
        <v>151</v>
      </c>
      <c r="Q1362" s="49" t="s">
        <v>11927</v>
      </c>
      <c r="R1362" s="225">
        <v>72</v>
      </c>
      <c r="S1362" s="19">
        <f t="shared" si="6"/>
        <v>11664</v>
      </c>
      <c r="T1362" s="12" t="s">
        <v>46</v>
      </c>
      <c r="U1362" s="15"/>
      <c r="V1362" s="19">
        <v>44610</v>
      </c>
      <c r="W1362" s="15"/>
      <c r="X1362" s="15"/>
      <c r="Y1362" s="13"/>
      <c r="Z1362" s="13"/>
      <c r="AA1362" s="13">
        <v>5003718</v>
      </c>
      <c r="AB1362" s="13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</row>
    <row r="1363" spans="1:46" ht="45" customHeight="1">
      <c r="A1363" s="21" t="s">
        <v>11928</v>
      </c>
      <c r="B1363" s="13" t="s">
        <v>11929</v>
      </c>
      <c r="C1363" s="66" t="s">
        <v>11930</v>
      </c>
      <c r="D1363" s="15" t="s">
        <v>11931</v>
      </c>
      <c r="E1363" s="15"/>
      <c r="F1363" s="15"/>
      <c r="G1363" s="15" t="s">
        <v>11932</v>
      </c>
      <c r="H1363" s="15"/>
      <c r="I1363" s="15" t="s">
        <v>53</v>
      </c>
      <c r="J1363" s="15" t="s">
        <v>11933</v>
      </c>
      <c r="K1363" s="15"/>
      <c r="L1363" s="15" t="s">
        <v>115</v>
      </c>
      <c r="M1363" s="15" t="s">
        <v>11934</v>
      </c>
      <c r="N1363" s="15">
        <v>2615925051</v>
      </c>
      <c r="O1363" s="15"/>
      <c r="P1363" s="15" t="s">
        <v>94</v>
      </c>
      <c r="Q1363" s="15" t="s">
        <v>11935</v>
      </c>
      <c r="R1363" s="226" t="s">
        <v>5746</v>
      </c>
      <c r="S1363" s="30" t="e">
        <f t="shared" si="6"/>
        <v>#VALUE!</v>
      </c>
      <c r="T1363" s="12" t="s">
        <v>5746</v>
      </c>
      <c r="U1363" s="15"/>
      <c r="V1363" s="30">
        <v>71980</v>
      </c>
      <c r="W1363" s="15"/>
      <c r="X1363" s="15"/>
      <c r="Y1363" s="13"/>
      <c r="Z1363" s="13"/>
      <c r="AA1363" s="13"/>
      <c r="AB1363" s="13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</row>
    <row r="1364" spans="1:46" ht="45" customHeight="1">
      <c r="A1364" s="21" t="s">
        <v>11936</v>
      </c>
      <c r="B1364" s="13" t="s">
        <v>11937</v>
      </c>
      <c r="C1364" s="66" t="s">
        <v>11938</v>
      </c>
      <c r="D1364" s="15" t="s">
        <v>11939</v>
      </c>
      <c r="E1364" s="230" t="s">
        <v>11940</v>
      </c>
      <c r="F1364" s="49" t="s">
        <v>11940</v>
      </c>
      <c r="G1364" s="49" t="s">
        <v>11941</v>
      </c>
      <c r="H1364" s="49" t="s">
        <v>11942</v>
      </c>
      <c r="I1364" s="15" t="s">
        <v>65</v>
      </c>
      <c r="J1364" s="49" t="s">
        <v>11941</v>
      </c>
      <c r="K1364" s="49" t="s">
        <v>11942</v>
      </c>
      <c r="L1364" s="15" t="s">
        <v>65</v>
      </c>
      <c r="M1364" s="49" t="s">
        <v>11943</v>
      </c>
      <c r="N1364" s="15">
        <v>2612165290</v>
      </c>
      <c r="O1364" s="15"/>
      <c r="P1364" s="49" t="s">
        <v>855</v>
      </c>
      <c r="Q1364" s="15" t="s">
        <v>11944</v>
      </c>
      <c r="R1364" s="231">
        <v>301.52999999999997</v>
      </c>
      <c r="S1364" s="30">
        <f t="shared" si="6"/>
        <v>48847.859999999993</v>
      </c>
      <c r="T1364" s="89" t="s">
        <v>46</v>
      </c>
      <c r="U1364" s="15"/>
      <c r="V1364" s="30">
        <v>71980</v>
      </c>
      <c r="W1364" s="15"/>
      <c r="X1364" s="15"/>
      <c r="Y1364" s="13"/>
      <c r="Z1364" s="13"/>
      <c r="AA1364" s="13"/>
      <c r="AB1364" s="13"/>
      <c r="AC1364" s="49">
        <v>5641585</v>
      </c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</row>
    <row r="1365" spans="1:46" ht="45" customHeight="1">
      <c r="A1365" s="21" t="s">
        <v>11945</v>
      </c>
      <c r="B1365" s="13" t="s">
        <v>11946</v>
      </c>
      <c r="C1365" s="66" t="s">
        <v>11947</v>
      </c>
      <c r="D1365" s="15" t="s">
        <v>11948</v>
      </c>
      <c r="E1365" s="15" t="s">
        <v>11949</v>
      </c>
      <c r="F1365" s="15" t="s">
        <v>11949</v>
      </c>
      <c r="G1365" s="15" t="s">
        <v>11950</v>
      </c>
      <c r="H1365" s="15"/>
      <c r="I1365" s="15" t="s">
        <v>2325</v>
      </c>
      <c r="J1365" s="15" t="s">
        <v>11950</v>
      </c>
      <c r="K1365" s="15" t="s">
        <v>11951</v>
      </c>
      <c r="L1365" s="15" t="s">
        <v>2325</v>
      </c>
      <c r="M1365" s="49" t="s">
        <v>11952</v>
      </c>
      <c r="N1365" s="15">
        <v>2615151824</v>
      </c>
      <c r="O1365" s="15"/>
      <c r="P1365" s="15" t="s">
        <v>11953</v>
      </c>
      <c r="Q1365" s="15" t="s">
        <v>11954</v>
      </c>
      <c r="R1365" s="226">
        <v>1469</v>
      </c>
      <c r="S1365" s="30">
        <f t="shared" si="6"/>
        <v>237978</v>
      </c>
      <c r="T1365" s="12" t="s">
        <v>198</v>
      </c>
      <c r="U1365" s="15"/>
      <c r="V1365" s="30">
        <v>215940</v>
      </c>
      <c r="W1365" s="15" t="s">
        <v>47</v>
      </c>
      <c r="X1365" s="15"/>
      <c r="Y1365" s="13"/>
      <c r="Z1365" s="13"/>
      <c r="AA1365" s="13">
        <v>5021116</v>
      </c>
      <c r="AB1365" s="13"/>
      <c r="AC1365" s="15">
        <v>5590291</v>
      </c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</row>
    <row r="1366" spans="1:46" ht="45" customHeight="1">
      <c r="A1366" s="12" t="s">
        <v>11955</v>
      </c>
      <c r="B1366" s="13" t="s">
        <v>11956</v>
      </c>
      <c r="C1366" s="66" t="s">
        <v>11957</v>
      </c>
      <c r="D1366" s="15" t="s">
        <v>11958</v>
      </c>
      <c r="E1366" s="15" t="s">
        <v>11959</v>
      </c>
      <c r="F1366" s="15" t="s">
        <v>11959</v>
      </c>
      <c r="G1366" s="15" t="s">
        <v>11960</v>
      </c>
      <c r="H1366" s="111" t="s">
        <v>4398</v>
      </c>
      <c r="I1366" s="15" t="s">
        <v>80</v>
      </c>
      <c r="J1366" s="15" t="s">
        <v>11960</v>
      </c>
      <c r="K1366" s="15" t="s">
        <v>4398</v>
      </c>
      <c r="L1366" s="15" t="s">
        <v>80</v>
      </c>
      <c r="M1366" s="15" t="s">
        <v>11961</v>
      </c>
      <c r="N1366" s="15">
        <v>2614530235</v>
      </c>
      <c r="O1366" s="15"/>
      <c r="P1366" s="15" t="s">
        <v>11858</v>
      </c>
      <c r="Q1366" s="49" t="s">
        <v>11962</v>
      </c>
      <c r="R1366" s="225">
        <v>65</v>
      </c>
      <c r="S1366" s="19">
        <f t="shared" si="6"/>
        <v>10530</v>
      </c>
      <c r="T1366" s="12" t="s">
        <v>46</v>
      </c>
      <c r="U1366" s="15"/>
      <c r="V1366" s="19">
        <v>44610</v>
      </c>
      <c r="W1366" s="15" t="s">
        <v>71</v>
      </c>
      <c r="X1366" s="15"/>
      <c r="Y1366" s="13"/>
      <c r="Z1366" s="13"/>
      <c r="AA1366" s="13">
        <v>5047047</v>
      </c>
      <c r="AB1366" s="13"/>
      <c r="AC1366" s="15">
        <v>5616718</v>
      </c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</row>
    <row r="1367" spans="1:46" ht="45" customHeight="1">
      <c r="A1367" s="12" t="s">
        <v>11963</v>
      </c>
      <c r="B1367" s="13" t="s">
        <v>11964</v>
      </c>
      <c r="C1367" s="66" t="s">
        <v>11965</v>
      </c>
      <c r="D1367" s="15" t="s">
        <v>11966</v>
      </c>
      <c r="E1367" s="15" t="s">
        <v>11967</v>
      </c>
      <c r="F1367" s="15" t="s">
        <v>11967</v>
      </c>
      <c r="G1367" s="15" t="s">
        <v>11968</v>
      </c>
      <c r="H1367" s="15"/>
      <c r="I1367" s="15" t="s">
        <v>53</v>
      </c>
      <c r="J1367" s="15" t="s">
        <v>11968</v>
      </c>
      <c r="K1367" s="15"/>
      <c r="L1367" s="15" t="s">
        <v>53</v>
      </c>
      <c r="M1367" s="15" t="s">
        <v>11969</v>
      </c>
      <c r="N1367" s="15">
        <v>2616393491</v>
      </c>
      <c r="O1367" s="15"/>
      <c r="P1367" s="15" t="s">
        <v>151</v>
      </c>
      <c r="Q1367" s="15" t="s">
        <v>11970</v>
      </c>
      <c r="R1367" s="225">
        <v>31</v>
      </c>
      <c r="S1367" s="19">
        <f t="shared" si="6"/>
        <v>5022</v>
      </c>
      <c r="T1367" s="12" t="s">
        <v>46</v>
      </c>
      <c r="U1367" s="15"/>
      <c r="V1367" s="19">
        <v>44610</v>
      </c>
      <c r="W1367" s="49" t="s">
        <v>71</v>
      </c>
      <c r="X1367" s="15"/>
      <c r="Y1367" s="13"/>
      <c r="Z1367" s="13"/>
      <c r="AA1367" s="13">
        <v>5087194</v>
      </c>
      <c r="AB1367" s="13"/>
      <c r="AC1367" s="49">
        <v>5633105</v>
      </c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</row>
    <row r="1368" spans="1:46" ht="45" customHeight="1">
      <c r="A1368" s="12" t="s">
        <v>11971</v>
      </c>
      <c r="B1368" s="13" t="s">
        <v>11972</v>
      </c>
      <c r="C1368" s="66" t="s">
        <v>11973</v>
      </c>
      <c r="D1368" s="15" t="s">
        <v>8414</v>
      </c>
      <c r="E1368" s="15" t="s">
        <v>11974</v>
      </c>
      <c r="F1368" s="15" t="s">
        <v>11974</v>
      </c>
      <c r="G1368" s="15" t="s">
        <v>11975</v>
      </c>
      <c r="H1368" s="15"/>
      <c r="I1368" s="15" t="s">
        <v>115</v>
      </c>
      <c r="J1368" s="15" t="s">
        <v>11976</v>
      </c>
      <c r="K1368" s="15"/>
      <c r="L1368" s="15" t="s">
        <v>881</v>
      </c>
      <c r="M1368" s="15" t="s">
        <v>8454</v>
      </c>
      <c r="N1368" s="15">
        <v>2616079181</v>
      </c>
      <c r="O1368" s="15"/>
      <c r="P1368" s="15" t="s">
        <v>685</v>
      </c>
      <c r="Q1368" s="15" t="s">
        <v>11977</v>
      </c>
      <c r="R1368" s="225">
        <v>95</v>
      </c>
      <c r="S1368" s="19">
        <f t="shared" si="6"/>
        <v>15390</v>
      </c>
      <c r="T1368" s="12" t="s">
        <v>46</v>
      </c>
      <c r="U1368" s="15"/>
      <c r="V1368" s="19">
        <v>44610</v>
      </c>
      <c r="W1368" s="15" t="s">
        <v>71</v>
      </c>
      <c r="X1368" s="15"/>
      <c r="Y1368" s="13"/>
      <c r="Z1368" s="13"/>
      <c r="AA1368" s="13">
        <v>5077837</v>
      </c>
      <c r="AB1368" s="13"/>
      <c r="AC1368" s="15">
        <v>5615365</v>
      </c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</row>
    <row r="1369" spans="1:46" ht="45" customHeight="1">
      <c r="A1369" s="12" t="s">
        <v>11978</v>
      </c>
      <c r="B1369" s="232" t="s">
        <v>11979</v>
      </c>
      <c r="C1369" s="13" t="s">
        <v>11980</v>
      </c>
      <c r="D1369" s="15" t="s">
        <v>11981</v>
      </c>
      <c r="E1369" s="15" t="s">
        <v>11982</v>
      </c>
      <c r="F1369" s="15" t="s">
        <v>11982</v>
      </c>
      <c r="G1369" s="15" t="s">
        <v>11983</v>
      </c>
      <c r="H1369" s="15"/>
      <c r="I1369" s="15" t="s">
        <v>80</v>
      </c>
      <c r="J1369" s="15" t="s">
        <v>11983</v>
      </c>
      <c r="K1369" s="15"/>
      <c r="L1369" s="15" t="s">
        <v>80</v>
      </c>
      <c r="M1369" s="49" t="s">
        <v>11984</v>
      </c>
      <c r="N1369" s="15">
        <v>4768956</v>
      </c>
      <c r="O1369" s="15"/>
      <c r="P1369" s="15" t="s">
        <v>408</v>
      </c>
      <c r="Q1369" s="15" t="s">
        <v>11985</v>
      </c>
      <c r="R1369" s="225">
        <v>362</v>
      </c>
      <c r="S1369" s="19">
        <f t="shared" si="6"/>
        <v>58644</v>
      </c>
      <c r="T1369" s="12" t="s">
        <v>46</v>
      </c>
      <c r="U1369" s="15"/>
      <c r="V1369" s="19">
        <v>44610</v>
      </c>
      <c r="W1369" s="15" t="s">
        <v>71</v>
      </c>
      <c r="X1369" s="15"/>
      <c r="Y1369" s="13"/>
      <c r="Z1369" s="13"/>
      <c r="AA1369" s="13">
        <v>5345413</v>
      </c>
      <c r="AB1369" s="13"/>
      <c r="AC1369" s="49">
        <v>5623141</v>
      </c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</row>
    <row r="1370" spans="1:46" ht="45" customHeight="1">
      <c r="A1370" s="12" t="s">
        <v>11986</v>
      </c>
      <c r="B1370" s="13" t="s">
        <v>11987</v>
      </c>
      <c r="C1370" s="66" t="s">
        <v>11988</v>
      </c>
      <c r="D1370" s="49" t="s">
        <v>11989</v>
      </c>
      <c r="E1370" s="15" t="s">
        <v>11990</v>
      </c>
      <c r="F1370" s="15" t="s">
        <v>11990</v>
      </c>
      <c r="G1370" s="15" t="s">
        <v>11991</v>
      </c>
      <c r="H1370" s="15"/>
      <c r="I1370" s="15" t="s">
        <v>6584</v>
      </c>
      <c r="J1370" s="15" t="s">
        <v>11992</v>
      </c>
      <c r="K1370" s="15"/>
      <c r="L1370" s="15" t="s">
        <v>6584</v>
      </c>
      <c r="M1370" s="15" t="s">
        <v>11993</v>
      </c>
      <c r="N1370" s="15">
        <v>2634424005</v>
      </c>
      <c r="O1370" s="15"/>
      <c r="P1370" s="15" t="s">
        <v>94</v>
      </c>
      <c r="Q1370" s="15" t="s">
        <v>11994</v>
      </c>
      <c r="R1370" s="225">
        <v>85</v>
      </c>
      <c r="S1370" s="19">
        <f t="shared" si="6"/>
        <v>13770</v>
      </c>
      <c r="T1370" s="12" t="s">
        <v>46</v>
      </c>
      <c r="U1370" s="15"/>
      <c r="V1370" s="19">
        <v>44610</v>
      </c>
      <c r="W1370" s="15"/>
      <c r="X1370" s="15"/>
      <c r="Y1370" s="13"/>
      <c r="Z1370" s="13"/>
      <c r="AA1370" s="13">
        <v>5109252</v>
      </c>
      <c r="AB1370" s="13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</row>
    <row r="1371" spans="1:46" ht="45" customHeight="1">
      <c r="A1371" s="21" t="s">
        <v>11995</v>
      </c>
      <c r="B1371" s="13" t="s">
        <v>11996</v>
      </c>
      <c r="C1371" s="66" t="s">
        <v>11997</v>
      </c>
      <c r="D1371" s="15" t="s">
        <v>713</v>
      </c>
      <c r="E1371" s="15" t="s">
        <v>1001</v>
      </c>
      <c r="F1371" s="15" t="s">
        <v>1001</v>
      </c>
      <c r="G1371" s="15" t="s">
        <v>11998</v>
      </c>
      <c r="H1371" s="15"/>
      <c r="I1371" s="15" t="s">
        <v>149</v>
      </c>
      <c r="J1371" s="15" t="s">
        <v>11998</v>
      </c>
      <c r="K1371" s="15"/>
      <c r="L1371" s="15" t="s">
        <v>149</v>
      </c>
      <c r="M1371" s="15" t="s">
        <v>9056</v>
      </c>
      <c r="N1371" s="15">
        <v>2613070464</v>
      </c>
      <c r="O1371" s="15"/>
      <c r="P1371" s="15" t="s">
        <v>717</v>
      </c>
      <c r="Q1371" s="15" t="s">
        <v>11999</v>
      </c>
      <c r="R1371" s="226">
        <v>2726</v>
      </c>
      <c r="S1371" s="30">
        <f t="shared" si="6"/>
        <v>441612</v>
      </c>
      <c r="T1371" s="12" t="s">
        <v>96</v>
      </c>
      <c r="U1371" s="15"/>
      <c r="V1371" s="30">
        <v>368160</v>
      </c>
      <c r="W1371" s="15"/>
      <c r="X1371" s="15"/>
      <c r="Y1371" s="13"/>
      <c r="Z1371" s="13"/>
      <c r="AA1371" s="13">
        <v>5128127</v>
      </c>
      <c r="AB1371" s="13"/>
      <c r="AC1371" s="49">
        <v>5593842</v>
      </c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</row>
    <row r="1372" spans="1:46" ht="45" customHeight="1">
      <c r="A1372" s="12" t="s">
        <v>12000</v>
      </c>
      <c r="B1372" s="13" t="s">
        <v>12001</v>
      </c>
      <c r="C1372" s="66" t="s">
        <v>12002</v>
      </c>
      <c r="D1372" s="15" t="s">
        <v>12003</v>
      </c>
      <c r="E1372" s="15" t="s">
        <v>12004</v>
      </c>
      <c r="F1372" s="15" t="s">
        <v>12004</v>
      </c>
      <c r="G1372" s="15" t="s">
        <v>12005</v>
      </c>
      <c r="H1372" s="15"/>
      <c r="I1372" s="15" t="s">
        <v>53</v>
      </c>
      <c r="J1372" s="15" t="s">
        <v>12005</v>
      </c>
      <c r="K1372" s="15"/>
      <c r="L1372" s="15" t="s">
        <v>53</v>
      </c>
      <c r="M1372" s="15" t="s">
        <v>12006</v>
      </c>
      <c r="N1372" s="15">
        <v>2615608902</v>
      </c>
      <c r="O1372" s="15"/>
      <c r="P1372" s="15" t="s">
        <v>94</v>
      </c>
      <c r="Q1372" s="49" t="s">
        <v>12007</v>
      </c>
      <c r="R1372" s="225">
        <v>65</v>
      </c>
      <c r="S1372" s="19">
        <f t="shared" si="6"/>
        <v>10530</v>
      </c>
      <c r="T1372" s="12" t="s">
        <v>46</v>
      </c>
      <c r="U1372" s="15"/>
      <c r="V1372" s="19">
        <v>44610</v>
      </c>
      <c r="W1372" s="15"/>
      <c r="X1372" s="15"/>
      <c r="Y1372" s="13"/>
      <c r="Z1372" s="13"/>
      <c r="AA1372" s="13">
        <v>5119474</v>
      </c>
      <c r="AB1372" s="13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</row>
    <row r="1373" spans="1:46" ht="45" customHeight="1">
      <c r="A1373" s="12" t="s">
        <v>12008</v>
      </c>
      <c r="B1373" s="13" t="s">
        <v>12009</v>
      </c>
      <c r="C1373" s="66" t="s">
        <v>12010</v>
      </c>
      <c r="D1373" s="15" t="s">
        <v>12011</v>
      </c>
      <c r="E1373" s="15" t="s">
        <v>12012</v>
      </c>
      <c r="F1373" s="15" t="s">
        <v>12012</v>
      </c>
      <c r="G1373" s="15" t="s">
        <v>12013</v>
      </c>
      <c r="H1373" s="15"/>
      <c r="I1373" s="15" t="s">
        <v>41</v>
      </c>
      <c r="J1373" s="15" t="s">
        <v>12013</v>
      </c>
      <c r="K1373" s="15"/>
      <c r="L1373" s="15" t="s">
        <v>41</v>
      </c>
      <c r="M1373" s="15" t="s">
        <v>12014</v>
      </c>
      <c r="N1373" s="15">
        <v>4240800</v>
      </c>
      <c r="O1373" s="15"/>
      <c r="P1373" s="15" t="s">
        <v>10252</v>
      </c>
      <c r="Q1373" s="15" t="s">
        <v>12015</v>
      </c>
      <c r="R1373" s="225">
        <v>453</v>
      </c>
      <c r="S1373" s="19">
        <f t="shared" si="6"/>
        <v>73386</v>
      </c>
      <c r="T1373" s="12" t="s">
        <v>46</v>
      </c>
      <c r="U1373" s="15"/>
      <c r="V1373" s="19">
        <v>44610</v>
      </c>
      <c r="W1373" s="15"/>
      <c r="X1373" s="15"/>
      <c r="Y1373" s="13"/>
      <c r="Z1373" s="13"/>
      <c r="AA1373" s="13">
        <v>5118964</v>
      </c>
      <c r="AB1373" s="13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</row>
    <row r="1374" spans="1:46" ht="45" customHeight="1">
      <c r="A1374" s="12" t="s">
        <v>12016</v>
      </c>
      <c r="B1374" s="13" t="s">
        <v>12017</v>
      </c>
      <c r="C1374" s="66" t="s">
        <v>12018</v>
      </c>
      <c r="D1374" s="15" t="s">
        <v>12019</v>
      </c>
      <c r="E1374" s="15" t="s">
        <v>12020</v>
      </c>
      <c r="F1374" s="15" t="s">
        <v>12020</v>
      </c>
      <c r="G1374" s="15" t="s">
        <v>12021</v>
      </c>
      <c r="H1374" s="15"/>
      <c r="I1374" s="15" t="s">
        <v>149</v>
      </c>
      <c r="J1374" s="15" t="s">
        <v>12021</v>
      </c>
      <c r="K1374" s="15"/>
      <c r="L1374" s="15" t="s">
        <v>149</v>
      </c>
      <c r="M1374" s="15" t="s">
        <v>12022</v>
      </c>
      <c r="N1374" s="15">
        <v>2615646078</v>
      </c>
      <c r="O1374" s="15"/>
      <c r="P1374" s="15" t="s">
        <v>9830</v>
      </c>
      <c r="Q1374" s="15" t="s">
        <v>12023</v>
      </c>
      <c r="R1374" s="225">
        <v>134</v>
      </c>
      <c r="S1374" s="19">
        <f t="shared" si="6"/>
        <v>21708</v>
      </c>
      <c r="T1374" s="12" t="s">
        <v>46</v>
      </c>
      <c r="U1374" s="15"/>
      <c r="V1374" s="19">
        <v>44610</v>
      </c>
      <c r="W1374" s="49" t="s">
        <v>71</v>
      </c>
      <c r="X1374" s="15"/>
      <c r="Y1374" s="13"/>
      <c r="Z1374" s="13"/>
      <c r="AA1374" s="13">
        <v>5130659</v>
      </c>
      <c r="AB1374" s="13"/>
      <c r="AC1374" s="49">
        <v>5635795</v>
      </c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</row>
    <row r="1375" spans="1:46" ht="45" customHeight="1">
      <c r="A1375" s="21" t="s">
        <v>12024</v>
      </c>
      <c r="B1375" s="13" t="s">
        <v>12025</v>
      </c>
      <c r="C1375" s="66" t="s">
        <v>12026</v>
      </c>
      <c r="D1375" s="15" t="s">
        <v>12027</v>
      </c>
      <c r="E1375" s="15" t="s">
        <v>732</v>
      </c>
      <c r="F1375" s="15" t="s">
        <v>732</v>
      </c>
      <c r="G1375" s="15" t="s">
        <v>12028</v>
      </c>
      <c r="H1375" s="15"/>
      <c r="I1375" s="15" t="s">
        <v>41</v>
      </c>
      <c r="J1375" s="15" t="s">
        <v>12028</v>
      </c>
      <c r="K1375" s="15"/>
      <c r="L1375" s="15" t="s">
        <v>41</v>
      </c>
      <c r="M1375" s="15" t="s">
        <v>12029</v>
      </c>
      <c r="N1375" s="15">
        <v>2604557362</v>
      </c>
      <c r="O1375" s="15"/>
      <c r="P1375" s="15" t="s">
        <v>196</v>
      </c>
      <c r="Q1375" s="15" t="s">
        <v>12030</v>
      </c>
      <c r="R1375" s="226">
        <v>1805</v>
      </c>
      <c r="S1375" s="30">
        <f t="shared" si="6"/>
        <v>292410</v>
      </c>
      <c r="T1375" s="12" t="s">
        <v>198</v>
      </c>
      <c r="U1375" s="15"/>
      <c r="V1375" s="30">
        <v>215940</v>
      </c>
      <c r="W1375" s="15" t="s">
        <v>71</v>
      </c>
      <c r="X1375" s="15"/>
      <c r="Y1375" s="13"/>
      <c r="Z1375" s="13"/>
      <c r="AA1375" s="13">
        <v>5071993</v>
      </c>
      <c r="AB1375" s="13"/>
      <c r="AC1375" s="15">
        <v>5526188</v>
      </c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</row>
    <row r="1376" spans="1:46" ht="45" customHeight="1">
      <c r="A1376" s="12" t="s">
        <v>12031</v>
      </c>
      <c r="B1376" s="13" t="s">
        <v>12032</v>
      </c>
      <c r="C1376" s="66" t="s">
        <v>12033</v>
      </c>
      <c r="D1376" s="15" t="s">
        <v>12034</v>
      </c>
      <c r="E1376" s="15" t="s">
        <v>12035</v>
      </c>
      <c r="F1376" s="15" t="s">
        <v>12035</v>
      </c>
      <c r="G1376" s="15" t="s">
        <v>12036</v>
      </c>
      <c r="H1376" s="15"/>
      <c r="I1376" s="15" t="s">
        <v>38</v>
      </c>
      <c r="J1376" s="15" t="s">
        <v>12036</v>
      </c>
      <c r="K1376" s="15"/>
      <c r="L1376" s="15" t="s">
        <v>38</v>
      </c>
      <c r="M1376" s="15" t="s">
        <v>12037</v>
      </c>
      <c r="N1376" s="15">
        <v>4967792</v>
      </c>
      <c r="O1376" s="15"/>
      <c r="P1376" s="15" t="s">
        <v>855</v>
      </c>
      <c r="Q1376" s="15" t="s">
        <v>12038</v>
      </c>
      <c r="R1376" s="225">
        <v>86</v>
      </c>
      <c r="S1376" s="19">
        <f t="shared" si="6"/>
        <v>13932</v>
      </c>
      <c r="T1376" s="12" t="s">
        <v>46</v>
      </c>
      <c r="U1376" s="15"/>
      <c r="V1376" s="19">
        <v>44610</v>
      </c>
      <c r="W1376" s="15" t="s">
        <v>71</v>
      </c>
      <c r="X1376" s="15"/>
      <c r="Y1376" s="13"/>
      <c r="Z1376" s="13"/>
      <c r="AA1376" s="13">
        <v>5152231</v>
      </c>
      <c r="AB1376" s="13"/>
      <c r="AC1376" s="15">
        <v>5581207</v>
      </c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</row>
    <row r="1377" spans="1:46" ht="45" customHeight="1">
      <c r="A1377" s="12" t="s">
        <v>12039</v>
      </c>
      <c r="B1377" s="13" t="s">
        <v>12040</v>
      </c>
      <c r="C1377" s="66" t="s">
        <v>12041</v>
      </c>
      <c r="D1377" s="15" t="s">
        <v>12034</v>
      </c>
      <c r="E1377" s="15" t="s">
        <v>12035</v>
      </c>
      <c r="F1377" s="15" t="s">
        <v>12035</v>
      </c>
      <c r="G1377" s="15" t="s">
        <v>12042</v>
      </c>
      <c r="H1377" s="15"/>
      <c r="I1377" s="15" t="s">
        <v>38</v>
      </c>
      <c r="J1377" s="15" t="s">
        <v>12042</v>
      </c>
      <c r="K1377" s="15"/>
      <c r="L1377" s="15" t="s">
        <v>38</v>
      </c>
      <c r="M1377" s="15" t="s">
        <v>12037</v>
      </c>
      <c r="N1377" s="15">
        <v>4961208</v>
      </c>
      <c r="O1377" s="15"/>
      <c r="P1377" s="15" t="s">
        <v>855</v>
      </c>
      <c r="Q1377" s="15" t="s">
        <v>12043</v>
      </c>
      <c r="R1377" s="225">
        <v>100</v>
      </c>
      <c r="S1377" s="19">
        <f t="shared" si="6"/>
        <v>16200</v>
      </c>
      <c r="T1377" s="12" t="s">
        <v>46</v>
      </c>
      <c r="U1377" s="15"/>
      <c r="V1377" s="19">
        <v>44610</v>
      </c>
      <c r="W1377" s="15" t="s">
        <v>71</v>
      </c>
      <c r="X1377" s="15"/>
      <c r="Y1377" s="13"/>
      <c r="Z1377" s="13"/>
      <c r="AA1377" s="13">
        <v>5152250</v>
      </c>
      <c r="AB1377" s="13"/>
      <c r="AC1377" s="15">
        <v>5581203</v>
      </c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</row>
    <row r="1378" spans="1:46" ht="45" customHeight="1">
      <c r="A1378" s="12" t="s">
        <v>12044</v>
      </c>
      <c r="B1378" s="13" t="s">
        <v>12045</v>
      </c>
      <c r="C1378" s="66" t="s">
        <v>12046</v>
      </c>
      <c r="D1378" s="15" t="s">
        <v>12034</v>
      </c>
      <c r="E1378" s="15" t="s">
        <v>12035</v>
      </c>
      <c r="F1378" s="15" t="s">
        <v>12035</v>
      </c>
      <c r="G1378" s="15" t="s">
        <v>12047</v>
      </c>
      <c r="H1378" s="15" t="s">
        <v>1190</v>
      </c>
      <c r="I1378" s="15" t="s">
        <v>38</v>
      </c>
      <c r="J1378" s="15" t="s">
        <v>12047</v>
      </c>
      <c r="K1378" s="15" t="s">
        <v>12048</v>
      </c>
      <c r="L1378" s="15" t="s">
        <v>38</v>
      </c>
      <c r="M1378" s="15" t="s">
        <v>12037</v>
      </c>
      <c r="N1378" s="15">
        <v>4961705</v>
      </c>
      <c r="O1378" s="15"/>
      <c r="P1378" s="15" t="s">
        <v>855</v>
      </c>
      <c r="Q1378" s="15" t="s">
        <v>12049</v>
      </c>
      <c r="R1378" s="225">
        <v>56</v>
      </c>
      <c r="S1378" s="19">
        <f t="shared" si="6"/>
        <v>9072</v>
      </c>
      <c r="T1378" s="12" t="s">
        <v>46</v>
      </c>
      <c r="U1378" s="15"/>
      <c r="V1378" s="19">
        <v>44610</v>
      </c>
      <c r="W1378" s="15" t="s">
        <v>71</v>
      </c>
      <c r="X1378" s="15"/>
      <c r="Y1378" s="13"/>
      <c r="Z1378" s="13"/>
      <c r="AA1378" s="13">
        <v>5152257</v>
      </c>
      <c r="AB1378" s="13"/>
      <c r="AC1378" s="15">
        <v>5581198</v>
      </c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</row>
    <row r="1379" spans="1:46" ht="45" customHeight="1">
      <c r="A1379" s="12" t="s">
        <v>12050</v>
      </c>
      <c r="B1379" s="13" t="s">
        <v>12051</v>
      </c>
      <c r="C1379" s="66" t="s">
        <v>12052</v>
      </c>
      <c r="D1379" s="15" t="s">
        <v>12034</v>
      </c>
      <c r="E1379" s="15" t="s">
        <v>12035</v>
      </c>
      <c r="F1379" s="15" t="s">
        <v>12035</v>
      </c>
      <c r="G1379" s="15" t="s">
        <v>12053</v>
      </c>
      <c r="H1379" s="15"/>
      <c r="I1379" s="15" t="s">
        <v>80</v>
      </c>
      <c r="J1379" s="15" t="s">
        <v>12053</v>
      </c>
      <c r="K1379" s="15"/>
      <c r="L1379" s="15" t="s">
        <v>80</v>
      </c>
      <c r="M1379" s="15" t="s">
        <v>12037</v>
      </c>
      <c r="N1379" s="15">
        <v>4934146</v>
      </c>
      <c r="O1379" s="15"/>
      <c r="P1379" s="15" t="s">
        <v>855</v>
      </c>
      <c r="Q1379" s="15" t="s">
        <v>12054</v>
      </c>
      <c r="R1379" s="225">
        <v>95</v>
      </c>
      <c r="S1379" s="19">
        <f t="shared" si="6"/>
        <v>15390</v>
      </c>
      <c r="T1379" s="12" t="s">
        <v>46</v>
      </c>
      <c r="U1379" s="15"/>
      <c r="V1379" s="19">
        <v>44610</v>
      </c>
      <c r="W1379" s="15" t="s">
        <v>71</v>
      </c>
      <c r="X1379" s="15"/>
      <c r="Y1379" s="13"/>
      <c r="Z1379" s="13"/>
      <c r="AA1379" s="13">
        <v>5152294</v>
      </c>
      <c r="AB1379" s="13"/>
      <c r="AC1379" s="15">
        <v>5581191</v>
      </c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</row>
    <row r="1380" spans="1:46" ht="45" customHeight="1">
      <c r="A1380" s="12" t="s">
        <v>12055</v>
      </c>
      <c r="B1380" s="13" t="s">
        <v>12056</v>
      </c>
      <c r="C1380" s="66" t="s">
        <v>12057</v>
      </c>
      <c r="D1380" s="15" t="s">
        <v>12034</v>
      </c>
      <c r="E1380" s="15" t="s">
        <v>12035</v>
      </c>
      <c r="F1380" s="15" t="s">
        <v>12035</v>
      </c>
      <c r="G1380" s="15" t="s">
        <v>12058</v>
      </c>
      <c r="H1380" s="15"/>
      <c r="I1380" s="15" t="s">
        <v>38</v>
      </c>
      <c r="J1380" s="15" t="s">
        <v>12058</v>
      </c>
      <c r="K1380" s="15"/>
      <c r="L1380" s="15" t="s">
        <v>38</v>
      </c>
      <c r="M1380" s="15" t="s">
        <v>12037</v>
      </c>
      <c r="N1380" s="15">
        <v>4364886</v>
      </c>
      <c r="O1380" s="15"/>
      <c r="P1380" s="15" t="s">
        <v>855</v>
      </c>
      <c r="Q1380" s="15" t="s">
        <v>12059</v>
      </c>
      <c r="R1380" s="225">
        <v>60</v>
      </c>
      <c r="S1380" s="19">
        <f t="shared" si="6"/>
        <v>9720</v>
      </c>
      <c r="T1380" s="12" t="s">
        <v>46</v>
      </c>
      <c r="U1380" s="15"/>
      <c r="V1380" s="19">
        <v>44610</v>
      </c>
      <c r="W1380" s="15" t="s">
        <v>71</v>
      </c>
      <c r="X1380" s="15"/>
      <c r="Y1380" s="13"/>
      <c r="Z1380" s="13"/>
      <c r="AA1380" s="13">
        <v>5152269</v>
      </c>
      <c r="AB1380" s="13"/>
      <c r="AC1380" s="15">
        <v>5581184</v>
      </c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</row>
    <row r="1381" spans="1:46" ht="45" customHeight="1">
      <c r="A1381" s="12" t="s">
        <v>12060</v>
      </c>
      <c r="B1381" s="13" t="s">
        <v>12061</v>
      </c>
      <c r="C1381" s="66" t="s">
        <v>12062</v>
      </c>
      <c r="D1381" s="15" t="s">
        <v>12034</v>
      </c>
      <c r="E1381" s="15" t="s">
        <v>12035</v>
      </c>
      <c r="F1381" s="15" t="s">
        <v>12035</v>
      </c>
      <c r="G1381" s="15" t="s">
        <v>12063</v>
      </c>
      <c r="H1381" s="15"/>
      <c r="I1381" s="15" t="s">
        <v>80</v>
      </c>
      <c r="J1381" s="15" t="s">
        <v>12063</v>
      </c>
      <c r="K1381" s="15"/>
      <c r="L1381" s="15" t="s">
        <v>80</v>
      </c>
      <c r="M1381" s="15" t="s">
        <v>12037</v>
      </c>
      <c r="N1381" s="15">
        <v>4816782</v>
      </c>
      <c r="O1381" s="15"/>
      <c r="P1381" s="15" t="s">
        <v>855</v>
      </c>
      <c r="Q1381" s="15" t="s">
        <v>12064</v>
      </c>
      <c r="R1381" s="225">
        <v>83</v>
      </c>
      <c r="S1381" s="19">
        <f t="shared" si="6"/>
        <v>13446</v>
      </c>
      <c r="T1381" s="12" t="s">
        <v>46</v>
      </c>
      <c r="U1381" s="15"/>
      <c r="V1381" s="19">
        <v>44610</v>
      </c>
      <c r="W1381" s="15" t="s">
        <v>71</v>
      </c>
      <c r="X1381" s="15"/>
      <c r="Y1381" s="13"/>
      <c r="Z1381" s="13"/>
      <c r="AA1381" s="13">
        <v>5152281</v>
      </c>
      <c r="AB1381" s="13"/>
      <c r="AC1381" s="15">
        <v>5581176</v>
      </c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</row>
    <row r="1382" spans="1:46" ht="45" customHeight="1">
      <c r="A1382" s="12" t="s">
        <v>12065</v>
      </c>
      <c r="B1382" s="13" t="s">
        <v>12066</v>
      </c>
      <c r="C1382" s="66" t="s">
        <v>12067</v>
      </c>
      <c r="D1382" s="15" t="s">
        <v>12034</v>
      </c>
      <c r="E1382" s="15" t="s">
        <v>12035</v>
      </c>
      <c r="F1382" s="15" t="s">
        <v>12035</v>
      </c>
      <c r="G1382" s="15" t="s">
        <v>12068</v>
      </c>
      <c r="H1382" s="15"/>
      <c r="I1382" s="15" t="s">
        <v>80</v>
      </c>
      <c r="J1382" s="15" t="s">
        <v>12068</v>
      </c>
      <c r="K1382" s="15"/>
      <c r="L1382" s="15" t="s">
        <v>80</v>
      </c>
      <c r="M1382" s="15" t="s">
        <v>12069</v>
      </c>
      <c r="N1382" s="15">
        <v>3498141</v>
      </c>
      <c r="O1382" s="15"/>
      <c r="P1382" s="15" t="s">
        <v>855</v>
      </c>
      <c r="Q1382" s="15" t="s">
        <v>12070</v>
      </c>
      <c r="R1382" s="225">
        <v>56</v>
      </c>
      <c r="S1382" s="19">
        <f t="shared" si="6"/>
        <v>9072</v>
      </c>
      <c r="T1382" s="12" t="s">
        <v>46</v>
      </c>
      <c r="U1382" s="15"/>
      <c r="V1382" s="19">
        <v>44610</v>
      </c>
      <c r="W1382" s="15" t="s">
        <v>71</v>
      </c>
      <c r="X1382" s="15"/>
      <c r="Y1382" s="13"/>
      <c r="Z1382" s="13"/>
      <c r="AA1382" s="13">
        <v>5152291</v>
      </c>
      <c r="AB1382" s="13"/>
      <c r="AC1382" s="15">
        <v>5581168</v>
      </c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</row>
    <row r="1383" spans="1:46" ht="45" customHeight="1">
      <c r="A1383" s="12" t="s">
        <v>12071</v>
      </c>
      <c r="B1383" s="13" t="s">
        <v>12072</v>
      </c>
      <c r="C1383" s="66" t="s">
        <v>12073</v>
      </c>
      <c r="D1383" s="15" t="s">
        <v>12074</v>
      </c>
      <c r="E1383" s="15" t="s">
        <v>8178</v>
      </c>
      <c r="F1383" s="15" t="s">
        <v>8178</v>
      </c>
      <c r="G1383" s="15" t="s">
        <v>12075</v>
      </c>
      <c r="H1383" s="15"/>
      <c r="I1383" s="15" t="s">
        <v>65</v>
      </c>
      <c r="J1383" s="15" t="s">
        <v>12075</v>
      </c>
      <c r="K1383" s="15"/>
      <c r="L1383" s="15" t="s">
        <v>65</v>
      </c>
      <c r="M1383" s="15" t="s">
        <v>3283</v>
      </c>
      <c r="N1383" s="15">
        <v>2616668788</v>
      </c>
      <c r="O1383" s="15"/>
      <c r="P1383" s="15" t="s">
        <v>44</v>
      </c>
      <c r="Q1383" s="15" t="s">
        <v>12076</v>
      </c>
      <c r="R1383" s="225">
        <v>22</v>
      </c>
      <c r="S1383" s="19">
        <f t="shared" si="6"/>
        <v>3564</v>
      </c>
      <c r="T1383" s="12" t="s">
        <v>46</v>
      </c>
      <c r="U1383" s="15"/>
      <c r="V1383" s="19">
        <v>44610</v>
      </c>
      <c r="W1383" s="15" t="s">
        <v>47</v>
      </c>
      <c r="X1383" s="15"/>
      <c r="Y1383" s="13"/>
      <c r="Z1383" s="13"/>
      <c r="AA1383" s="13">
        <v>5169845</v>
      </c>
      <c r="AB1383" s="13"/>
      <c r="AC1383" s="15">
        <v>5571149</v>
      </c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</row>
    <row r="1384" spans="1:46" ht="45" customHeight="1">
      <c r="A1384" s="21" t="s">
        <v>12077</v>
      </c>
      <c r="B1384" s="13" t="s">
        <v>12078</v>
      </c>
      <c r="C1384" s="66" t="s">
        <v>12079</v>
      </c>
      <c r="D1384" s="15" t="s">
        <v>7463</v>
      </c>
      <c r="E1384" s="15" t="s">
        <v>12080</v>
      </c>
      <c r="F1384" s="15" t="s">
        <v>12080</v>
      </c>
      <c r="G1384" s="15" t="s">
        <v>12081</v>
      </c>
      <c r="H1384" s="15"/>
      <c r="I1384" s="15" t="s">
        <v>38</v>
      </c>
      <c r="J1384" s="15" t="s">
        <v>12082</v>
      </c>
      <c r="K1384" s="15"/>
      <c r="L1384" s="15" t="s">
        <v>332</v>
      </c>
      <c r="M1384" s="15" t="s">
        <v>7468</v>
      </c>
      <c r="N1384" s="15">
        <v>2614965720</v>
      </c>
      <c r="O1384" s="15"/>
      <c r="P1384" s="15" t="s">
        <v>12083</v>
      </c>
      <c r="Q1384" s="15" t="s">
        <v>12084</v>
      </c>
      <c r="R1384" s="226">
        <v>2154</v>
      </c>
      <c r="S1384" s="30">
        <f t="shared" si="6"/>
        <v>348948</v>
      </c>
      <c r="T1384" s="12" t="s">
        <v>96</v>
      </c>
      <c r="U1384" s="15"/>
      <c r="V1384" s="30">
        <v>368160</v>
      </c>
      <c r="W1384" s="49" t="s">
        <v>71</v>
      </c>
      <c r="X1384" s="15"/>
      <c r="Y1384" s="13"/>
      <c r="Z1384" s="13"/>
      <c r="AA1384" s="13">
        <v>5174357</v>
      </c>
      <c r="AB1384" s="13"/>
      <c r="AC1384" s="49">
        <v>5622292</v>
      </c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</row>
    <row r="1385" spans="1:46" ht="45" customHeight="1">
      <c r="A1385" s="12" t="s">
        <v>12085</v>
      </c>
      <c r="B1385" s="13" t="s">
        <v>12086</v>
      </c>
      <c r="C1385" s="66" t="s">
        <v>12087</v>
      </c>
      <c r="D1385" s="15" t="s">
        <v>12088</v>
      </c>
      <c r="E1385" s="15" t="s">
        <v>8178</v>
      </c>
      <c r="F1385" s="15" t="s">
        <v>8178</v>
      </c>
      <c r="G1385" s="15" t="s">
        <v>12089</v>
      </c>
      <c r="H1385" s="15"/>
      <c r="I1385" s="15" t="s">
        <v>80</v>
      </c>
      <c r="J1385" s="15" t="s">
        <v>12090</v>
      </c>
      <c r="K1385" s="15"/>
      <c r="L1385" s="15" t="s">
        <v>149</v>
      </c>
      <c r="M1385" s="15" t="s">
        <v>12091</v>
      </c>
      <c r="N1385" s="15">
        <v>2615503291</v>
      </c>
      <c r="O1385" s="15"/>
      <c r="P1385" s="15" t="s">
        <v>44</v>
      </c>
      <c r="Q1385" s="15" t="s">
        <v>12092</v>
      </c>
      <c r="R1385" s="225">
        <v>27</v>
      </c>
      <c r="S1385" s="19">
        <f t="shared" si="6"/>
        <v>4374</v>
      </c>
      <c r="T1385" s="12" t="s">
        <v>46</v>
      </c>
      <c r="U1385" s="15"/>
      <c r="V1385" s="19">
        <v>44610</v>
      </c>
      <c r="W1385" s="15" t="s">
        <v>71</v>
      </c>
      <c r="X1385" s="15"/>
      <c r="Y1385" s="13"/>
      <c r="Z1385" s="13"/>
      <c r="AA1385" s="13">
        <v>5145888</v>
      </c>
      <c r="AB1385" s="13"/>
      <c r="AC1385" s="15">
        <v>5620440</v>
      </c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</row>
    <row r="1386" spans="1:46" ht="45" customHeight="1">
      <c r="A1386" s="12" t="s">
        <v>12093</v>
      </c>
      <c r="B1386" s="13" t="s">
        <v>12094</v>
      </c>
      <c r="C1386" s="66" t="s">
        <v>12095</v>
      </c>
      <c r="D1386" s="15" t="s">
        <v>12096</v>
      </c>
      <c r="E1386" s="15" t="s">
        <v>12097</v>
      </c>
      <c r="F1386" s="15" t="s">
        <v>12097</v>
      </c>
      <c r="G1386" s="15" t="s">
        <v>12098</v>
      </c>
      <c r="H1386" s="15"/>
      <c r="I1386" s="15" t="s">
        <v>80</v>
      </c>
      <c r="J1386" s="15" t="s">
        <v>12098</v>
      </c>
      <c r="K1386" s="15"/>
      <c r="L1386" s="15" t="s">
        <v>80</v>
      </c>
      <c r="M1386" s="15" t="s">
        <v>12099</v>
      </c>
      <c r="N1386" s="15">
        <v>261809367</v>
      </c>
      <c r="O1386" s="15"/>
      <c r="P1386" s="15" t="s">
        <v>94</v>
      </c>
      <c r="Q1386" s="15" t="s">
        <v>12100</v>
      </c>
      <c r="R1386" s="225">
        <v>152</v>
      </c>
      <c r="S1386" s="19">
        <f t="shared" si="6"/>
        <v>24624</v>
      </c>
      <c r="T1386" s="12" t="s">
        <v>46</v>
      </c>
      <c r="U1386" s="15"/>
      <c r="V1386" s="19">
        <v>44610</v>
      </c>
      <c r="W1386" s="49" t="s">
        <v>71</v>
      </c>
      <c r="X1386" s="15"/>
      <c r="Y1386" s="13"/>
      <c r="Z1386" s="13"/>
      <c r="AA1386" s="13">
        <v>5167648</v>
      </c>
      <c r="AB1386" s="13"/>
      <c r="AC1386" s="49">
        <v>5625129</v>
      </c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</row>
    <row r="1387" spans="1:46" ht="45" customHeight="1">
      <c r="A1387" s="12" t="s">
        <v>12101</v>
      </c>
      <c r="B1387" s="13" t="s">
        <v>12102</v>
      </c>
      <c r="C1387" s="66" t="s">
        <v>12103</v>
      </c>
      <c r="D1387" s="15" t="s">
        <v>12104</v>
      </c>
      <c r="E1387" s="15" t="s">
        <v>8178</v>
      </c>
      <c r="F1387" s="15" t="s">
        <v>8178</v>
      </c>
      <c r="G1387" s="15" t="s">
        <v>12105</v>
      </c>
      <c r="H1387" s="15"/>
      <c r="I1387" s="15" t="s">
        <v>53</v>
      </c>
      <c r="J1387" s="15" t="s">
        <v>12106</v>
      </c>
      <c r="K1387" s="15"/>
      <c r="L1387" s="15" t="s">
        <v>149</v>
      </c>
      <c r="M1387" s="15" t="s">
        <v>3283</v>
      </c>
      <c r="N1387" s="15">
        <v>2615585219</v>
      </c>
      <c r="O1387" s="15"/>
      <c r="P1387" s="15" t="s">
        <v>44</v>
      </c>
      <c r="Q1387" s="15" t="s">
        <v>12107</v>
      </c>
      <c r="R1387" s="225">
        <v>37</v>
      </c>
      <c r="S1387" s="19">
        <f t="shared" si="6"/>
        <v>5994</v>
      </c>
      <c r="T1387" s="12" t="s">
        <v>46</v>
      </c>
      <c r="U1387" s="15"/>
      <c r="V1387" s="19">
        <v>44610</v>
      </c>
      <c r="W1387" s="15" t="s">
        <v>47</v>
      </c>
      <c r="X1387" s="15"/>
      <c r="Y1387" s="13"/>
      <c r="Z1387" s="13"/>
      <c r="AA1387" s="13">
        <v>5181839</v>
      </c>
      <c r="AB1387" s="13"/>
      <c r="AC1387" s="15">
        <v>5596880</v>
      </c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</row>
    <row r="1388" spans="1:46" ht="45" customHeight="1">
      <c r="A1388" s="12" t="s">
        <v>12108</v>
      </c>
      <c r="B1388" s="13" t="s">
        <v>12109</v>
      </c>
      <c r="C1388" s="66" t="s">
        <v>12110</v>
      </c>
      <c r="D1388" s="15" t="s">
        <v>4216</v>
      </c>
      <c r="E1388" s="15" t="s">
        <v>12111</v>
      </c>
      <c r="F1388" s="15" t="s">
        <v>12111</v>
      </c>
      <c r="G1388" s="15" t="s">
        <v>12112</v>
      </c>
      <c r="H1388" s="15"/>
      <c r="I1388" s="15" t="s">
        <v>41</v>
      </c>
      <c r="J1388" s="15" t="s">
        <v>12112</v>
      </c>
      <c r="K1388" s="15"/>
      <c r="L1388" s="15" t="s">
        <v>41</v>
      </c>
      <c r="M1388" s="15" t="s">
        <v>12113</v>
      </c>
      <c r="N1388" s="15">
        <v>2302341644</v>
      </c>
      <c r="O1388" s="15"/>
      <c r="P1388" s="15" t="s">
        <v>44</v>
      </c>
      <c r="Q1388" s="15" t="s">
        <v>12114</v>
      </c>
      <c r="R1388" s="225">
        <v>44</v>
      </c>
      <c r="S1388" s="19">
        <f t="shared" si="6"/>
        <v>7128</v>
      </c>
      <c r="T1388" s="12" t="s">
        <v>46</v>
      </c>
      <c r="U1388" s="15"/>
      <c r="V1388" s="19">
        <v>44610</v>
      </c>
      <c r="W1388" s="49" t="s">
        <v>71</v>
      </c>
      <c r="X1388" s="15"/>
      <c r="Y1388" s="13"/>
      <c r="Z1388" s="13"/>
      <c r="AA1388" s="13">
        <v>5177926</v>
      </c>
      <c r="AB1388" s="13"/>
      <c r="AC1388" s="49">
        <v>5637037</v>
      </c>
      <c r="AD1388" s="15"/>
      <c r="AE1388" s="145"/>
      <c r="AF1388" s="145"/>
      <c r="AG1388" s="145"/>
      <c r="AH1388" s="145"/>
      <c r="AI1388" s="145"/>
      <c r="AJ1388" s="145"/>
      <c r="AK1388" s="145"/>
      <c r="AL1388" s="145"/>
      <c r="AM1388" s="145"/>
      <c r="AN1388" s="145"/>
      <c r="AO1388" s="145"/>
      <c r="AP1388" s="145"/>
      <c r="AQ1388" s="145"/>
      <c r="AR1388" s="145"/>
      <c r="AS1388" s="145"/>
      <c r="AT1388" s="145"/>
    </row>
    <row r="1389" spans="1:46" ht="45" customHeight="1">
      <c r="A1389" s="12" t="s">
        <v>12115</v>
      </c>
      <c r="B1389" s="13" t="s">
        <v>12116</v>
      </c>
      <c r="C1389" s="66" t="s">
        <v>12117</v>
      </c>
      <c r="D1389" s="15" t="s">
        <v>12118</v>
      </c>
      <c r="E1389" s="15" t="s">
        <v>12119</v>
      </c>
      <c r="F1389" s="15" t="s">
        <v>12119</v>
      </c>
      <c r="G1389" s="15" t="s">
        <v>12120</v>
      </c>
      <c r="H1389" s="15"/>
      <c r="I1389" s="15" t="s">
        <v>53</v>
      </c>
      <c r="J1389" s="15" t="s">
        <v>12121</v>
      </c>
      <c r="K1389" s="15"/>
      <c r="L1389" s="15" t="s">
        <v>38</v>
      </c>
      <c r="M1389" s="15" t="s">
        <v>12122</v>
      </c>
      <c r="N1389" s="15">
        <v>2616833626</v>
      </c>
      <c r="O1389" s="15"/>
      <c r="P1389" s="15" t="s">
        <v>1381</v>
      </c>
      <c r="Q1389" s="49" t="s">
        <v>12123</v>
      </c>
      <c r="R1389" s="225">
        <v>108</v>
      </c>
      <c r="S1389" s="19">
        <f t="shared" si="6"/>
        <v>17496</v>
      </c>
      <c r="T1389" s="12" t="s">
        <v>46</v>
      </c>
      <c r="U1389" s="15"/>
      <c r="V1389" s="19">
        <v>44610</v>
      </c>
      <c r="W1389" s="15"/>
      <c r="X1389" s="15"/>
      <c r="Y1389" s="13"/>
      <c r="Z1389" s="13"/>
      <c r="AA1389" s="13">
        <v>5186360</v>
      </c>
      <c r="AB1389" s="13"/>
      <c r="AC1389" s="15"/>
      <c r="AD1389" s="15"/>
      <c r="AE1389" s="145"/>
      <c r="AF1389" s="145"/>
      <c r="AG1389" s="145"/>
      <c r="AH1389" s="145"/>
      <c r="AI1389" s="145"/>
      <c r="AJ1389" s="145"/>
      <c r="AK1389" s="145"/>
      <c r="AL1389" s="145"/>
      <c r="AM1389" s="145"/>
      <c r="AN1389" s="145"/>
      <c r="AO1389" s="145"/>
      <c r="AP1389" s="145"/>
      <c r="AQ1389" s="145"/>
      <c r="AR1389" s="145"/>
      <c r="AS1389" s="145"/>
      <c r="AT1389" s="145"/>
    </row>
    <row r="1390" spans="1:46" ht="45" customHeight="1">
      <c r="A1390" s="79" t="s">
        <v>12124</v>
      </c>
      <c r="B1390" s="80" t="s">
        <v>12125</v>
      </c>
      <c r="C1390" s="223" t="s">
        <v>12126</v>
      </c>
      <c r="D1390" s="82" t="s">
        <v>12127</v>
      </c>
      <c r="E1390" s="82" t="s">
        <v>12128</v>
      </c>
      <c r="F1390" s="82" t="s">
        <v>12128</v>
      </c>
      <c r="G1390" s="82" t="s">
        <v>12129</v>
      </c>
      <c r="H1390" s="82"/>
      <c r="I1390" s="82" t="s">
        <v>65</v>
      </c>
      <c r="J1390" s="82" t="s">
        <v>12129</v>
      </c>
      <c r="K1390" s="82"/>
      <c r="L1390" s="82" t="s">
        <v>65</v>
      </c>
      <c r="M1390" s="167" t="s">
        <v>12130</v>
      </c>
      <c r="N1390" s="82"/>
      <c r="O1390" s="82"/>
      <c r="P1390" s="82" t="s">
        <v>12131</v>
      </c>
      <c r="Q1390" s="82" t="s">
        <v>12132</v>
      </c>
      <c r="R1390" s="85" t="s">
        <v>770</v>
      </c>
      <c r="S1390" s="86" t="e">
        <f t="shared" si="6"/>
        <v>#VALUE!</v>
      </c>
      <c r="T1390" s="87" t="s">
        <v>770</v>
      </c>
      <c r="U1390" s="82"/>
      <c r="V1390" s="86">
        <v>0</v>
      </c>
      <c r="W1390" s="82" t="s">
        <v>71</v>
      </c>
      <c r="X1390" s="82"/>
      <c r="Y1390" s="80"/>
      <c r="Z1390" s="80"/>
      <c r="AA1390" s="80">
        <v>5145929</v>
      </c>
      <c r="AB1390" s="80"/>
      <c r="AC1390" s="82">
        <v>5571146</v>
      </c>
      <c r="AD1390" s="82"/>
      <c r="AE1390" s="175"/>
      <c r="AF1390" s="175"/>
      <c r="AG1390" s="175"/>
      <c r="AH1390" s="175"/>
      <c r="AI1390" s="175"/>
      <c r="AJ1390" s="175"/>
      <c r="AK1390" s="175"/>
      <c r="AL1390" s="175"/>
      <c r="AM1390" s="175"/>
      <c r="AN1390" s="175"/>
      <c r="AO1390" s="175"/>
      <c r="AP1390" s="175"/>
      <c r="AQ1390" s="175"/>
      <c r="AR1390" s="175"/>
      <c r="AS1390" s="175"/>
      <c r="AT1390" s="175"/>
    </row>
    <row r="1391" spans="1:46" ht="45" customHeight="1">
      <c r="A1391" s="12" t="s">
        <v>12133</v>
      </c>
      <c r="B1391" s="13" t="s">
        <v>12134</v>
      </c>
      <c r="C1391" s="66" t="s">
        <v>12135</v>
      </c>
      <c r="D1391" s="15" t="s">
        <v>12136</v>
      </c>
      <c r="E1391" s="15" t="s">
        <v>12137</v>
      </c>
      <c r="F1391" s="15" t="s">
        <v>12137</v>
      </c>
      <c r="G1391" s="15" t="s">
        <v>12138</v>
      </c>
      <c r="H1391" s="15"/>
      <c r="I1391" s="15" t="s">
        <v>41</v>
      </c>
      <c r="J1391" s="15" t="s">
        <v>12138</v>
      </c>
      <c r="K1391" s="15"/>
      <c r="L1391" s="15" t="s">
        <v>41</v>
      </c>
      <c r="M1391" s="15" t="s">
        <v>11455</v>
      </c>
      <c r="N1391" s="15" t="s">
        <v>11871</v>
      </c>
      <c r="O1391" s="15"/>
      <c r="P1391" s="15" t="s">
        <v>117</v>
      </c>
      <c r="Q1391" s="15" t="s">
        <v>12139</v>
      </c>
      <c r="R1391" s="225">
        <v>217</v>
      </c>
      <c r="S1391" s="19">
        <f t="shared" si="6"/>
        <v>35154</v>
      </c>
      <c r="T1391" s="12" t="s">
        <v>46</v>
      </c>
      <c r="U1391" s="15"/>
      <c r="V1391" s="19">
        <v>44610</v>
      </c>
      <c r="W1391" s="15" t="s">
        <v>71</v>
      </c>
      <c r="X1391" s="15"/>
      <c r="Y1391" s="13"/>
      <c r="Z1391" s="13"/>
      <c r="AA1391" s="13">
        <v>5221364</v>
      </c>
      <c r="AB1391" s="13"/>
      <c r="AC1391" s="15">
        <v>5584946</v>
      </c>
      <c r="AD1391" s="15"/>
      <c r="AE1391" s="145"/>
      <c r="AF1391" s="145"/>
      <c r="AG1391" s="145"/>
      <c r="AH1391" s="145"/>
      <c r="AI1391" s="145"/>
      <c r="AJ1391" s="145"/>
      <c r="AK1391" s="145"/>
      <c r="AL1391" s="145"/>
      <c r="AM1391" s="145"/>
      <c r="AN1391" s="145"/>
      <c r="AO1391" s="145"/>
      <c r="AP1391" s="145"/>
      <c r="AQ1391" s="145"/>
      <c r="AR1391" s="145"/>
      <c r="AS1391" s="145"/>
      <c r="AT1391" s="145"/>
    </row>
    <row r="1392" spans="1:46" ht="45" customHeight="1">
      <c r="A1392" s="12" t="s">
        <v>12140</v>
      </c>
      <c r="B1392" s="13" t="s">
        <v>12141</v>
      </c>
      <c r="C1392" s="66" t="s">
        <v>12142</v>
      </c>
      <c r="D1392" s="15" t="s">
        <v>4216</v>
      </c>
      <c r="E1392" s="15" t="s">
        <v>12143</v>
      </c>
      <c r="F1392" s="15" t="s">
        <v>12143</v>
      </c>
      <c r="G1392" s="15" t="s">
        <v>12144</v>
      </c>
      <c r="H1392" s="15"/>
      <c r="I1392" s="15" t="s">
        <v>6104</v>
      </c>
      <c r="J1392" s="15" t="s">
        <v>12144</v>
      </c>
      <c r="K1392" s="15"/>
      <c r="L1392" s="15" t="s">
        <v>6104</v>
      </c>
      <c r="M1392" s="49" t="s">
        <v>12145</v>
      </c>
      <c r="N1392" s="15" t="s">
        <v>12146</v>
      </c>
      <c r="O1392" s="15"/>
      <c r="P1392" s="15" t="s">
        <v>44</v>
      </c>
      <c r="Q1392" s="15" t="s">
        <v>12147</v>
      </c>
      <c r="R1392" s="225">
        <v>28</v>
      </c>
      <c r="S1392" s="19">
        <f t="shared" si="6"/>
        <v>4536</v>
      </c>
      <c r="T1392" s="12" t="s">
        <v>46</v>
      </c>
      <c r="U1392" s="15"/>
      <c r="V1392" s="19">
        <v>44610</v>
      </c>
      <c r="W1392" s="49" t="s">
        <v>71</v>
      </c>
      <c r="X1392" s="15"/>
      <c r="Y1392" s="13"/>
      <c r="Z1392" s="13"/>
      <c r="AA1392" s="13">
        <v>5219782</v>
      </c>
      <c r="AB1392" s="13"/>
      <c r="AC1392" s="49">
        <v>5637115</v>
      </c>
      <c r="AD1392" s="15"/>
      <c r="AE1392" s="145"/>
      <c r="AF1392" s="145"/>
      <c r="AG1392" s="145"/>
      <c r="AH1392" s="145"/>
      <c r="AI1392" s="145"/>
      <c r="AJ1392" s="145"/>
      <c r="AK1392" s="145"/>
      <c r="AL1392" s="145"/>
      <c r="AM1392" s="145"/>
      <c r="AN1392" s="145"/>
      <c r="AO1392" s="145"/>
      <c r="AP1392" s="145"/>
      <c r="AQ1392" s="145"/>
      <c r="AR1392" s="145"/>
      <c r="AS1392" s="145"/>
      <c r="AT1392" s="145"/>
    </row>
    <row r="1393" spans="1:46" ht="45" customHeight="1">
      <c r="A1393" s="12" t="s">
        <v>12148</v>
      </c>
      <c r="B1393" s="13" t="s">
        <v>12149</v>
      </c>
      <c r="C1393" s="66" t="s">
        <v>12150</v>
      </c>
      <c r="D1393" s="15" t="s">
        <v>12151</v>
      </c>
      <c r="E1393" s="15" t="s">
        <v>12152</v>
      </c>
      <c r="F1393" s="15" t="s">
        <v>12152</v>
      </c>
      <c r="G1393" s="15" t="s">
        <v>12153</v>
      </c>
      <c r="H1393" s="15"/>
      <c r="I1393" s="15" t="s">
        <v>38</v>
      </c>
      <c r="J1393" s="15" t="s">
        <v>12153</v>
      </c>
      <c r="K1393" s="15"/>
      <c r="L1393" s="15" t="s">
        <v>38</v>
      </c>
      <c r="M1393" s="49" t="s">
        <v>12154</v>
      </c>
      <c r="N1393" s="15" t="s">
        <v>12155</v>
      </c>
      <c r="O1393" s="15"/>
      <c r="P1393" s="15" t="s">
        <v>94</v>
      </c>
      <c r="Q1393" s="15" t="s">
        <v>12156</v>
      </c>
      <c r="R1393" s="225">
        <v>228</v>
      </c>
      <c r="S1393" s="19">
        <f t="shared" si="6"/>
        <v>36936</v>
      </c>
      <c r="T1393" s="12" t="s">
        <v>46</v>
      </c>
      <c r="U1393" s="15"/>
      <c r="V1393" s="19">
        <v>44610</v>
      </c>
      <c r="W1393" s="49" t="s">
        <v>47</v>
      </c>
      <c r="X1393" s="15"/>
      <c r="Y1393" s="13"/>
      <c r="Z1393" s="13"/>
      <c r="AA1393" s="13">
        <v>5145936</v>
      </c>
      <c r="AB1393" s="13"/>
      <c r="AC1393" s="49">
        <v>5637117</v>
      </c>
      <c r="AD1393" s="15"/>
      <c r="AE1393" s="145"/>
      <c r="AF1393" s="145"/>
      <c r="AG1393" s="145"/>
      <c r="AH1393" s="145"/>
      <c r="AI1393" s="145"/>
      <c r="AJ1393" s="145"/>
      <c r="AK1393" s="145"/>
      <c r="AL1393" s="145"/>
      <c r="AM1393" s="145"/>
      <c r="AN1393" s="145"/>
      <c r="AO1393" s="145"/>
      <c r="AP1393" s="145"/>
      <c r="AQ1393" s="145"/>
      <c r="AR1393" s="145"/>
      <c r="AS1393" s="145"/>
      <c r="AT1393" s="145"/>
    </row>
    <row r="1394" spans="1:46" ht="45" customHeight="1">
      <c r="A1394" s="21" t="s">
        <v>12157</v>
      </c>
      <c r="B1394" s="13" t="s">
        <v>12158</v>
      </c>
      <c r="C1394" s="66" t="s">
        <v>12159</v>
      </c>
      <c r="D1394" s="15" t="s">
        <v>12160</v>
      </c>
      <c r="E1394" s="15" t="s">
        <v>12161</v>
      </c>
      <c r="F1394" s="15" t="s">
        <v>12161</v>
      </c>
      <c r="G1394" s="15" t="s">
        <v>12162</v>
      </c>
      <c r="H1394" s="15"/>
      <c r="I1394" s="15" t="s">
        <v>80</v>
      </c>
      <c r="J1394" s="15" t="s">
        <v>12162</v>
      </c>
      <c r="K1394" s="15"/>
      <c r="L1394" s="15" t="s">
        <v>80</v>
      </c>
      <c r="M1394" s="15" t="s">
        <v>12163</v>
      </c>
      <c r="N1394" s="15">
        <v>2612757722</v>
      </c>
      <c r="O1394" s="15"/>
      <c r="P1394" s="15" t="s">
        <v>12164</v>
      </c>
      <c r="Q1394" s="15" t="s">
        <v>12165</v>
      </c>
      <c r="R1394" s="226">
        <v>1029</v>
      </c>
      <c r="S1394" s="30">
        <f t="shared" si="6"/>
        <v>166698</v>
      </c>
      <c r="T1394" s="12" t="s">
        <v>198</v>
      </c>
      <c r="U1394" s="15"/>
      <c r="V1394" s="30">
        <v>215940</v>
      </c>
      <c r="W1394" s="15" t="s">
        <v>71</v>
      </c>
      <c r="X1394" s="15"/>
      <c r="Y1394" s="13"/>
      <c r="Z1394" s="13"/>
      <c r="AA1394" s="13">
        <v>5222759</v>
      </c>
      <c r="AB1394" s="13"/>
      <c r="AC1394" s="15">
        <v>5517183</v>
      </c>
      <c r="AD1394" s="15"/>
      <c r="AE1394" s="145"/>
      <c r="AF1394" s="145"/>
      <c r="AG1394" s="145"/>
      <c r="AH1394" s="145"/>
      <c r="AI1394" s="145"/>
      <c r="AJ1394" s="145"/>
      <c r="AK1394" s="145"/>
      <c r="AL1394" s="145"/>
      <c r="AM1394" s="145"/>
      <c r="AN1394" s="145"/>
      <c r="AO1394" s="145"/>
      <c r="AP1394" s="145"/>
      <c r="AQ1394" s="145"/>
      <c r="AR1394" s="145"/>
      <c r="AS1394" s="145"/>
      <c r="AT1394" s="145"/>
    </row>
    <row r="1395" spans="1:46" ht="45" customHeight="1">
      <c r="A1395" s="21" t="s">
        <v>12166</v>
      </c>
      <c r="B1395" s="13" t="s">
        <v>12167</v>
      </c>
      <c r="C1395" s="66" t="s">
        <v>12168</v>
      </c>
      <c r="D1395" s="15" t="s">
        <v>12169</v>
      </c>
      <c r="E1395" s="15" t="s">
        <v>12170</v>
      </c>
      <c r="F1395" s="15" t="s">
        <v>12170</v>
      </c>
      <c r="G1395" s="15" t="s">
        <v>12171</v>
      </c>
      <c r="H1395" s="15"/>
      <c r="I1395" s="15" t="s">
        <v>65</v>
      </c>
      <c r="J1395" s="15" t="s">
        <v>12171</v>
      </c>
      <c r="K1395" s="15"/>
      <c r="L1395" s="15" t="s">
        <v>65</v>
      </c>
      <c r="M1395" s="15" t="s">
        <v>12172</v>
      </c>
      <c r="N1395" s="15">
        <v>2615434754</v>
      </c>
      <c r="O1395" s="15"/>
      <c r="P1395" s="15" t="s">
        <v>3120</v>
      </c>
      <c r="Q1395" s="15" t="s">
        <v>12173</v>
      </c>
      <c r="R1395" s="226">
        <v>1139</v>
      </c>
      <c r="S1395" s="30">
        <f t="shared" si="6"/>
        <v>184518</v>
      </c>
      <c r="T1395" s="12" t="s">
        <v>198</v>
      </c>
      <c r="U1395" s="15"/>
      <c r="V1395" s="30">
        <v>215940</v>
      </c>
      <c r="W1395" s="15" t="s">
        <v>71</v>
      </c>
      <c r="X1395" s="15"/>
      <c r="Y1395" s="13"/>
      <c r="Z1395" s="13"/>
      <c r="AA1395" s="13">
        <v>5225685</v>
      </c>
      <c r="AB1395" s="13"/>
      <c r="AC1395" s="15">
        <v>5615736</v>
      </c>
      <c r="AD1395" s="15"/>
      <c r="AE1395" s="145"/>
      <c r="AF1395" s="145"/>
      <c r="AG1395" s="145"/>
      <c r="AH1395" s="145"/>
      <c r="AI1395" s="145"/>
      <c r="AJ1395" s="145"/>
      <c r="AK1395" s="145"/>
      <c r="AL1395" s="145"/>
      <c r="AM1395" s="145"/>
      <c r="AN1395" s="145"/>
      <c r="AO1395" s="145"/>
      <c r="AP1395" s="145"/>
      <c r="AQ1395" s="145"/>
      <c r="AR1395" s="145"/>
      <c r="AS1395" s="145"/>
      <c r="AT1395" s="145"/>
    </row>
    <row r="1396" spans="1:46" ht="45" customHeight="1">
      <c r="A1396" s="12" t="s">
        <v>12174</v>
      </c>
      <c r="B1396" s="13" t="s">
        <v>12175</v>
      </c>
      <c r="C1396" s="66" t="s">
        <v>12176</v>
      </c>
      <c r="D1396" s="15" t="s">
        <v>12177</v>
      </c>
      <c r="E1396" s="15" t="s">
        <v>12178</v>
      </c>
      <c r="F1396" s="15" t="s">
        <v>12178</v>
      </c>
      <c r="G1396" s="15" t="s">
        <v>12179</v>
      </c>
      <c r="H1396" s="15"/>
      <c r="I1396" s="15" t="s">
        <v>115</v>
      </c>
      <c r="J1396" s="15" t="s">
        <v>12179</v>
      </c>
      <c r="K1396" s="15"/>
      <c r="L1396" s="15" t="s">
        <v>115</v>
      </c>
      <c r="M1396" s="49" t="s">
        <v>12180</v>
      </c>
      <c r="N1396" s="15">
        <v>2615064783</v>
      </c>
      <c r="O1396" s="15"/>
      <c r="P1396" s="15" t="s">
        <v>94</v>
      </c>
      <c r="Q1396" s="15" t="s">
        <v>12181</v>
      </c>
      <c r="R1396" s="225">
        <v>29</v>
      </c>
      <c r="S1396" s="19">
        <f t="shared" si="6"/>
        <v>4698</v>
      </c>
      <c r="T1396" s="12" t="s">
        <v>46</v>
      </c>
      <c r="U1396" s="15"/>
      <c r="V1396" s="19">
        <v>44610</v>
      </c>
      <c r="W1396" s="15"/>
      <c r="X1396" s="15"/>
      <c r="Y1396" s="13"/>
      <c r="Z1396" s="13"/>
      <c r="AA1396" s="13">
        <v>5231452</v>
      </c>
      <c r="AB1396" s="13"/>
      <c r="AC1396" s="15"/>
      <c r="AD1396" s="15"/>
      <c r="AE1396" s="145"/>
      <c r="AF1396" s="145"/>
      <c r="AG1396" s="145"/>
      <c r="AH1396" s="145"/>
      <c r="AI1396" s="145"/>
      <c r="AJ1396" s="145"/>
      <c r="AK1396" s="145"/>
      <c r="AL1396" s="145"/>
      <c r="AM1396" s="145"/>
      <c r="AN1396" s="145"/>
      <c r="AO1396" s="145"/>
      <c r="AP1396" s="145"/>
      <c r="AQ1396" s="145"/>
      <c r="AR1396" s="145"/>
      <c r="AS1396" s="145"/>
      <c r="AT1396" s="145"/>
    </row>
    <row r="1397" spans="1:46" ht="45" customHeight="1">
      <c r="A1397" s="12" t="s">
        <v>12182</v>
      </c>
      <c r="B1397" s="13" t="s">
        <v>12183</v>
      </c>
      <c r="C1397" s="66" t="s">
        <v>12184</v>
      </c>
      <c r="D1397" s="15" t="s">
        <v>12185</v>
      </c>
      <c r="E1397" s="15" t="s">
        <v>12186</v>
      </c>
      <c r="F1397" s="15" t="s">
        <v>12186</v>
      </c>
      <c r="G1397" s="15" t="s">
        <v>12187</v>
      </c>
      <c r="H1397" s="15"/>
      <c r="I1397" s="15" t="s">
        <v>41</v>
      </c>
      <c r="J1397" s="15" t="s">
        <v>12187</v>
      </c>
      <c r="K1397" s="15"/>
      <c r="L1397" s="15" t="s">
        <v>41</v>
      </c>
      <c r="M1397" s="15" t="s">
        <v>12188</v>
      </c>
      <c r="N1397" s="15">
        <v>2604519035</v>
      </c>
      <c r="O1397" s="15"/>
      <c r="P1397" s="15" t="s">
        <v>94</v>
      </c>
      <c r="Q1397" s="49" t="s">
        <v>12189</v>
      </c>
      <c r="R1397" s="225">
        <v>296</v>
      </c>
      <c r="S1397" s="19">
        <f t="shared" si="6"/>
        <v>47952</v>
      </c>
      <c r="T1397" s="12" t="s">
        <v>46</v>
      </c>
      <c r="U1397" s="15"/>
      <c r="V1397" s="19">
        <v>44610</v>
      </c>
      <c r="W1397" s="15"/>
      <c r="X1397" s="15"/>
      <c r="Y1397" s="13"/>
      <c r="Z1397" s="13"/>
      <c r="AA1397" s="13">
        <v>5238684</v>
      </c>
      <c r="AB1397" s="13"/>
      <c r="AC1397" s="15"/>
      <c r="AD1397" s="15"/>
      <c r="AE1397" s="145"/>
      <c r="AF1397" s="145"/>
      <c r="AG1397" s="145"/>
      <c r="AH1397" s="145"/>
      <c r="AI1397" s="145"/>
      <c r="AJ1397" s="145"/>
      <c r="AK1397" s="145"/>
      <c r="AL1397" s="145"/>
      <c r="AM1397" s="145"/>
      <c r="AN1397" s="145"/>
      <c r="AO1397" s="145"/>
      <c r="AP1397" s="145"/>
      <c r="AQ1397" s="145"/>
      <c r="AR1397" s="145"/>
      <c r="AS1397" s="145"/>
      <c r="AT1397" s="145"/>
    </row>
    <row r="1398" spans="1:46" ht="45" customHeight="1">
      <c r="A1398" s="12" t="s">
        <v>12190</v>
      </c>
      <c r="B1398" s="13" t="s">
        <v>12191</v>
      </c>
      <c r="C1398" s="66" t="s">
        <v>12192</v>
      </c>
      <c r="D1398" s="15" t="s">
        <v>12193</v>
      </c>
      <c r="E1398" s="15" t="s">
        <v>12194</v>
      </c>
      <c r="F1398" s="15" t="s">
        <v>12194</v>
      </c>
      <c r="G1398" s="15" t="s">
        <v>12195</v>
      </c>
      <c r="H1398" s="15"/>
      <c r="I1398" s="15" t="s">
        <v>80</v>
      </c>
      <c r="J1398" s="15" t="s">
        <v>12195</v>
      </c>
      <c r="K1398" s="15"/>
      <c r="L1398" s="15" t="s">
        <v>80</v>
      </c>
      <c r="M1398" s="15" t="s">
        <v>12196</v>
      </c>
      <c r="N1398" s="15">
        <v>2615571524</v>
      </c>
      <c r="O1398" s="15"/>
      <c r="P1398" s="15" t="s">
        <v>12197</v>
      </c>
      <c r="Q1398" s="49" t="s">
        <v>12198</v>
      </c>
      <c r="R1398" s="225">
        <v>115</v>
      </c>
      <c r="S1398" s="19">
        <f t="shared" si="6"/>
        <v>18630</v>
      </c>
      <c r="T1398" s="12" t="s">
        <v>46</v>
      </c>
      <c r="U1398" s="15"/>
      <c r="V1398" s="19">
        <v>44610</v>
      </c>
      <c r="W1398" s="15"/>
      <c r="X1398" s="15"/>
      <c r="Y1398" s="13"/>
      <c r="Z1398" s="13"/>
      <c r="AA1398" s="13">
        <v>5242532</v>
      </c>
      <c r="AB1398" s="13"/>
      <c r="AC1398" s="15"/>
      <c r="AD1398" s="15"/>
      <c r="AE1398" s="145"/>
      <c r="AF1398" s="145"/>
      <c r="AG1398" s="145"/>
      <c r="AH1398" s="145"/>
      <c r="AI1398" s="145"/>
      <c r="AJ1398" s="145"/>
      <c r="AK1398" s="145"/>
      <c r="AL1398" s="145"/>
      <c r="AM1398" s="145"/>
      <c r="AN1398" s="145"/>
      <c r="AO1398" s="145"/>
      <c r="AP1398" s="145"/>
      <c r="AQ1398" s="145"/>
      <c r="AR1398" s="145"/>
      <c r="AS1398" s="145"/>
      <c r="AT1398" s="145"/>
    </row>
    <row r="1399" spans="1:46" ht="45" customHeight="1">
      <c r="A1399" s="12" t="s">
        <v>12199</v>
      </c>
      <c r="B1399" s="13" t="s">
        <v>12200</v>
      </c>
      <c r="C1399" s="66" t="s">
        <v>12201</v>
      </c>
      <c r="D1399" s="15" t="s">
        <v>12202</v>
      </c>
      <c r="E1399" s="15" t="s">
        <v>12203</v>
      </c>
      <c r="F1399" s="15" t="s">
        <v>12203</v>
      </c>
      <c r="G1399" s="15" t="s">
        <v>12204</v>
      </c>
      <c r="H1399" s="15"/>
      <c r="I1399" s="15" t="s">
        <v>149</v>
      </c>
      <c r="J1399" s="15" t="s">
        <v>12204</v>
      </c>
      <c r="K1399" s="15"/>
      <c r="L1399" s="15" t="s">
        <v>149</v>
      </c>
      <c r="M1399" s="15" t="s">
        <v>12205</v>
      </c>
      <c r="N1399" s="15">
        <v>2616147754</v>
      </c>
      <c r="O1399" s="15"/>
      <c r="P1399" s="15" t="s">
        <v>44</v>
      </c>
      <c r="Q1399" s="15" t="s">
        <v>12206</v>
      </c>
      <c r="R1399" s="225">
        <v>20</v>
      </c>
      <c r="S1399" s="19">
        <f t="shared" si="6"/>
        <v>3240</v>
      </c>
      <c r="T1399" s="12" t="s">
        <v>46</v>
      </c>
      <c r="U1399" s="15"/>
      <c r="V1399" s="19">
        <v>44610</v>
      </c>
      <c r="W1399" s="15"/>
      <c r="X1399" s="15"/>
      <c r="Y1399" s="13"/>
      <c r="Z1399" s="13"/>
      <c r="AA1399" s="13">
        <v>5247918</v>
      </c>
      <c r="AB1399" s="13"/>
      <c r="AC1399" s="15"/>
      <c r="AD1399" s="15"/>
      <c r="AE1399" s="145"/>
      <c r="AF1399" s="145"/>
      <c r="AG1399" s="145"/>
      <c r="AH1399" s="145"/>
      <c r="AI1399" s="145"/>
      <c r="AJ1399" s="145"/>
      <c r="AK1399" s="145"/>
      <c r="AL1399" s="145"/>
      <c r="AM1399" s="145"/>
      <c r="AN1399" s="145"/>
      <c r="AO1399" s="145"/>
      <c r="AP1399" s="145"/>
      <c r="AQ1399" s="145"/>
      <c r="AR1399" s="145"/>
      <c r="AS1399" s="145"/>
      <c r="AT1399" s="145"/>
    </row>
    <row r="1400" spans="1:46" ht="45" customHeight="1">
      <c r="A1400" s="12" t="s">
        <v>12207</v>
      </c>
      <c r="B1400" s="13" t="s">
        <v>12208</v>
      </c>
      <c r="C1400" s="66" t="s">
        <v>12209</v>
      </c>
      <c r="D1400" s="15" t="s">
        <v>12210</v>
      </c>
      <c r="E1400" s="15" t="s">
        <v>12211</v>
      </c>
      <c r="F1400" s="15" t="s">
        <v>12211</v>
      </c>
      <c r="G1400" s="15" t="s">
        <v>12212</v>
      </c>
      <c r="H1400" s="15"/>
      <c r="I1400" s="15" t="s">
        <v>881</v>
      </c>
      <c r="J1400" s="15" t="s">
        <v>12213</v>
      </c>
      <c r="K1400" s="15"/>
      <c r="L1400" s="15" t="s">
        <v>881</v>
      </c>
      <c r="M1400" s="15" t="s">
        <v>12214</v>
      </c>
      <c r="N1400" s="15">
        <v>2622670594</v>
      </c>
      <c r="O1400" s="15"/>
      <c r="P1400" s="15" t="s">
        <v>44</v>
      </c>
      <c r="Q1400" s="15" t="s">
        <v>12198</v>
      </c>
      <c r="R1400" s="225">
        <v>279</v>
      </c>
      <c r="S1400" s="19">
        <f t="shared" si="6"/>
        <v>45198</v>
      </c>
      <c r="T1400" s="12" t="s">
        <v>46</v>
      </c>
      <c r="U1400" s="15"/>
      <c r="V1400" s="19">
        <v>44610</v>
      </c>
      <c r="W1400" s="49" t="s">
        <v>71</v>
      </c>
      <c r="X1400" s="15"/>
      <c r="Y1400" s="13"/>
      <c r="Z1400" s="13"/>
      <c r="AA1400" s="13">
        <v>5251692</v>
      </c>
      <c r="AB1400" s="13"/>
      <c r="AC1400" s="49">
        <v>5634357</v>
      </c>
      <c r="AD1400" s="15"/>
      <c r="AE1400" s="145"/>
      <c r="AF1400" s="145"/>
      <c r="AG1400" s="145"/>
      <c r="AH1400" s="145"/>
      <c r="AI1400" s="145"/>
      <c r="AJ1400" s="145"/>
      <c r="AK1400" s="145"/>
      <c r="AL1400" s="145"/>
      <c r="AM1400" s="145"/>
      <c r="AN1400" s="145"/>
      <c r="AO1400" s="145"/>
      <c r="AP1400" s="145"/>
      <c r="AQ1400" s="145"/>
      <c r="AR1400" s="145"/>
      <c r="AS1400" s="145"/>
      <c r="AT1400" s="145"/>
    </row>
    <row r="1401" spans="1:46" ht="45" customHeight="1">
      <c r="A1401" s="21" t="s">
        <v>12215</v>
      </c>
      <c r="B1401" s="13" t="s">
        <v>12216</v>
      </c>
      <c r="C1401" s="66" t="s">
        <v>12217</v>
      </c>
      <c r="D1401" s="15" t="s">
        <v>12218</v>
      </c>
      <c r="E1401" s="15" t="s">
        <v>10595</v>
      </c>
      <c r="F1401" s="15" t="s">
        <v>10595</v>
      </c>
      <c r="G1401" s="15" t="s">
        <v>12219</v>
      </c>
      <c r="H1401" s="15"/>
      <c r="I1401" s="15" t="s">
        <v>41</v>
      </c>
      <c r="J1401" s="15" t="s">
        <v>12219</v>
      </c>
      <c r="K1401" s="15"/>
      <c r="L1401" s="15" t="s">
        <v>41</v>
      </c>
      <c r="M1401" s="15" t="s">
        <v>12220</v>
      </c>
      <c r="N1401" s="15">
        <v>26044658246</v>
      </c>
      <c r="O1401" s="15"/>
      <c r="P1401" s="15" t="s">
        <v>11953</v>
      </c>
      <c r="Q1401" s="15" t="s">
        <v>12221</v>
      </c>
      <c r="R1401" s="226">
        <v>4306</v>
      </c>
      <c r="S1401" s="30">
        <f t="shared" si="6"/>
        <v>697572</v>
      </c>
      <c r="T1401" s="89" t="s">
        <v>105</v>
      </c>
      <c r="U1401" s="15"/>
      <c r="V1401" s="44">
        <v>736320</v>
      </c>
      <c r="W1401" s="15"/>
      <c r="X1401" s="15"/>
      <c r="Y1401" s="13"/>
      <c r="Z1401" s="13"/>
      <c r="AA1401" s="13">
        <v>5281716</v>
      </c>
      <c r="AB1401" s="13"/>
      <c r="AC1401" s="15"/>
      <c r="AD1401" s="15"/>
      <c r="AE1401" s="145"/>
      <c r="AF1401" s="145"/>
      <c r="AG1401" s="145"/>
      <c r="AH1401" s="145"/>
      <c r="AI1401" s="145"/>
      <c r="AJ1401" s="145"/>
      <c r="AK1401" s="145"/>
      <c r="AL1401" s="145"/>
      <c r="AM1401" s="145"/>
      <c r="AN1401" s="145"/>
      <c r="AO1401" s="145"/>
      <c r="AP1401" s="145"/>
      <c r="AQ1401" s="145"/>
      <c r="AR1401" s="145"/>
      <c r="AS1401" s="145"/>
      <c r="AT1401" s="145"/>
    </row>
    <row r="1402" spans="1:46" ht="45" customHeight="1">
      <c r="A1402" s="12" t="s">
        <v>12222</v>
      </c>
      <c r="B1402" s="13" t="s">
        <v>12223</v>
      </c>
      <c r="C1402" s="66" t="s">
        <v>12224</v>
      </c>
      <c r="D1402" s="15" t="s">
        <v>12225</v>
      </c>
      <c r="E1402" s="15" t="s">
        <v>12226</v>
      </c>
      <c r="F1402" s="15" t="s">
        <v>12226</v>
      </c>
      <c r="G1402" s="15" t="s">
        <v>12227</v>
      </c>
      <c r="H1402" s="15"/>
      <c r="I1402" s="15" t="s">
        <v>41</v>
      </c>
      <c r="J1402" s="15" t="s">
        <v>12227</v>
      </c>
      <c r="K1402" s="15"/>
      <c r="L1402" s="15" t="s">
        <v>41</v>
      </c>
      <c r="M1402" s="15" t="s">
        <v>12228</v>
      </c>
      <c r="N1402" s="15">
        <v>2604421413</v>
      </c>
      <c r="O1402" s="15"/>
      <c r="P1402" s="49" t="s">
        <v>196</v>
      </c>
      <c r="Q1402" s="15" t="s">
        <v>12229</v>
      </c>
      <c r="R1402" s="225">
        <v>394</v>
      </c>
      <c r="S1402" s="19">
        <f t="shared" si="6"/>
        <v>63828</v>
      </c>
      <c r="T1402" s="12" t="s">
        <v>46</v>
      </c>
      <c r="U1402" s="15"/>
      <c r="V1402" s="19">
        <v>44610</v>
      </c>
      <c r="W1402" s="15" t="s">
        <v>71</v>
      </c>
      <c r="X1402" s="15"/>
      <c r="Y1402" s="13"/>
      <c r="Z1402" s="13"/>
      <c r="AA1402" s="13">
        <v>5261263</v>
      </c>
      <c r="AB1402" s="13"/>
      <c r="AC1402" s="15">
        <v>5576394</v>
      </c>
      <c r="AD1402" s="15"/>
      <c r="AE1402" s="145"/>
      <c r="AF1402" s="145"/>
      <c r="AG1402" s="145"/>
      <c r="AH1402" s="145"/>
      <c r="AI1402" s="145"/>
      <c r="AJ1402" s="145"/>
      <c r="AK1402" s="145"/>
      <c r="AL1402" s="145"/>
      <c r="AM1402" s="145"/>
      <c r="AN1402" s="145"/>
      <c r="AO1402" s="145"/>
      <c r="AP1402" s="145"/>
      <c r="AQ1402" s="145"/>
      <c r="AR1402" s="145"/>
      <c r="AS1402" s="145"/>
      <c r="AT1402" s="145"/>
    </row>
    <row r="1403" spans="1:46" ht="45" customHeight="1">
      <c r="A1403" s="12" t="s">
        <v>12230</v>
      </c>
      <c r="B1403" s="13" t="s">
        <v>12231</v>
      </c>
      <c r="C1403" s="66" t="s">
        <v>12232</v>
      </c>
      <c r="D1403" s="15" t="s">
        <v>12233</v>
      </c>
      <c r="E1403" s="15" t="s">
        <v>12234</v>
      </c>
      <c r="F1403" s="15" t="s">
        <v>12234</v>
      </c>
      <c r="G1403" s="15" t="s">
        <v>12235</v>
      </c>
      <c r="H1403" s="15"/>
      <c r="I1403" s="15" t="s">
        <v>41</v>
      </c>
      <c r="J1403" s="15" t="s">
        <v>12235</v>
      </c>
      <c r="K1403" s="15"/>
      <c r="L1403" s="15" t="s">
        <v>41</v>
      </c>
      <c r="M1403" s="15" t="s">
        <v>12236</v>
      </c>
      <c r="N1403" s="15">
        <v>2625432506</v>
      </c>
      <c r="O1403" s="15"/>
      <c r="P1403" s="15" t="s">
        <v>151</v>
      </c>
      <c r="Q1403" s="15" t="s">
        <v>12237</v>
      </c>
      <c r="R1403" s="225">
        <v>65</v>
      </c>
      <c r="S1403" s="19">
        <f t="shared" si="6"/>
        <v>10530</v>
      </c>
      <c r="T1403" s="12" t="s">
        <v>46</v>
      </c>
      <c r="U1403" s="15"/>
      <c r="V1403" s="19">
        <v>44610</v>
      </c>
      <c r="W1403" s="15"/>
      <c r="X1403" s="15"/>
      <c r="Y1403" s="13"/>
      <c r="Z1403" s="13"/>
      <c r="AA1403" s="13">
        <v>5283668</v>
      </c>
      <c r="AB1403" s="13"/>
      <c r="AC1403" s="15"/>
      <c r="AD1403" s="15"/>
      <c r="AE1403" s="145"/>
      <c r="AF1403" s="145"/>
      <c r="AG1403" s="145"/>
      <c r="AH1403" s="145"/>
      <c r="AI1403" s="145"/>
      <c r="AJ1403" s="145"/>
      <c r="AK1403" s="145"/>
      <c r="AL1403" s="145"/>
      <c r="AM1403" s="145"/>
      <c r="AN1403" s="145"/>
      <c r="AO1403" s="145"/>
      <c r="AP1403" s="145"/>
      <c r="AQ1403" s="145"/>
      <c r="AR1403" s="145"/>
      <c r="AS1403" s="145"/>
      <c r="AT1403" s="145"/>
    </row>
    <row r="1404" spans="1:46" ht="45" customHeight="1">
      <c r="A1404" s="12" t="s">
        <v>12238</v>
      </c>
      <c r="B1404" s="13" t="s">
        <v>12239</v>
      </c>
      <c r="C1404" s="66" t="s">
        <v>12240</v>
      </c>
      <c r="D1404" s="15" t="s">
        <v>12241</v>
      </c>
      <c r="E1404" s="15" t="s">
        <v>12242</v>
      </c>
      <c r="F1404" s="15" t="s">
        <v>12242</v>
      </c>
      <c r="G1404" s="15" t="s">
        <v>12243</v>
      </c>
      <c r="H1404" s="15"/>
      <c r="I1404" s="15" t="s">
        <v>115</v>
      </c>
      <c r="J1404" s="15" t="s">
        <v>12244</v>
      </c>
      <c r="K1404" s="15"/>
      <c r="L1404" s="15" t="s">
        <v>7704</v>
      </c>
      <c r="M1404" s="15" t="s">
        <v>12245</v>
      </c>
      <c r="N1404" s="15">
        <v>2614520747</v>
      </c>
      <c r="O1404" s="15"/>
      <c r="P1404" s="15" t="s">
        <v>44</v>
      </c>
      <c r="Q1404" s="15" t="s">
        <v>12246</v>
      </c>
      <c r="R1404" s="225">
        <v>6</v>
      </c>
      <c r="S1404" s="19">
        <f t="shared" si="6"/>
        <v>972</v>
      </c>
      <c r="T1404" s="12" t="s">
        <v>46</v>
      </c>
      <c r="U1404" s="15"/>
      <c r="V1404" s="19">
        <v>44610</v>
      </c>
      <c r="W1404" s="15" t="s">
        <v>71</v>
      </c>
      <c r="X1404" s="15"/>
      <c r="Y1404" s="13"/>
      <c r="Z1404" s="13"/>
      <c r="AA1404" s="13">
        <v>5281906</v>
      </c>
      <c r="AB1404" s="13"/>
      <c r="AC1404" s="49">
        <v>5633473</v>
      </c>
      <c r="AD1404" s="15"/>
      <c r="AE1404" s="145"/>
      <c r="AF1404" s="145"/>
      <c r="AG1404" s="145"/>
      <c r="AH1404" s="145"/>
      <c r="AI1404" s="145"/>
      <c r="AJ1404" s="145"/>
      <c r="AK1404" s="145"/>
      <c r="AL1404" s="145"/>
      <c r="AM1404" s="145"/>
      <c r="AN1404" s="145"/>
      <c r="AO1404" s="145"/>
      <c r="AP1404" s="145"/>
      <c r="AQ1404" s="145"/>
      <c r="AR1404" s="145"/>
      <c r="AS1404" s="145"/>
      <c r="AT1404" s="145"/>
    </row>
    <row r="1405" spans="1:46" ht="45" customHeight="1">
      <c r="A1405" s="12" t="s">
        <v>12247</v>
      </c>
      <c r="B1405" s="13" t="s">
        <v>12248</v>
      </c>
      <c r="C1405" s="66" t="s">
        <v>12249</v>
      </c>
      <c r="D1405" s="15" t="s">
        <v>10392</v>
      </c>
      <c r="E1405" s="15" t="s">
        <v>11555</v>
      </c>
      <c r="F1405" s="15" t="s">
        <v>11555</v>
      </c>
      <c r="G1405" s="15" t="s">
        <v>12250</v>
      </c>
      <c r="H1405" s="15" t="s">
        <v>940</v>
      </c>
      <c r="I1405" s="15" t="s">
        <v>149</v>
      </c>
      <c r="J1405" s="15" t="s">
        <v>12250</v>
      </c>
      <c r="K1405" s="15" t="s">
        <v>940</v>
      </c>
      <c r="L1405" s="15" t="s">
        <v>149</v>
      </c>
      <c r="M1405" s="15" t="s">
        <v>11557</v>
      </c>
      <c r="N1405" s="15">
        <v>2615638723</v>
      </c>
      <c r="O1405" s="15"/>
      <c r="P1405" s="15" t="s">
        <v>3192</v>
      </c>
      <c r="Q1405" s="15" t="s">
        <v>12251</v>
      </c>
      <c r="R1405" s="225">
        <v>72</v>
      </c>
      <c r="S1405" s="19">
        <f t="shared" si="6"/>
        <v>11664</v>
      </c>
      <c r="T1405" s="12" t="s">
        <v>46</v>
      </c>
      <c r="U1405" s="15"/>
      <c r="V1405" s="19">
        <v>44610</v>
      </c>
      <c r="W1405" s="15" t="s">
        <v>71</v>
      </c>
      <c r="X1405" s="15"/>
      <c r="Y1405" s="13"/>
      <c r="Z1405" s="13"/>
      <c r="AA1405" s="13">
        <v>5308763</v>
      </c>
      <c r="AB1405" s="13"/>
      <c r="AC1405" s="15">
        <v>5579387</v>
      </c>
      <c r="AD1405" s="15"/>
      <c r="AE1405" s="145"/>
      <c r="AF1405" s="145"/>
      <c r="AG1405" s="145"/>
      <c r="AH1405" s="145"/>
      <c r="AI1405" s="145"/>
      <c r="AJ1405" s="145"/>
      <c r="AK1405" s="145"/>
      <c r="AL1405" s="145"/>
      <c r="AM1405" s="145"/>
      <c r="AN1405" s="145"/>
      <c r="AO1405" s="145"/>
      <c r="AP1405" s="145"/>
      <c r="AQ1405" s="145"/>
      <c r="AR1405" s="145"/>
      <c r="AS1405" s="145"/>
      <c r="AT1405" s="145"/>
    </row>
    <row r="1406" spans="1:46" ht="45" customHeight="1">
      <c r="A1406" s="12" t="s">
        <v>12252</v>
      </c>
      <c r="B1406" s="13" t="s">
        <v>12253</v>
      </c>
      <c r="C1406" s="66" t="s">
        <v>12254</v>
      </c>
      <c r="D1406" s="15" t="s">
        <v>11452</v>
      </c>
      <c r="E1406" s="15" t="s">
        <v>11453</v>
      </c>
      <c r="F1406" s="15" t="s">
        <v>11453</v>
      </c>
      <c r="G1406" s="15" t="s">
        <v>12255</v>
      </c>
      <c r="H1406" s="15"/>
      <c r="I1406" s="15" t="s">
        <v>8419</v>
      </c>
      <c r="J1406" s="15" t="s">
        <v>12255</v>
      </c>
      <c r="K1406" s="15"/>
      <c r="L1406" s="15" t="s">
        <v>8419</v>
      </c>
      <c r="M1406" s="15" t="s">
        <v>11455</v>
      </c>
      <c r="N1406" s="15">
        <v>541139009648</v>
      </c>
      <c r="O1406" s="15"/>
      <c r="P1406" s="15" t="s">
        <v>117</v>
      </c>
      <c r="Q1406" s="15" t="s">
        <v>12256</v>
      </c>
      <c r="R1406" s="225">
        <v>208</v>
      </c>
      <c r="S1406" s="19">
        <f t="shared" si="6"/>
        <v>33696</v>
      </c>
      <c r="T1406" s="12" t="s">
        <v>46</v>
      </c>
      <c r="U1406" s="15"/>
      <c r="V1406" s="19">
        <v>44610</v>
      </c>
      <c r="W1406" s="15" t="s">
        <v>71</v>
      </c>
      <c r="X1406" s="15"/>
      <c r="Y1406" s="13"/>
      <c r="Z1406" s="13"/>
      <c r="AA1406" s="13">
        <v>5301757</v>
      </c>
      <c r="AB1406" s="13"/>
      <c r="AC1406" s="15">
        <v>5606267</v>
      </c>
      <c r="AD1406" s="15"/>
      <c r="AE1406" s="145"/>
      <c r="AF1406" s="145"/>
      <c r="AG1406" s="145"/>
      <c r="AH1406" s="145"/>
      <c r="AI1406" s="145"/>
      <c r="AJ1406" s="145"/>
      <c r="AK1406" s="145"/>
      <c r="AL1406" s="145"/>
      <c r="AM1406" s="145"/>
      <c r="AN1406" s="145"/>
      <c r="AO1406" s="145"/>
      <c r="AP1406" s="145"/>
      <c r="AQ1406" s="145"/>
      <c r="AR1406" s="145"/>
      <c r="AS1406" s="145"/>
      <c r="AT1406" s="145"/>
    </row>
    <row r="1407" spans="1:46" ht="45" customHeight="1">
      <c r="A1407" s="12" t="s">
        <v>12257</v>
      </c>
      <c r="B1407" s="13" t="s">
        <v>12258</v>
      </c>
      <c r="C1407" s="66" t="s">
        <v>12259</v>
      </c>
      <c r="D1407" s="15" t="s">
        <v>12260</v>
      </c>
      <c r="E1407" s="15" t="s">
        <v>12261</v>
      </c>
      <c r="F1407" s="15" t="s">
        <v>12261</v>
      </c>
      <c r="G1407" s="15" t="s">
        <v>12262</v>
      </c>
      <c r="H1407" s="15"/>
      <c r="I1407" s="15" t="s">
        <v>352</v>
      </c>
      <c r="J1407" s="15" t="s">
        <v>12262</v>
      </c>
      <c r="K1407" s="15"/>
      <c r="L1407" s="15" t="s">
        <v>352</v>
      </c>
      <c r="M1407" s="15" t="s">
        <v>12263</v>
      </c>
      <c r="N1407" s="15">
        <v>2625453276</v>
      </c>
      <c r="O1407" s="15"/>
      <c r="P1407" s="15" t="s">
        <v>12264</v>
      </c>
      <c r="Q1407" s="15" t="s">
        <v>11985</v>
      </c>
      <c r="R1407" s="225">
        <v>439</v>
      </c>
      <c r="S1407" s="19">
        <f t="shared" si="6"/>
        <v>71118</v>
      </c>
      <c r="T1407" s="12" t="s">
        <v>46</v>
      </c>
      <c r="U1407" s="15"/>
      <c r="V1407" s="19">
        <v>44610</v>
      </c>
      <c r="W1407" s="15"/>
      <c r="X1407" s="15"/>
      <c r="Y1407" s="13"/>
      <c r="Z1407" s="13"/>
      <c r="AA1407" s="13">
        <v>5258840</v>
      </c>
      <c r="AB1407" s="13"/>
      <c r="AC1407" s="15"/>
      <c r="AD1407" s="15"/>
      <c r="AE1407" s="145"/>
      <c r="AF1407" s="145"/>
      <c r="AG1407" s="145"/>
      <c r="AH1407" s="145"/>
      <c r="AI1407" s="145"/>
      <c r="AJ1407" s="145"/>
      <c r="AK1407" s="145"/>
      <c r="AL1407" s="145"/>
      <c r="AM1407" s="145"/>
      <c r="AN1407" s="145"/>
      <c r="AO1407" s="145"/>
      <c r="AP1407" s="145"/>
      <c r="AQ1407" s="145"/>
      <c r="AR1407" s="145"/>
      <c r="AS1407" s="145"/>
      <c r="AT1407" s="145"/>
    </row>
    <row r="1408" spans="1:46" ht="45" customHeight="1">
      <c r="A1408" s="21" t="s">
        <v>12265</v>
      </c>
      <c r="B1408" s="13" t="s">
        <v>12266</v>
      </c>
      <c r="C1408" s="66" t="s">
        <v>12267</v>
      </c>
      <c r="D1408" s="15" t="s">
        <v>12268</v>
      </c>
      <c r="E1408" s="15" t="s">
        <v>12269</v>
      </c>
      <c r="F1408" s="15" t="s">
        <v>12269</v>
      </c>
      <c r="G1408" s="15" t="s">
        <v>12270</v>
      </c>
      <c r="H1408" s="15" t="s">
        <v>2652</v>
      </c>
      <c r="I1408" s="15" t="s">
        <v>53</v>
      </c>
      <c r="J1408" s="15" t="s">
        <v>12270</v>
      </c>
      <c r="K1408" s="15" t="s">
        <v>2652</v>
      </c>
      <c r="L1408" s="15" t="s">
        <v>53</v>
      </c>
      <c r="M1408" s="15" t="s">
        <v>12271</v>
      </c>
      <c r="N1408" s="15">
        <v>3517880044</v>
      </c>
      <c r="O1408" s="15"/>
      <c r="P1408" s="15" t="s">
        <v>12272</v>
      </c>
      <c r="Q1408" s="49" t="s">
        <v>12273</v>
      </c>
      <c r="R1408" s="231">
        <v>1545.32</v>
      </c>
      <c r="S1408" s="30">
        <f t="shared" si="6"/>
        <v>250341.84</v>
      </c>
      <c r="T1408" s="89" t="s">
        <v>198</v>
      </c>
      <c r="U1408" s="15"/>
      <c r="V1408" s="44">
        <v>250341</v>
      </c>
      <c r="W1408" s="15"/>
      <c r="X1408" s="15"/>
      <c r="Y1408" s="13"/>
      <c r="Z1408" s="13"/>
      <c r="AA1408" s="13">
        <v>5310483</v>
      </c>
      <c r="AB1408" s="13"/>
      <c r="AC1408" s="15"/>
      <c r="AD1408" s="15"/>
      <c r="AE1408" s="145"/>
      <c r="AF1408" s="145"/>
      <c r="AG1408" s="145"/>
      <c r="AH1408" s="145"/>
      <c r="AI1408" s="145"/>
      <c r="AJ1408" s="145"/>
      <c r="AK1408" s="145"/>
      <c r="AL1408" s="145"/>
      <c r="AM1408" s="145"/>
      <c r="AN1408" s="145"/>
      <c r="AO1408" s="145"/>
      <c r="AP1408" s="145"/>
      <c r="AQ1408" s="145"/>
      <c r="AR1408" s="145"/>
      <c r="AS1408" s="145"/>
      <c r="AT1408" s="145"/>
    </row>
    <row r="1409" spans="1:46" ht="45" customHeight="1">
      <c r="A1409" s="21" t="s">
        <v>12274</v>
      </c>
      <c r="B1409" s="13" t="s">
        <v>12275</v>
      </c>
      <c r="C1409" s="66" t="s">
        <v>12276</v>
      </c>
      <c r="D1409" s="15" t="s">
        <v>12277</v>
      </c>
      <c r="E1409" s="15" t="s">
        <v>12278</v>
      </c>
      <c r="F1409" s="15" t="s">
        <v>12278</v>
      </c>
      <c r="G1409" s="15" t="s">
        <v>12279</v>
      </c>
      <c r="H1409" s="15"/>
      <c r="I1409" s="15" t="s">
        <v>149</v>
      </c>
      <c r="J1409" s="15" t="s">
        <v>12279</v>
      </c>
      <c r="K1409" s="15"/>
      <c r="L1409" s="15" t="s">
        <v>149</v>
      </c>
      <c r="M1409" s="15" t="s">
        <v>12280</v>
      </c>
      <c r="N1409" s="15">
        <v>2617033212</v>
      </c>
      <c r="O1409" s="15"/>
      <c r="P1409" s="15" t="s">
        <v>44</v>
      </c>
      <c r="Q1409" s="49" t="s">
        <v>12281</v>
      </c>
      <c r="R1409" s="231">
        <v>23.6</v>
      </c>
      <c r="S1409" s="30">
        <f t="shared" si="6"/>
        <v>3823.2000000000003</v>
      </c>
      <c r="T1409" s="89" t="s">
        <v>46</v>
      </c>
      <c r="U1409" s="15"/>
      <c r="V1409" s="44">
        <v>44610</v>
      </c>
      <c r="W1409" s="15"/>
      <c r="X1409" s="15"/>
      <c r="Y1409" s="13"/>
      <c r="Z1409" s="13"/>
      <c r="AA1409" s="13">
        <v>5323321</v>
      </c>
      <c r="AB1409" s="13"/>
      <c r="AC1409" s="49"/>
      <c r="AD1409" s="15"/>
      <c r="AE1409" s="145"/>
      <c r="AF1409" s="145"/>
      <c r="AG1409" s="145"/>
      <c r="AH1409" s="145"/>
      <c r="AI1409" s="145"/>
      <c r="AJ1409" s="145"/>
      <c r="AK1409" s="145"/>
      <c r="AL1409" s="145"/>
      <c r="AM1409" s="145"/>
      <c r="AN1409" s="145"/>
      <c r="AO1409" s="145"/>
      <c r="AP1409" s="145"/>
      <c r="AQ1409" s="145"/>
      <c r="AR1409" s="145"/>
      <c r="AS1409" s="145"/>
      <c r="AT1409" s="145"/>
    </row>
    <row r="1410" spans="1:46" ht="45" customHeight="1">
      <c r="A1410" s="12" t="s">
        <v>12282</v>
      </c>
      <c r="B1410" s="13" t="s">
        <v>12283</v>
      </c>
      <c r="C1410" s="66" t="s">
        <v>12284</v>
      </c>
      <c r="D1410" s="15" t="s">
        <v>12285</v>
      </c>
      <c r="E1410" s="15" t="s">
        <v>12286</v>
      </c>
      <c r="F1410" s="15" t="s">
        <v>12286</v>
      </c>
      <c r="G1410" s="15" t="s">
        <v>12287</v>
      </c>
      <c r="H1410" s="15" t="s">
        <v>9482</v>
      </c>
      <c r="I1410" s="15" t="s">
        <v>80</v>
      </c>
      <c r="J1410" s="15" t="s">
        <v>12287</v>
      </c>
      <c r="K1410" s="15" t="s">
        <v>9482</v>
      </c>
      <c r="L1410" s="15" t="s">
        <v>80</v>
      </c>
      <c r="M1410" s="15" t="s">
        <v>3283</v>
      </c>
      <c r="N1410" s="15">
        <v>2616631257</v>
      </c>
      <c r="O1410" s="15"/>
      <c r="P1410" s="15" t="s">
        <v>94</v>
      </c>
      <c r="Q1410" s="15" t="s">
        <v>12288</v>
      </c>
      <c r="R1410" s="225">
        <v>40</v>
      </c>
      <c r="S1410" s="19">
        <f>162*R1410</f>
        <v>6480</v>
      </c>
      <c r="T1410" s="12" t="s">
        <v>46</v>
      </c>
      <c r="U1410" s="15"/>
      <c r="V1410" s="19">
        <v>44610</v>
      </c>
      <c r="W1410" s="15" t="s">
        <v>47</v>
      </c>
      <c r="X1410" s="15"/>
      <c r="Y1410" s="13"/>
      <c r="Z1410" s="13"/>
      <c r="AA1410" s="13">
        <v>5334831</v>
      </c>
      <c r="AB1410" s="13"/>
      <c r="AC1410" s="15">
        <v>5591496</v>
      </c>
      <c r="AD1410" s="15"/>
      <c r="AE1410" s="145"/>
      <c r="AF1410" s="145"/>
      <c r="AG1410" s="145"/>
      <c r="AH1410" s="145"/>
      <c r="AI1410" s="145"/>
      <c r="AJ1410" s="145"/>
      <c r="AK1410" s="145"/>
      <c r="AL1410" s="145"/>
      <c r="AM1410" s="145"/>
      <c r="AN1410" s="145"/>
      <c r="AO1410" s="145"/>
      <c r="AP1410" s="145"/>
      <c r="AQ1410" s="145"/>
      <c r="AR1410" s="145"/>
      <c r="AS1410" s="145"/>
      <c r="AT1410" s="145"/>
    </row>
    <row r="1411" spans="1:46" ht="45" customHeight="1">
      <c r="A1411" s="12" t="s">
        <v>12289</v>
      </c>
      <c r="B1411" s="13" t="s">
        <v>12290</v>
      </c>
      <c r="C1411" s="66" t="s">
        <v>12291</v>
      </c>
      <c r="D1411" s="15" t="s">
        <v>12292</v>
      </c>
      <c r="E1411" s="15" t="s">
        <v>12293</v>
      </c>
      <c r="F1411" s="15" t="s">
        <v>12293</v>
      </c>
      <c r="G1411" s="15" t="s">
        <v>12294</v>
      </c>
      <c r="H1411" s="15" t="s">
        <v>5915</v>
      </c>
      <c r="I1411" s="15" t="s">
        <v>115</v>
      </c>
      <c r="J1411" s="15" t="s">
        <v>12294</v>
      </c>
      <c r="K1411" s="15" t="s">
        <v>2243</v>
      </c>
      <c r="L1411" s="15" t="s">
        <v>115</v>
      </c>
      <c r="M1411" s="15" t="s">
        <v>12295</v>
      </c>
      <c r="N1411" s="15">
        <v>2615444508</v>
      </c>
      <c r="O1411" s="15"/>
      <c r="P1411" s="15" t="s">
        <v>12296</v>
      </c>
      <c r="Q1411" s="49" t="s">
        <v>12297</v>
      </c>
      <c r="R1411" s="225">
        <v>475.86</v>
      </c>
      <c r="S1411" s="19">
        <f t="shared" ref="S1411:S1423" si="7">162*R1411</f>
        <v>77089.320000000007</v>
      </c>
      <c r="T1411" s="89" t="s">
        <v>46</v>
      </c>
      <c r="U1411" s="15"/>
      <c r="V1411" s="19">
        <v>44610</v>
      </c>
      <c r="W1411" s="15"/>
      <c r="X1411" s="15"/>
      <c r="Y1411" s="13"/>
      <c r="Z1411" s="13"/>
      <c r="AA1411" s="13">
        <v>5376736</v>
      </c>
      <c r="AB1411" s="13"/>
      <c r="AC1411" s="15"/>
      <c r="AD1411" s="15"/>
      <c r="AE1411" s="145"/>
      <c r="AF1411" s="145"/>
      <c r="AG1411" s="145"/>
      <c r="AH1411" s="145"/>
      <c r="AI1411" s="145"/>
      <c r="AJ1411" s="145"/>
      <c r="AK1411" s="145"/>
      <c r="AL1411" s="145"/>
      <c r="AM1411" s="145"/>
      <c r="AN1411" s="145"/>
      <c r="AO1411" s="145"/>
      <c r="AP1411" s="145"/>
      <c r="AQ1411" s="145"/>
      <c r="AR1411" s="145"/>
      <c r="AS1411" s="145"/>
      <c r="AT1411" s="145"/>
    </row>
    <row r="1412" spans="1:46" ht="45" customHeight="1">
      <c r="A1412" s="12" t="s">
        <v>12298</v>
      </c>
      <c r="B1412" s="13" t="s">
        <v>12299</v>
      </c>
      <c r="C1412" s="66" t="s">
        <v>12300</v>
      </c>
      <c r="D1412" s="15" t="s">
        <v>12301</v>
      </c>
      <c r="E1412" s="15" t="s">
        <v>12302</v>
      </c>
      <c r="F1412" s="15" t="s">
        <v>12302</v>
      </c>
      <c r="G1412" s="15" t="s">
        <v>12303</v>
      </c>
      <c r="H1412" s="15" t="s">
        <v>9198</v>
      </c>
      <c r="I1412" s="15" t="s">
        <v>65</v>
      </c>
      <c r="J1412" s="15" t="s">
        <v>12304</v>
      </c>
      <c r="K1412" s="15" t="s">
        <v>9198</v>
      </c>
      <c r="L1412" s="15" t="s">
        <v>65</v>
      </c>
      <c r="M1412" s="15" t="s">
        <v>12305</v>
      </c>
      <c r="N1412" s="15">
        <v>2616523880</v>
      </c>
      <c r="O1412" s="15"/>
      <c r="P1412" s="15" t="s">
        <v>1381</v>
      </c>
      <c r="Q1412" s="49" t="s">
        <v>12306</v>
      </c>
      <c r="R1412" s="225">
        <v>56.5</v>
      </c>
      <c r="S1412" s="19">
        <f t="shared" si="7"/>
        <v>9153</v>
      </c>
      <c r="T1412" s="89" t="s">
        <v>46</v>
      </c>
      <c r="U1412" s="15"/>
      <c r="V1412" s="19">
        <v>44610</v>
      </c>
      <c r="W1412" s="15"/>
      <c r="X1412" s="15"/>
      <c r="Y1412" s="13"/>
      <c r="Z1412" s="15"/>
      <c r="AA1412" s="13">
        <v>5374102</v>
      </c>
      <c r="AB1412" s="13"/>
      <c r="AC1412" s="15"/>
      <c r="AD1412" s="15"/>
      <c r="AE1412" s="145"/>
      <c r="AF1412" s="145"/>
      <c r="AG1412" s="145"/>
      <c r="AH1412" s="145"/>
      <c r="AI1412" s="145"/>
      <c r="AJ1412" s="145"/>
      <c r="AK1412" s="145"/>
      <c r="AL1412" s="145"/>
      <c r="AM1412" s="145"/>
      <c r="AN1412" s="145"/>
      <c r="AO1412" s="145"/>
      <c r="AP1412" s="145"/>
      <c r="AQ1412" s="145"/>
      <c r="AR1412" s="145"/>
      <c r="AS1412" s="145"/>
      <c r="AT1412" s="145"/>
    </row>
    <row r="1413" spans="1:46" ht="45" customHeight="1">
      <c r="A1413" s="12" t="s">
        <v>12307</v>
      </c>
      <c r="B1413" s="13" t="s">
        <v>12308</v>
      </c>
      <c r="C1413" s="66" t="s">
        <v>12309</v>
      </c>
      <c r="D1413" s="15" t="s">
        <v>12310</v>
      </c>
      <c r="E1413" s="15" t="s">
        <v>524</v>
      </c>
      <c r="F1413" s="15" t="s">
        <v>524</v>
      </c>
      <c r="G1413" s="15" t="s">
        <v>12311</v>
      </c>
      <c r="H1413" s="15"/>
      <c r="I1413" s="15" t="s">
        <v>65</v>
      </c>
      <c r="J1413" s="15" t="s">
        <v>12311</v>
      </c>
      <c r="K1413" s="15"/>
      <c r="L1413" s="15" t="s">
        <v>65</v>
      </c>
      <c r="M1413" s="15" t="s">
        <v>3487</v>
      </c>
      <c r="N1413" s="15">
        <v>2613050927</v>
      </c>
      <c r="O1413" s="15"/>
      <c r="P1413" s="15" t="s">
        <v>44</v>
      </c>
      <c r="Q1413" s="49" t="s">
        <v>12312</v>
      </c>
      <c r="R1413" s="225">
        <v>10.71</v>
      </c>
      <c r="S1413" s="19">
        <f t="shared" si="7"/>
        <v>1735.0200000000002</v>
      </c>
      <c r="T1413" s="89" t="s">
        <v>46</v>
      </c>
      <c r="U1413" s="15"/>
      <c r="V1413" s="19">
        <v>44610</v>
      </c>
      <c r="W1413" s="15"/>
      <c r="X1413" s="15"/>
      <c r="Y1413" s="13"/>
      <c r="Z1413" s="15"/>
      <c r="AA1413" s="13">
        <v>5365462</v>
      </c>
      <c r="AB1413" s="13"/>
      <c r="AC1413" s="15"/>
      <c r="AD1413" s="15"/>
      <c r="AE1413" s="145"/>
      <c r="AF1413" s="145"/>
      <c r="AG1413" s="145"/>
      <c r="AH1413" s="145"/>
      <c r="AI1413" s="145"/>
      <c r="AJ1413" s="145"/>
      <c r="AK1413" s="145"/>
      <c r="AL1413" s="145"/>
      <c r="AM1413" s="145"/>
      <c r="AN1413" s="145"/>
      <c r="AO1413" s="145"/>
      <c r="AP1413" s="145"/>
      <c r="AQ1413" s="145"/>
      <c r="AR1413" s="145"/>
      <c r="AS1413" s="145"/>
      <c r="AT1413" s="145"/>
    </row>
    <row r="1414" spans="1:46" ht="45" customHeight="1">
      <c r="A1414" s="21" t="s">
        <v>12313</v>
      </c>
      <c r="B1414" s="13" t="s">
        <v>12314</v>
      </c>
      <c r="C1414" s="66" t="s">
        <v>12315</v>
      </c>
      <c r="D1414" s="15" t="s">
        <v>12316</v>
      </c>
      <c r="E1414" s="15" t="s">
        <v>12317</v>
      </c>
      <c r="F1414" s="15" t="s">
        <v>12317</v>
      </c>
      <c r="G1414" s="15" t="s">
        <v>12318</v>
      </c>
      <c r="H1414" s="15"/>
      <c r="I1414" s="15" t="s">
        <v>41</v>
      </c>
      <c r="J1414" s="15" t="s">
        <v>12318</v>
      </c>
      <c r="K1414" s="15"/>
      <c r="L1414" s="15" t="s">
        <v>41</v>
      </c>
      <c r="M1414" s="15" t="s">
        <v>12319</v>
      </c>
      <c r="N1414" s="15">
        <v>2604534044</v>
      </c>
      <c r="O1414" s="15"/>
      <c r="P1414" s="15" t="s">
        <v>94</v>
      </c>
      <c r="Q1414" s="49" t="s">
        <v>12320</v>
      </c>
      <c r="R1414" s="226">
        <v>1893.34</v>
      </c>
      <c r="S1414" s="30">
        <f t="shared" si="7"/>
        <v>306721.07999999996</v>
      </c>
      <c r="T1414" s="89" t="s">
        <v>198</v>
      </c>
      <c r="U1414" s="15"/>
      <c r="V1414" s="44">
        <v>306721.08</v>
      </c>
      <c r="W1414" s="15"/>
      <c r="X1414" s="15"/>
      <c r="Y1414" s="13"/>
      <c r="Z1414" s="15"/>
      <c r="AA1414" s="13">
        <v>5360236</v>
      </c>
      <c r="AB1414" s="13"/>
      <c r="AC1414" s="15"/>
      <c r="AD1414" s="15"/>
      <c r="AE1414" s="145"/>
      <c r="AF1414" s="145"/>
      <c r="AG1414" s="145"/>
      <c r="AH1414" s="145"/>
      <c r="AI1414" s="145"/>
      <c r="AJ1414" s="145"/>
      <c r="AK1414" s="145"/>
      <c r="AL1414" s="145"/>
      <c r="AM1414" s="145"/>
      <c r="AN1414" s="145"/>
      <c r="AO1414" s="145"/>
      <c r="AP1414" s="145"/>
      <c r="AQ1414" s="145"/>
      <c r="AR1414" s="145"/>
      <c r="AS1414" s="145"/>
      <c r="AT1414" s="145"/>
    </row>
    <row r="1415" spans="1:46" ht="45" customHeight="1">
      <c r="A1415" s="12" t="s">
        <v>12321</v>
      </c>
      <c r="B1415" s="13" t="s">
        <v>12322</v>
      </c>
      <c r="C1415" s="66" t="s">
        <v>12323</v>
      </c>
      <c r="D1415" s="15" t="s">
        <v>12324</v>
      </c>
      <c r="E1415" s="15" t="s">
        <v>11648</v>
      </c>
      <c r="F1415" s="15" t="s">
        <v>11648</v>
      </c>
      <c r="G1415" s="15" t="s">
        <v>12325</v>
      </c>
      <c r="H1415" s="15"/>
      <c r="I1415" s="15" t="s">
        <v>149</v>
      </c>
      <c r="J1415" s="15" t="s">
        <v>12325</v>
      </c>
      <c r="K1415" s="15"/>
      <c r="L1415" s="15" t="s">
        <v>149</v>
      </c>
      <c r="M1415" s="15" t="s">
        <v>12326</v>
      </c>
      <c r="N1415" s="15">
        <v>2614545020</v>
      </c>
      <c r="O1415" s="15"/>
      <c r="P1415" s="15" t="s">
        <v>94</v>
      </c>
      <c r="Q1415" s="49" t="s">
        <v>12327</v>
      </c>
      <c r="R1415" s="225">
        <v>19.079999999999998</v>
      </c>
      <c r="S1415" s="19">
        <f t="shared" si="7"/>
        <v>3090.9599999999996</v>
      </c>
      <c r="T1415" s="89" t="s">
        <v>46</v>
      </c>
      <c r="U1415" s="15"/>
      <c r="V1415" s="19">
        <v>44610</v>
      </c>
      <c r="W1415" s="15"/>
      <c r="X1415" s="15"/>
      <c r="Y1415" s="13"/>
      <c r="Z1415" s="15"/>
      <c r="AA1415" s="13">
        <v>5352490</v>
      </c>
      <c r="AB1415" s="13"/>
      <c r="AC1415" s="15"/>
      <c r="AD1415" s="15"/>
      <c r="AE1415" s="145"/>
      <c r="AF1415" s="145"/>
      <c r="AG1415" s="145"/>
      <c r="AH1415" s="145"/>
      <c r="AI1415" s="145"/>
      <c r="AJ1415" s="145"/>
      <c r="AK1415" s="145"/>
      <c r="AL1415" s="145"/>
      <c r="AM1415" s="145"/>
      <c r="AN1415" s="145"/>
      <c r="AO1415" s="145"/>
      <c r="AP1415" s="145"/>
      <c r="AQ1415" s="145"/>
      <c r="AR1415" s="145"/>
      <c r="AS1415" s="145"/>
      <c r="AT1415" s="145"/>
    </row>
    <row r="1416" spans="1:46" ht="45" customHeight="1">
      <c r="A1416" s="12" t="s">
        <v>12328</v>
      </c>
      <c r="B1416" s="13" t="s">
        <v>12329</v>
      </c>
      <c r="C1416" s="66" t="s">
        <v>12330</v>
      </c>
      <c r="D1416" s="15" t="s">
        <v>12331</v>
      </c>
      <c r="E1416" s="15" t="s">
        <v>524</v>
      </c>
      <c r="F1416" s="15" t="s">
        <v>524</v>
      </c>
      <c r="G1416" s="194" t="s">
        <v>12332</v>
      </c>
      <c r="H1416" s="15" t="s">
        <v>8765</v>
      </c>
      <c r="I1416" s="15" t="s">
        <v>115</v>
      </c>
      <c r="J1416" s="194" t="s">
        <v>12332</v>
      </c>
      <c r="K1416" s="15" t="s">
        <v>8765</v>
      </c>
      <c r="L1416" s="15" t="s">
        <v>115</v>
      </c>
      <c r="M1416" s="15" t="s">
        <v>12333</v>
      </c>
      <c r="N1416" s="15">
        <v>2616124197</v>
      </c>
      <c r="O1416" s="15"/>
      <c r="P1416" s="15" t="s">
        <v>44</v>
      </c>
      <c r="Q1416" s="49" t="s">
        <v>12334</v>
      </c>
      <c r="R1416" s="225">
        <v>12.5</v>
      </c>
      <c r="S1416" s="19">
        <f t="shared" si="7"/>
        <v>2025</v>
      </c>
      <c r="T1416" s="89" t="s">
        <v>46</v>
      </c>
      <c r="U1416" s="15"/>
      <c r="V1416" s="19">
        <v>44610</v>
      </c>
      <c r="W1416" s="15"/>
      <c r="X1416" s="15"/>
      <c r="Y1416" s="13"/>
      <c r="Z1416" s="15"/>
      <c r="AA1416" s="13">
        <v>5342247</v>
      </c>
      <c r="AB1416" s="13"/>
      <c r="AC1416" s="15"/>
      <c r="AD1416" s="15"/>
      <c r="AE1416" s="145"/>
      <c r="AF1416" s="145"/>
      <c r="AG1416" s="145"/>
      <c r="AH1416" s="145"/>
      <c r="AI1416" s="145"/>
      <c r="AJ1416" s="145"/>
      <c r="AK1416" s="145"/>
      <c r="AL1416" s="145"/>
      <c r="AM1416" s="145"/>
      <c r="AN1416" s="145"/>
      <c r="AO1416" s="145"/>
      <c r="AP1416" s="145"/>
      <c r="AQ1416" s="145"/>
      <c r="AR1416" s="145"/>
      <c r="AS1416" s="145"/>
      <c r="AT1416" s="145"/>
    </row>
    <row r="1417" spans="1:46" ht="45" customHeight="1">
      <c r="A1417" s="12" t="s">
        <v>12335</v>
      </c>
      <c r="B1417" s="13" t="s">
        <v>12336</v>
      </c>
      <c r="C1417" s="66" t="s">
        <v>12337</v>
      </c>
      <c r="D1417" s="15" t="s">
        <v>12338</v>
      </c>
      <c r="E1417" s="15" t="s">
        <v>6568</v>
      </c>
      <c r="F1417" s="15" t="s">
        <v>6568</v>
      </c>
      <c r="G1417" s="15" t="s">
        <v>12339</v>
      </c>
      <c r="H1417" s="15"/>
      <c r="I1417" s="15" t="s">
        <v>149</v>
      </c>
      <c r="J1417" s="15" t="s">
        <v>12339</v>
      </c>
      <c r="K1417" s="15"/>
      <c r="L1417" s="15" t="s">
        <v>149</v>
      </c>
      <c r="M1417" s="15" t="s">
        <v>3283</v>
      </c>
      <c r="N1417" s="15">
        <v>2615260808</v>
      </c>
      <c r="O1417" s="15"/>
      <c r="P1417" s="15" t="s">
        <v>1381</v>
      </c>
      <c r="Q1417" s="49" t="s">
        <v>12340</v>
      </c>
      <c r="R1417" s="225">
        <v>51.84</v>
      </c>
      <c r="S1417" s="19">
        <f t="shared" si="7"/>
        <v>8398.08</v>
      </c>
      <c r="T1417" s="89" t="s">
        <v>46</v>
      </c>
      <c r="U1417" s="15"/>
      <c r="V1417" s="19">
        <v>44610</v>
      </c>
      <c r="W1417" s="15"/>
      <c r="X1417" s="15"/>
      <c r="Y1417" s="13"/>
      <c r="Z1417" s="15"/>
      <c r="AA1417" s="13">
        <v>5334864</v>
      </c>
      <c r="AB1417" s="13"/>
      <c r="AC1417" s="15"/>
      <c r="AD1417" s="15"/>
      <c r="AE1417" s="145"/>
      <c r="AF1417" s="145"/>
      <c r="AG1417" s="145"/>
      <c r="AH1417" s="145"/>
      <c r="AI1417" s="145"/>
      <c r="AJ1417" s="145"/>
      <c r="AK1417" s="145"/>
      <c r="AL1417" s="145"/>
      <c r="AM1417" s="145"/>
      <c r="AN1417" s="145"/>
      <c r="AO1417" s="145"/>
      <c r="AP1417" s="145"/>
      <c r="AQ1417" s="145"/>
      <c r="AR1417" s="145"/>
      <c r="AS1417" s="145"/>
      <c r="AT1417" s="145"/>
    </row>
    <row r="1418" spans="1:46" ht="45" customHeight="1">
      <c r="A1418" s="21" t="s">
        <v>12341</v>
      </c>
      <c r="B1418" s="47" t="s">
        <v>12342</v>
      </c>
      <c r="C1418" s="197" t="s">
        <v>12343</v>
      </c>
      <c r="D1418" s="49" t="s">
        <v>12344</v>
      </c>
      <c r="E1418" s="49" t="s">
        <v>12345</v>
      </c>
      <c r="F1418" s="49" t="s">
        <v>12345</v>
      </c>
      <c r="G1418" s="49" t="s">
        <v>12346</v>
      </c>
      <c r="H1418" s="15"/>
      <c r="I1418" s="49" t="s">
        <v>80</v>
      </c>
      <c r="J1418" s="49" t="s">
        <v>12346</v>
      </c>
      <c r="K1418" s="15"/>
      <c r="L1418" s="49" t="s">
        <v>80</v>
      </c>
      <c r="M1418" s="49" t="s">
        <v>12347</v>
      </c>
      <c r="N1418" s="49">
        <v>2612772548</v>
      </c>
      <c r="O1418" s="15"/>
      <c r="P1418" s="49" t="s">
        <v>117</v>
      </c>
      <c r="Q1418" s="49" t="s">
        <v>12348</v>
      </c>
      <c r="R1418" s="231">
        <v>14460.83</v>
      </c>
      <c r="S1418" s="30">
        <f t="shared" si="7"/>
        <v>2342654.46</v>
      </c>
      <c r="T1418" s="89" t="s">
        <v>70</v>
      </c>
      <c r="U1418" s="15"/>
      <c r="V1418" s="44">
        <v>2342654.62</v>
      </c>
      <c r="W1418" s="15"/>
      <c r="X1418" s="15"/>
      <c r="Y1418" s="13"/>
      <c r="Z1418" s="15"/>
      <c r="AA1418" s="47">
        <v>5934316</v>
      </c>
      <c r="AB1418" s="13"/>
      <c r="AC1418" s="15"/>
      <c r="AD1418" s="15"/>
      <c r="AE1418" s="145"/>
      <c r="AF1418" s="145"/>
      <c r="AG1418" s="145"/>
      <c r="AH1418" s="145"/>
      <c r="AI1418" s="145"/>
      <c r="AJ1418" s="145"/>
      <c r="AK1418" s="145"/>
      <c r="AL1418" s="145"/>
      <c r="AM1418" s="145"/>
      <c r="AN1418" s="145"/>
      <c r="AO1418" s="145"/>
      <c r="AP1418" s="145"/>
      <c r="AQ1418" s="145"/>
      <c r="AR1418" s="145"/>
      <c r="AS1418" s="145"/>
      <c r="AT1418" s="145"/>
    </row>
    <row r="1419" spans="1:46" ht="45" customHeight="1">
      <c r="A1419" s="21" t="s">
        <v>12349</v>
      </c>
      <c r="B1419" s="47" t="s">
        <v>12350</v>
      </c>
      <c r="C1419" s="197" t="s">
        <v>12351</v>
      </c>
      <c r="D1419" s="49" t="s">
        <v>12352</v>
      </c>
      <c r="E1419" s="49" t="s">
        <v>7991</v>
      </c>
      <c r="F1419" s="49" t="s">
        <v>7991</v>
      </c>
      <c r="G1419" s="49" t="s">
        <v>12353</v>
      </c>
      <c r="H1419" s="49" t="s">
        <v>12354</v>
      </c>
      <c r="I1419" s="49" t="s">
        <v>383</v>
      </c>
      <c r="J1419" s="49" t="s">
        <v>12353</v>
      </c>
      <c r="K1419" s="49" t="s">
        <v>12354</v>
      </c>
      <c r="L1419" s="49" t="s">
        <v>383</v>
      </c>
      <c r="M1419" s="49" t="s">
        <v>12355</v>
      </c>
      <c r="N1419" s="49">
        <v>2634535634</v>
      </c>
      <c r="O1419" s="15"/>
      <c r="P1419" s="49" t="s">
        <v>44</v>
      </c>
      <c r="Q1419" s="49" t="s">
        <v>12356</v>
      </c>
      <c r="R1419" s="231">
        <v>114.161</v>
      </c>
      <c r="S1419" s="30">
        <f t="shared" si="7"/>
        <v>18494.081999999999</v>
      </c>
      <c r="T1419" s="89" t="s">
        <v>46</v>
      </c>
      <c r="U1419" s="15"/>
      <c r="V1419" s="44">
        <v>44610</v>
      </c>
      <c r="W1419" s="15"/>
      <c r="X1419" s="15"/>
      <c r="Y1419" s="13"/>
      <c r="Z1419" s="15"/>
      <c r="AA1419" s="13"/>
      <c r="AB1419" s="13"/>
      <c r="AC1419" s="49">
        <v>5448627</v>
      </c>
      <c r="AD1419" s="15"/>
      <c r="AE1419" s="145"/>
      <c r="AF1419" s="145"/>
      <c r="AG1419" s="145"/>
      <c r="AH1419" s="145"/>
      <c r="AI1419" s="145"/>
      <c r="AJ1419" s="145"/>
      <c r="AK1419" s="145"/>
      <c r="AL1419" s="145"/>
      <c r="AM1419" s="145"/>
      <c r="AN1419" s="145"/>
      <c r="AO1419" s="145"/>
      <c r="AP1419" s="145"/>
      <c r="AQ1419" s="145"/>
      <c r="AR1419" s="145"/>
      <c r="AS1419" s="145"/>
      <c r="AT1419" s="145"/>
    </row>
    <row r="1420" spans="1:46" ht="45" customHeight="1">
      <c r="A1420" s="21" t="s">
        <v>12357</v>
      </c>
      <c r="B1420" s="47" t="s">
        <v>12358</v>
      </c>
      <c r="C1420" s="197" t="s">
        <v>12359</v>
      </c>
      <c r="D1420" s="49" t="s">
        <v>12360</v>
      </c>
      <c r="E1420" s="49" t="s">
        <v>12361</v>
      </c>
      <c r="F1420" s="49" t="s">
        <v>12361</v>
      </c>
      <c r="G1420" s="49" t="s">
        <v>12362</v>
      </c>
      <c r="H1420" s="15"/>
      <c r="I1420" s="49" t="s">
        <v>41</v>
      </c>
      <c r="J1420" s="49" t="s">
        <v>12362</v>
      </c>
      <c r="K1420" s="15"/>
      <c r="L1420" s="49" t="s">
        <v>12363</v>
      </c>
      <c r="M1420" s="49" t="s">
        <v>12364</v>
      </c>
      <c r="N1420" s="49">
        <v>2604590480</v>
      </c>
      <c r="O1420" s="15"/>
      <c r="P1420" s="49" t="s">
        <v>117</v>
      </c>
      <c r="Q1420" s="49" t="s">
        <v>12365</v>
      </c>
      <c r="R1420" s="231">
        <v>966.78</v>
      </c>
      <c r="S1420" s="30">
        <f t="shared" si="7"/>
        <v>156618.35999999999</v>
      </c>
      <c r="T1420" s="89" t="s">
        <v>252</v>
      </c>
      <c r="U1420" s="15"/>
      <c r="V1420" s="44">
        <v>156619.53</v>
      </c>
      <c r="W1420" s="15"/>
      <c r="X1420" s="15"/>
      <c r="Y1420" s="13"/>
      <c r="Z1420" s="15"/>
      <c r="AA1420" s="13"/>
      <c r="AB1420" s="13"/>
      <c r="AC1420" s="49">
        <v>5504612</v>
      </c>
      <c r="AD1420" s="15"/>
      <c r="AE1420" s="145"/>
      <c r="AF1420" s="145"/>
      <c r="AG1420" s="145"/>
      <c r="AH1420" s="145"/>
      <c r="AI1420" s="145"/>
      <c r="AJ1420" s="145"/>
      <c r="AK1420" s="145"/>
      <c r="AL1420" s="145"/>
      <c r="AM1420" s="145"/>
      <c r="AN1420" s="145"/>
      <c r="AO1420" s="145"/>
      <c r="AP1420" s="145"/>
      <c r="AQ1420" s="145"/>
      <c r="AR1420" s="145"/>
      <c r="AS1420" s="145"/>
      <c r="AT1420" s="145"/>
    </row>
    <row r="1421" spans="1:46" ht="45" customHeight="1">
      <c r="A1421" s="21" t="s">
        <v>12366</v>
      </c>
      <c r="B1421" s="47" t="s">
        <v>12367</v>
      </c>
      <c r="C1421" s="197" t="s">
        <v>12368</v>
      </c>
      <c r="D1421" s="49" t="s">
        <v>12369</v>
      </c>
      <c r="E1421" s="49" t="s">
        <v>12370</v>
      </c>
      <c r="F1421" s="49" t="s">
        <v>12370</v>
      </c>
      <c r="G1421" s="49" t="s">
        <v>12371</v>
      </c>
      <c r="H1421" s="15"/>
      <c r="I1421" s="49" t="s">
        <v>80</v>
      </c>
      <c r="J1421" s="49" t="s">
        <v>12371</v>
      </c>
      <c r="K1421" s="15"/>
      <c r="L1421" s="49" t="s">
        <v>80</v>
      </c>
      <c r="M1421" s="49" t="s">
        <v>12372</v>
      </c>
      <c r="N1421" s="49">
        <v>2617138451</v>
      </c>
      <c r="O1421" s="15"/>
      <c r="P1421" s="49" t="s">
        <v>12373</v>
      </c>
      <c r="Q1421" s="49" t="s">
        <v>12365</v>
      </c>
      <c r="R1421" s="231">
        <v>269.29500000000002</v>
      </c>
      <c r="S1421" s="30">
        <f t="shared" si="7"/>
        <v>43625.79</v>
      </c>
      <c r="T1421" s="89" t="s">
        <v>46</v>
      </c>
      <c r="U1421" s="15"/>
      <c r="V1421" s="44">
        <v>44610</v>
      </c>
      <c r="W1421" s="15"/>
      <c r="X1421" s="15"/>
      <c r="Y1421" s="13"/>
      <c r="Z1421" s="15"/>
      <c r="AA1421" s="13"/>
      <c r="AB1421" s="13"/>
      <c r="AC1421" s="49">
        <v>5499748</v>
      </c>
      <c r="AD1421" s="15"/>
      <c r="AE1421" s="145"/>
      <c r="AF1421" s="145"/>
      <c r="AG1421" s="145"/>
      <c r="AH1421" s="145"/>
      <c r="AI1421" s="145"/>
      <c r="AJ1421" s="145"/>
      <c r="AK1421" s="145"/>
      <c r="AL1421" s="145"/>
      <c r="AM1421" s="145"/>
      <c r="AN1421" s="145"/>
      <c r="AO1421" s="145"/>
      <c r="AP1421" s="145"/>
      <c r="AQ1421" s="145"/>
      <c r="AR1421" s="145"/>
      <c r="AS1421" s="145"/>
      <c r="AT1421" s="145"/>
    </row>
    <row r="1422" spans="1:46" ht="45" customHeight="1">
      <c r="A1422" s="21" t="s">
        <v>12374</v>
      </c>
      <c r="B1422" s="47" t="s">
        <v>12375</v>
      </c>
      <c r="C1422" s="197" t="s">
        <v>12376</v>
      </c>
      <c r="D1422" s="49" t="s">
        <v>12377</v>
      </c>
      <c r="E1422" s="49" t="s">
        <v>12378</v>
      </c>
      <c r="F1422" s="49" t="s">
        <v>12378</v>
      </c>
      <c r="G1422" s="49" t="s">
        <v>12379</v>
      </c>
      <c r="H1422" s="15"/>
      <c r="I1422" s="49" t="s">
        <v>2325</v>
      </c>
      <c r="J1422" s="49" t="s">
        <v>12379</v>
      </c>
      <c r="K1422" s="15"/>
      <c r="L1422" s="49" t="s">
        <v>2325</v>
      </c>
      <c r="M1422" s="49" t="s">
        <v>12380</v>
      </c>
      <c r="N1422" s="49">
        <v>1158764235</v>
      </c>
      <c r="O1422" s="15"/>
      <c r="P1422" s="49" t="s">
        <v>12381</v>
      </c>
      <c r="Q1422" s="49" t="s">
        <v>12382</v>
      </c>
      <c r="R1422" s="231">
        <v>116.26900000000001</v>
      </c>
      <c r="S1422" s="30">
        <f t="shared" si="7"/>
        <v>18835.578000000001</v>
      </c>
      <c r="T1422" s="89" t="s">
        <v>46</v>
      </c>
      <c r="U1422" s="15"/>
      <c r="V1422" s="44">
        <v>44610</v>
      </c>
      <c r="W1422" s="15"/>
      <c r="X1422" s="15"/>
      <c r="Y1422" s="13"/>
      <c r="Z1422" s="15"/>
      <c r="AA1422" s="13"/>
      <c r="AB1422" s="13"/>
      <c r="AC1422" s="49">
        <v>5499435</v>
      </c>
      <c r="AD1422" s="15"/>
      <c r="AE1422" s="145"/>
      <c r="AF1422" s="145"/>
      <c r="AG1422" s="145"/>
      <c r="AH1422" s="145"/>
      <c r="AI1422" s="145"/>
      <c r="AJ1422" s="145"/>
      <c r="AK1422" s="145"/>
      <c r="AL1422" s="145"/>
      <c r="AM1422" s="145"/>
      <c r="AN1422" s="145"/>
      <c r="AO1422" s="145"/>
      <c r="AP1422" s="145"/>
      <c r="AQ1422" s="145"/>
      <c r="AR1422" s="145"/>
      <c r="AS1422" s="145"/>
      <c r="AT1422" s="145"/>
    </row>
    <row r="1423" spans="1:46" ht="45" customHeight="1">
      <c r="A1423" s="21" t="s">
        <v>12383</v>
      </c>
      <c r="B1423" s="47" t="s">
        <v>12384</v>
      </c>
      <c r="C1423" s="197" t="s">
        <v>12385</v>
      </c>
      <c r="D1423" s="49" t="s">
        <v>12386</v>
      </c>
      <c r="E1423" s="49" t="s">
        <v>12387</v>
      </c>
      <c r="F1423" s="49" t="s">
        <v>12387</v>
      </c>
      <c r="G1423" s="49" t="s">
        <v>12388</v>
      </c>
      <c r="H1423" s="15"/>
      <c r="I1423" s="49" t="s">
        <v>41</v>
      </c>
      <c r="J1423" s="49" t="s">
        <v>12388</v>
      </c>
      <c r="K1423" s="15"/>
      <c r="L1423" s="49" t="s">
        <v>41</v>
      </c>
      <c r="M1423" s="49" t="s">
        <v>12389</v>
      </c>
      <c r="N1423" s="49">
        <v>2616631257</v>
      </c>
      <c r="O1423" s="15"/>
      <c r="P1423" s="49" t="s">
        <v>44</v>
      </c>
      <c r="Q1423" s="49" t="s">
        <v>12390</v>
      </c>
      <c r="R1423" s="231">
        <v>528.20899999999995</v>
      </c>
      <c r="S1423" s="30">
        <f t="shared" si="7"/>
        <v>85569.857999999993</v>
      </c>
      <c r="T1423" s="89" t="s">
        <v>46</v>
      </c>
      <c r="U1423" s="15"/>
      <c r="V1423" s="44">
        <v>44610</v>
      </c>
      <c r="W1423" s="15"/>
      <c r="X1423" s="15"/>
      <c r="Y1423" s="13"/>
      <c r="Z1423" s="15"/>
      <c r="AA1423" s="13"/>
      <c r="AB1423" s="13"/>
      <c r="AC1423" s="49">
        <v>5489099</v>
      </c>
      <c r="AD1423" s="15"/>
      <c r="AE1423" s="145"/>
      <c r="AF1423" s="145"/>
      <c r="AG1423" s="145"/>
      <c r="AH1423" s="145"/>
      <c r="AI1423" s="145"/>
      <c r="AJ1423" s="145"/>
      <c r="AK1423" s="145"/>
      <c r="AL1423" s="145"/>
      <c r="AM1423" s="145"/>
      <c r="AN1423" s="145"/>
      <c r="AO1423" s="145"/>
      <c r="AP1423" s="145"/>
      <c r="AQ1423" s="145"/>
      <c r="AR1423" s="145"/>
      <c r="AS1423" s="145"/>
      <c r="AT1423" s="145"/>
    </row>
    <row r="1424" spans="1:46" ht="45" customHeight="1">
      <c r="A1424" s="21" t="s">
        <v>12391</v>
      </c>
      <c r="B1424" s="47" t="s">
        <v>12392</v>
      </c>
      <c r="C1424" s="197" t="s">
        <v>1413</v>
      </c>
      <c r="D1424" s="49" t="s">
        <v>1414</v>
      </c>
      <c r="E1424" s="49" t="s">
        <v>12393</v>
      </c>
      <c r="F1424" s="49" t="s">
        <v>12393</v>
      </c>
      <c r="G1424" s="49" t="s">
        <v>12394</v>
      </c>
      <c r="H1424" s="15"/>
      <c r="I1424" s="49" t="s">
        <v>149</v>
      </c>
      <c r="J1424" s="49" t="s">
        <v>12395</v>
      </c>
      <c r="K1424" s="15"/>
      <c r="L1424" s="49" t="s">
        <v>115</v>
      </c>
      <c r="M1424" s="49" t="s">
        <v>12396</v>
      </c>
      <c r="N1424" s="49">
        <v>4315637</v>
      </c>
      <c r="O1424" s="15"/>
      <c r="P1424" s="49" t="s">
        <v>94</v>
      </c>
      <c r="Q1424" s="49" t="s">
        <v>12397</v>
      </c>
      <c r="R1424" s="231">
        <v>927.76700000000005</v>
      </c>
      <c r="S1424" s="30">
        <f t="shared" ref="S1424:S1575" si="8">162*R1424</f>
        <v>150298.25400000002</v>
      </c>
      <c r="T1424" s="89" t="s">
        <v>252</v>
      </c>
      <c r="U1424" s="15"/>
      <c r="V1424" s="44">
        <v>150298.25</v>
      </c>
      <c r="W1424" s="15"/>
      <c r="X1424" s="15"/>
      <c r="Y1424" s="13"/>
      <c r="Z1424" s="15"/>
      <c r="AA1424" s="13"/>
      <c r="AB1424" s="13"/>
      <c r="AC1424" s="49">
        <v>5486919</v>
      </c>
      <c r="AD1424" s="15"/>
      <c r="AE1424" s="145"/>
      <c r="AF1424" s="145"/>
      <c r="AG1424" s="145"/>
      <c r="AH1424" s="145"/>
      <c r="AI1424" s="145"/>
      <c r="AJ1424" s="145"/>
      <c r="AK1424" s="145"/>
      <c r="AL1424" s="145"/>
      <c r="AM1424" s="145"/>
      <c r="AN1424" s="145"/>
      <c r="AO1424" s="145"/>
      <c r="AP1424" s="145"/>
      <c r="AQ1424" s="145"/>
      <c r="AR1424" s="145"/>
      <c r="AS1424" s="145"/>
      <c r="AT1424" s="145"/>
    </row>
    <row r="1425" spans="1:46" ht="45" customHeight="1">
      <c r="A1425" s="21" t="s">
        <v>12398</v>
      </c>
      <c r="B1425" s="47" t="s">
        <v>12399</v>
      </c>
      <c r="C1425" s="197" t="s">
        <v>12400</v>
      </c>
      <c r="D1425" s="49" t="s">
        <v>12401</v>
      </c>
      <c r="E1425" s="49" t="s">
        <v>12402</v>
      </c>
      <c r="F1425" s="49" t="s">
        <v>12402</v>
      </c>
      <c r="G1425" s="49" t="s">
        <v>12403</v>
      </c>
      <c r="H1425" s="15"/>
      <c r="I1425" s="49" t="s">
        <v>149</v>
      </c>
      <c r="J1425" s="49" t="s">
        <v>12403</v>
      </c>
      <c r="K1425" s="15"/>
      <c r="L1425" s="49" t="s">
        <v>149</v>
      </c>
      <c r="M1425" s="49" t="s">
        <v>12404</v>
      </c>
      <c r="N1425" s="49">
        <v>2615444803</v>
      </c>
      <c r="O1425" s="15"/>
      <c r="P1425" s="49" t="s">
        <v>94</v>
      </c>
      <c r="Q1425" s="49" t="s">
        <v>12405</v>
      </c>
      <c r="R1425" s="231">
        <v>56.24</v>
      </c>
      <c r="S1425" s="30">
        <f t="shared" si="8"/>
        <v>9110.880000000001</v>
      </c>
      <c r="T1425" s="89" t="s">
        <v>46</v>
      </c>
      <c r="U1425" s="15"/>
      <c r="V1425" s="44">
        <v>44610</v>
      </c>
      <c r="W1425" s="15"/>
      <c r="X1425" s="15"/>
      <c r="Y1425" s="13"/>
      <c r="Z1425" s="15"/>
      <c r="AA1425" s="13"/>
      <c r="AB1425" s="13"/>
      <c r="AC1425" s="49">
        <v>5484736</v>
      </c>
      <c r="AD1425" s="15"/>
      <c r="AE1425" s="145"/>
      <c r="AF1425" s="145"/>
      <c r="AG1425" s="145"/>
      <c r="AH1425" s="145"/>
      <c r="AI1425" s="145"/>
      <c r="AJ1425" s="145"/>
      <c r="AK1425" s="145"/>
      <c r="AL1425" s="145"/>
      <c r="AM1425" s="145"/>
      <c r="AN1425" s="145"/>
      <c r="AO1425" s="145"/>
      <c r="AP1425" s="145"/>
      <c r="AQ1425" s="145"/>
      <c r="AR1425" s="145"/>
      <c r="AS1425" s="145"/>
      <c r="AT1425" s="145"/>
    </row>
    <row r="1426" spans="1:46" ht="45" customHeight="1">
      <c r="A1426" s="21" t="s">
        <v>12406</v>
      </c>
      <c r="B1426" s="47" t="s">
        <v>12407</v>
      </c>
      <c r="C1426" s="197" t="s">
        <v>12408</v>
      </c>
      <c r="D1426" s="49" t="s">
        <v>12409</v>
      </c>
      <c r="E1426" s="49" t="s">
        <v>12410</v>
      </c>
      <c r="F1426" s="49" t="s">
        <v>12410</v>
      </c>
      <c r="G1426" s="49" t="s">
        <v>12411</v>
      </c>
      <c r="H1426" s="49"/>
      <c r="I1426" s="49" t="s">
        <v>53</v>
      </c>
      <c r="J1426" s="49" t="s">
        <v>12411</v>
      </c>
      <c r="K1426" s="49"/>
      <c r="L1426" s="49" t="s">
        <v>53</v>
      </c>
      <c r="M1426" s="49" t="s">
        <v>12412</v>
      </c>
      <c r="N1426" s="49">
        <v>2612533511</v>
      </c>
      <c r="O1426" s="15"/>
      <c r="P1426" s="49" t="s">
        <v>151</v>
      </c>
      <c r="Q1426" s="49" t="s">
        <v>12413</v>
      </c>
      <c r="R1426" s="231">
        <v>66.33</v>
      </c>
      <c r="S1426" s="30">
        <f t="shared" si="8"/>
        <v>10745.46</v>
      </c>
      <c r="T1426" s="89" t="s">
        <v>46</v>
      </c>
      <c r="U1426" s="15"/>
      <c r="V1426" s="44">
        <v>44610</v>
      </c>
      <c r="W1426" s="15"/>
      <c r="X1426" s="15"/>
      <c r="Y1426" s="13"/>
      <c r="Z1426" s="15"/>
      <c r="AA1426" s="13"/>
      <c r="AB1426" s="13"/>
      <c r="AC1426" s="49">
        <v>5481371</v>
      </c>
      <c r="AD1426" s="15"/>
      <c r="AE1426" s="145"/>
      <c r="AF1426" s="145"/>
      <c r="AG1426" s="145"/>
      <c r="AH1426" s="145"/>
      <c r="AI1426" s="145"/>
      <c r="AJ1426" s="145"/>
      <c r="AK1426" s="145"/>
      <c r="AL1426" s="145"/>
      <c r="AM1426" s="145"/>
      <c r="AN1426" s="145"/>
      <c r="AO1426" s="145"/>
      <c r="AP1426" s="145"/>
      <c r="AQ1426" s="145"/>
      <c r="AR1426" s="145"/>
      <c r="AS1426" s="145"/>
      <c r="AT1426" s="145"/>
    </row>
    <row r="1427" spans="1:46" ht="45" customHeight="1">
      <c r="A1427" s="21" t="s">
        <v>12414</v>
      </c>
      <c r="B1427" s="47" t="s">
        <v>12415</v>
      </c>
      <c r="C1427" s="197" t="s">
        <v>12416</v>
      </c>
      <c r="D1427" s="49" t="s">
        <v>12417</v>
      </c>
      <c r="E1427" s="49" t="s">
        <v>12418</v>
      </c>
      <c r="F1427" s="49" t="s">
        <v>12418</v>
      </c>
      <c r="G1427" s="49" t="s">
        <v>12419</v>
      </c>
      <c r="H1427" s="15"/>
      <c r="I1427" s="49" t="s">
        <v>115</v>
      </c>
      <c r="J1427" s="49" t="s">
        <v>12419</v>
      </c>
      <c r="K1427" s="15"/>
      <c r="L1427" s="49" t="s">
        <v>115</v>
      </c>
      <c r="M1427" s="49" t="s">
        <v>12420</v>
      </c>
      <c r="N1427" s="49">
        <v>2612011322</v>
      </c>
      <c r="O1427" s="15"/>
      <c r="P1427" s="49" t="s">
        <v>3793</v>
      </c>
      <c r="Q1427" s="49" t="s">
        <v>12421</v>
      </c>
      <c r="R1427" s="231">
        <v>898.24</v>
      </c>
      <c r="S1427" s="30">
        <f t="shared" si="8"/>
        <v>145514.88</v>
      </c>
      <c r="T1427" s="89" t="s">
        <v>252</v>
      </c>
      <c r="U1427" s="15"/>
      <c r="V1427" s="44">
        <v>145514.88</v>
      </c>
      <c r="W1427" s="15"/>
      <c r="X1427" s="15"/>
      <c r="Y1427" s="13"/>
      <c r="Z1427" s="15"/>
      <c r="AA1427" s="13"/>
      <c r="AB1427" s="13"/>
      <c r="AC1427" s="49">
        <v>5474256</v>
      </c>
      <c r="AD1427" s="15"/>
      <c r="AE1427" s="145"/>
      <c r="AF1427" s="145"/>
      <c r="AG1427" s="145"/>
      <c r="AH1427" s="145"/>
      <c r="AI1427" s="145"/>
      <c r="AJ1427" s="145"/>
      <c r="AK1427" s="145"/>
      <c r="AL1427" s="145"/>
      <c r="AM1427" s="145"/>
      <c r="AN1427" s="145"/>
      <c r="AO1427" s="145"/>
      <c r="AP1427" s="145"/>
      <c r="AQ1427" s="145"/>
      <c r="AR1427" s="145"/>
      <c r="AS1427" s="145"/>
      <c r="AT1427" s="145"/>
    </row>
    <row r="1428" spans="1:46" ht="45" customHeight="1">
      <c r="A1428" s="21" t="s">
        <v>12422</v>
      </c>
      <c r="B1428" s="47" t="s">
        <v>12423</v>
      </c>
      <c r="C1428" s="197" t="s">
        <v>12424</v>
      </c>
      <c r="D1428" s="49" t="s">
        <v>12425</v>
      </c>
      <c r="E1428" s="49" t="s">
        <v>12426</v>
      </c>
      <c r="F1428" s="49" t="s">
        <v>12426</v>
      </c>
      <c r="G1428" s="49" t="s">
        <v>12427</v>
      </c>
      <c r="H1428" s="15"/>
      <c r="I1428" s="49" t="s">
        <v>115</v>
      </c>
      <c r="J1428" s="49" t="s">
        <v>12427</v>
      </c>
      <c r="K1428" s="15"/>
      <c r="L1428" s="49" t="s">
        <v>115</v>
      </c>
      <c r="M1428" s="49" t="s">
        <v>12428</v>
      </c>
      <c r="N1428" s="49">
        <v>2616849035</v>
      </c>
      <c r="O1428" s="15"/>
      <c r="P1428" s="49" t="s">
        <v>94</v>
      </c>
      <c r="Q1428" s="49" t="s">
        <v>12429</v>
      </c>
      <c r="R1428" s="231">
        <v>34.155000000000001</v>
      </c>
      <c r="S1428" s="30">
        <f t="shared" si="8"/>
        <v>5533.1100000000006</v>
      </c>
      <c r="T1428" s="89" t="s">
        <v>46</v>
      </c>
      <c r="U1428" s="15"/>
      <c r="V1428" s="44">
        <v>44610</v>
      </c>
      <c r="W1428" s="15"/>
      <c r="X1428" s="15"/>
      <c r="Y1428" s="13"/>
      <c r="Z1428" s="15"/>
      <c r="AA1428" s="13"/>
      <c r="AB1428" s="13"/>
      <c r="AC1428" s="49">
        <v>5427513</v>
      </c>
      <c r="AD1428" s="15"/>
      <c r="AE1428" s="145"/>
      <c r="AF1428" s="145"/>
      <c r="AG1428" s="145"/>
      <c r="AH1428" s="145"/>
      <c r="AI1428" s="145"/>
      <c r="AJ1428" s="145"/>
      <c r="AK1428" s="145"/>
      <c r="AL1428" s="145"/>
      <c r="AM1428" s="145"/>
      <c r="AN1428" s="145"/>
      <c r="AO1428" s="145"/>
      <c r="AP1428" s="145"/>
      <c r="AQ1428" s="145"/>
      <c r="AR1428" s="145"/>
      <c r="AS1428" s="145"/>
      <c r="AT1428" s="145"/>
    </row>
    <row r="1429" spans="1:46" ht="45" customHeight="1">
      <c r="A1429" s="21" t="s">
        <v>12430</v>
      </c>
      <c r="B1429" s="47" t="s">
        <v>12431</v>
      </c>
      <c r="C1429" s="197" t="s">
        <v>12432</v>
      </c>
      <c r="D1429" s="49" t="s">
        <v>12433</v>
      </c>
      <c r="E1429" s="49" t="s">
        <v>12434</v>
      </c>
      <c r="F1429" s="49" t="s">
        <v>12434</v>
      </c>
      <c r="G1429" s="49" t="s">
        <v>12435</v>
      </c>
      <c r="H1429" s="15"/>
      <c r="I1429" s="49" t="s">
        <v>65</v>
      </c>
      <c r="J1429" s="49" t="s">
        <v>12435</v>
      </c>
      <c r="K1429" s="15"/>
      <c r="L1429" s="49" t="s">
        <v>65</v>
      </c>
      <c r="M1429" s="49" t="s">
        <v>12436</v>
      </c>
      <c r="N1429" s="49">
        <v>1138114725</v>
      </c>
      <c r="O1429" s="15"/>
      <c r="P1429" s="49" t="s">
        <v>117</v>
      </c>
      <c r="Q1429" s="49" t="s">
        <v>12437</v>
      </c>
      <c r="R1429" s="231">
        <v>3623.33</v>
      </c>
      <c r="S1429" s="30">
        <f t="shared" si="8"/>
        <v>586979.46</v>
      </c>
      <c r="T1429" s="89" t="s">
        <v>129</v>
      </c>
      <c r="U1429" s="49"/>
      <c r="V1429" s="44">
        <v>586979.46</v>
      </c>
      <c r="W1429" s="15"/>
      <c r="X1429" s="15"/>
      <c r="Y1429" s="13"/>
      <c r="Z1429" s="15"/>
      <c r="AA1429" s="13"/>
      <c r="AB1429" s="13"/>
      <c r="AC1429" s="49">
        <v>5427305</v>
      </c>
      <c r="AD1429" s="15"/>
      <c r="AE1429" s="145"/>
      <c r="AF1429" s="145"/>
      <c r="AG1429" s="145"/>
      <c r="AH1429" s="145"/>
      <c r="AI1429" s="145"/>
      <c r="AJ1429" s="145"/>
      <c r="AK1429" s="145"/>
      <c r="AL1429" s="145"/>
      <c r="AM1429" s="145"/>
      <c r="AN1429" s="145"/>
      <c r="AO1429" s="145"/>
      <c r="AP1429" s="145"/>
      <c r="AQ1429" s="145"/>
      <c r="AR1429" s="145"/>
      <c r="AS1429" s="145"/>
      <c r="AT1429" s="145"/>
    </row>
    <row r="1430" spans="1:46" ht="45" customHeight="1">
      <c r="A1430" s="21" t="s">
        <v>12438</v>
      </c>
      <c r="B1430" s="47" t="s">
        <v>12439</v>
      </c>
      <c r="C1430" s="197" t="s">
        <v>12440</v>
      </c>
      <c r="D1430" s="49" t="s">
        <v>1568</v>
      </c>
      <c r="E1430" s="49" t="s">
        <v>3020</v>
      </c>
      <c r="F1430" s="49" t="s">
        <v>3020</v>
      </c>
      <c r="G1430" s="49" t="s">
        <v>12441</v>
      </c>
      <c r="H1430" s="15"/>
      <c r="I1430" s="49" t="s">
        <v>38</v>
      </c>
      <c r="J1430" s="49" t="s">
        <v>12441</v>
      </c>
      <c r="K1430" s="15"/>
      <c r="L1430" s="49" t="s">
        <v>38</v>
      </c>
      <c r="M1430" s="49" t="s">
        <v>12442</v>
      </c>
      <c r="N1430" s="49">
        <v>4969000</v>
      </c>
      <c r="O1430" s="49" t="s">
        <v>12443</v>
      </c>
      <c r="P1430" s="49" t="s">
        <v>12444</v>
      </c>
      <c r="Q1430" s="49" t="s">
        <v>12445</v>
      </c>
      <c r="R1430" s="231">
        <v>1170.58</v>
      </c>
      <c r="S1430" s="30">
        <f t="shared" si="8"/>
        <v>189633.96</v>
      </c>
      <c r="T1430" s="89" t="s">
        <v>198</v>
      </c>
      <c r="U1430" s="15"/>
      <c r="V1430" s="44">
        <v>189633.96</v>
      </c>
      <c r="W1430" s="15"/>
      <c r="X1430" s="15"/>
      <c r="Y1430" s="13"/>
      <c r="Z1430" s="15"/>
      <c r="AA1430" s="13"/>
      <c r="AB1430" s="13"/>
      <c r="AC1430" s="49">
        <v>5419705</v>
      </c>
      <c r="AD1430" s="15"/>
      <c r="AE1430" s="145"/>
      <c r="AF1430" s="145"/>
      <c r="AG1430" s="145"/>
      <c r="AH1430" s="145"/>
      <c r="AI1430" s="145"/>
      <c r="AJ1430" s="145"/>
      <c r="AK1430" s="145"/>
      <c r="AL1430" s="145"/>
      <c r="AM1430" s="145"/>
      <c r="AN1430" s="145"/>
      <c r="AO1430" s="145"/>
      <c r="AP1430" s="145"/>
      <c r="AQ1430" s="145"/>
      <c r="AR1430" s="145"/>
      <c r="AS1430" s="145"/>
      <c r="AT1430" s="145"/>
    </row>
    <row r="1431" spans="1:46" ht="45" customHeight="1">
      <c r="A1431" s="21" t="s">
        <v>12446</v>
      </c>
      <c r="B1431" s="47" t="s">
        <v>12447</v>
      </c>
      <c r="C1431" s="197" t="s">
        <v>12448</v>
      </c>
      <c r="D1431" s="49" t="s">
        <v>12449</v>
      </c>
      <c r="E1431" s="49" t="s">
        <v>12450</v>
      </c>
      <c r="F1431" s="49" t="s">
        <v>12450</v>
      </c>
      <c r="G1431" s="49" t="s">
        <v>12451</v>
      </c>
      <c r="H1431" s="15"/>
      <c r="I1431" s="49" t="s">
        <v>149</v>
      </c>
      <c r="J1431" s="49" t="s">
        <v>12451</v>
      </c>
      <c r="K1431" s="15"/>
      <c r="L1431" s="49" t="s">
        <v>149</v>
      </c>
      <c r="M1431" s="49" t="s">
        <v>12420</v>
      </c>
      <c r="N1431" s="49">
        <v>2614858797</v>
      </c>
      <c r="O1431" s="15"/>
      <c r="P1431" s="49" t="s">
        <v>44</v>
      </c>
      <c r="Q1431" s="49" t="s">
        <v>12452</v>
      </c>
      <c r="R1431" s="231">
        <v>340.77800000000002</v>
      </c>
      <c r="S1431" s="30">
        <f t="shared" si="8"/>
        <v>55206.036</v>
      </c>
      <c r="T1431" s="89" t="s">
        <v>46</v>
      </c>
      <c r="U1431" s="15"/>
      <c r="V1431" s="44">
        <v>55206.04</v>
      </c>
      <c r="W1431" s="15"/>
      <c r="X1431" s="15"/>
      <c r="Y1431" s="13"/>
      <c r="Z1431" s="15"/>
      <c r="AA1431" s="13"/>
      <c r="AB1431" s="13"/>
      <c r="AC1431" s="49">
        <v>5412380</v>
      </c>
      <c r="AD1431" s="15"/>
      <c r="AE1431" s="145"/>
      <c r="AF1431" s="145"/>
      <c r="AG1431" s="145"/>
      <c r="AH1431" s="145"/>
      <c r="AI1431" s="145"/>
      <c r="AJ1431" s="145"/>
      <c r="AK1431" s="145"/>
      <c r="AL1431" s="145"/>
      <c r="AM1431" s="145"/>
      <c r="AN1431" s="145"/>
      <c r="AO1431" s="145"/>
      <c r="AP1431" s="145"/>
      <c r="AQ1431" s="145"/>
      <c r="AR1431" s="145"/>
      <c r="AS1431" s="145"/>
      <c r="AT1431" s="145"/>
    </row>
    <row r="1432" spans="1:46" ht="45" customHeight="1">
      <c r="A1432" s="21" t="s">
        <v>12453</v>
      </c>
      <c r="B1432" s="47" t="s">
        <v>12454</v>
      </c>
      <c r="C1432" s="197" t="s">
        <v>12455</v>
      </c>
      <c r="D1432" s="49" t="s">
        <v>12456</v>
      </c>
      <c r="E1432" s="49" t="s">
        <v>12457</v>
      </c>
      <c r="F1432" s="49" t="s">
        <v>12457</v>
      </c>
      <c r="G1432" s="49" t="s">
        <v>12458</v>
      </c>
      <c r="H1432" s="15"/>
      <c r="I1432" s="49" t="s">
        <v>41</v>
      </c>
      <c r="J1432" s="49" t="s">
        <v>12458</v>
      </c>
      <c r="K1432" s="15"/>
      <c r="L1432" s="49" t="s">
        <v>41</v>
      </c>
      <c r="M1432" s="49" t="s">
        <v>12459</v>
      </c>
      <c r="N1432" s="49">
        <v>2604537618</v>
      </c>
      <c r="O1432" s="15"/>
      <c r="P1432" s="49" t="s">
        <v>1381</v>
      </c>
      <c r="Q1432" s="49" t="s">
        <v>12460</v>
      </c>
      <c r="R1432" s="231">
        <v>1255.82</v>
      </c>
      <c r="S1432" s="30">
        <f t="shared" si="8"/>
        <v>203442.84</v>
      </c>
      <c r="T1432" s="89" t="s">
        <v>198</v>
      </c>
      <c r="U1432" s="15"/>
      <c r="V1432" s="44">
        <v>203442.84</v>
      </c>
      <c r="W1432" s="15"/>
      <c r="X1432" s="15"/>
      <c r="Y1432" s="13"/>
      <c r="Z1432" s="15"/>
      <c r="AA1432" s="13"/>
      <c r="AB1432" s="13"/>
      <c r="AC1432" s="49">
        <v>5407706</v>
      </c>
      <c r="AD1432" s="15"/>
      <c r="AE1432" s="145"/>
      <c r="AF1432" s="145"/>
      <c r="AG1432" s="145"/>
      <c r="AH1432" s="145"/>
      <c r="AI1432" s="145"/>
      <c r="AJ1432" s="145"/>
      <c r="AK1432" s="145"/>
      <c r="AL1432" s="145"/>
      <c r="AM1432" s="145"/>
      <c r="AN1432" s="145"/>
      <c r="AO1432" s="145"/>
      <c r="AP1432" s="145"/>
      <c r="AQ1432" s="145"/>
      <c r="AR1432" s="145"/>
      <c r="AS1432" s="145"/>
      <c r="AT1432" s="145"/>
    </row>
    <row r="1433" spans="1:46" ht="45" customHeight="1">
      <c r="A1433" s="21" t="s">
        <v>12461</v>
      </c>
      <c r="B1433" s="47" t="s">
        <v>12462</v>
      </c>
      <c r="C1433" s="197" t="s">
        <v>12463</v>
      </c>
      <c r="D1433" s="49" t="s">
        <v>12464</v>
      </c>
      <c r="E1433" s="49" t="s">
        <v>12465</v>
      </c>
      <c r="F1433" s="49" t="s">
        <v>12465</v>
      </c>
      <c r="G1433" s="49" t="s">
        <v>12466</v>
      </c>
      <c r="H1433" s="15"/>
      <c r="I1433" s="49" t="s">
        <v>80</v>
      </c>
      <c r="J1433" s="49" t="s">
        <v>12466</v>
      </c>
      <c r="K1433" s="15"/>
      <c r="L1433" s="49" t="s">
        <v>80</v>
      </c>
      <c r="M1433" s="49" t="s">
        <v>12467</v>
      </c>
      <c r="N1433" s="49">
        <v>2613665868</v>
      </c>
      <c r="O1433" s="15"/>
      <c r="P1433" s="49" t="s">
        <v>117</v>
      </c>
      <c r="Q1433" s="49" t="s">
        <v>12468</v>
      </c>
      <c r="R1433" s="231">
        <v>363.30099999999999</v>
      </c>
      <c r="S1433" s="30">
        <f t="shared" si="8"/>
        <v>58854.761999999995</v>
      </c>
      <c r="T1433" s="89" t="s">
        <v>46</v>
      </c>
      <c r="U1433" s="15"/>
      <c r="V1433" s="44">
        <v>58854.76</v>
      </c>
      <c r="W1433" s="15"/>
      <c r="X1433" s="15"/>
      <c r="Y1433" s="13"/>
      <c r="Z1433" s="15"/>
      <c r="AA1433" s="13"/>
      <c r="AB1433" s="13"/>
      <c r="AC1433" s="49">
        <v>5395127</v>
      </c>
      <c r="AD1433" s="15"/>
      <c r="AE1433" s="145"/>
      <c r="AF1433" s="145"/>
      <c r="AG1433" s="145"/>
      <c r="AH1433" s="145"/>
      <c r="AI1433" s="145"/>
      <c r="AJ1433" s="145"/>
      <c r="AK1433" s="145"/>
      <c r="AL1433" s="145"/>
      <c r="AM1433" s="145"/>
      <c r="AN1433" s="145"/>
      <c r="AO1433" s="145"/>
      <c r="AP1433" s="145"/>
      <c r="AQ1433" s="145"/>
      <c r="AR1433" s="145"/>
      <c r="AS1433" s="145"/>
      <c r="AT1433" s="145"/>
    </row>
    <row r="1434" spans="1:46" ht="45" customHeight="1">
      <c r="A1434" s="21" t="s">
        <v>12469</v>
      </c>
      <c r="B1434" s="47" t="s">
        <v>12470</v>
      </c>
      <c r="C1434" s="197" t="s">
        <v>12471</v>
      </c>
      <c r="D1434" s="49" t="s">
        <v>12472</v>
      </c>
      <c r="E1434" s="49" t="s">
        <v>12473</v>
      </c>
      <c r="F1434" s="49" t="s">
        <v>12473</v>
      </c>
      <c r="G1434" s="49" t="s">
        <v>12474</v>
      </c>
      <c r="H1434" s="15"/>
      <c r="I1434" s="49" t="s">
        <v>115</v>
      </c>
      <c r="J1434" s="49" t="s">
        <v>12474</v>
      </c>
      <c r="K1434" s="15"/>
      <c r="L1434" s="49" t="s">
        <v>115</v>
      </c>
      <c r="M1434" s="49" t="s">
        <v>12420</v>
      </c>
      <c r="N1434" s="49">
        <v>2614858797</v>
      </c>
      <c r="O1434" s="15"/>
      <c r="P1434" s="49" t="s">
        <v>151</v>
      </c>
      <c r="Q1434" s="49" t="s">
        <v>12475</v>
      </c>
      <c r="R1434" s="231">
        <v>37.075000000000003</v>
      </c>
      <c r="S1434" s="30">
        <f t="shared" si="8"/>
        <v>6006.1500000000005</v>
      </c>
      <c r="T1434" s="89" t="s">
        <v>46</v>
      </c>
      <c r="U1434" s="15"/>
      <c r="V1434" s="44">
        <v>44610</v>
      </c>
      <c r="W1434" s="15"/>
      <c r="X1434" s="15"/>
      <c r="Y1434" s="13"/>
      <c r="Z1434" s="15"/>
      <c r="AA1434" s="13"/>
      <c r="AB1434" s="13"/>
      <c r="AC1434" s="49">
        <v>5395088</v>
      </c>
      <c r="AD1434" s="15"/>
      <c r="AE1434" s="145"/>
      <c r="AF1434" s="145"/>
      <c r="AG1434" s="145"/>
      <c r="AH1434" s="145"/>
      <c r="AI1434" s="145"/>
      <c r="AJ1434" s="145"/>
      <c r="AK1434" s="145"/>
      <c r="AL1434" s="145"/>
      <c r="AM1434" s="145"/>
      <c r="AN1434" s="145"/>
      <c r="AO1434" s="145"/>
      <c r="AP1434" s="145"/>
      <c r="AQ1434" s="145"/>
      <c r="AR1434" s="145"/>
      <c r="AS1434" s="145"/>
      <c r="AT1434" s="145"/>
    </row>
    <row r="1435" spans="1:46" ht="45" customHeight="1">
      <c r="A1435" s="21" t="s">
        <v>12476</v>
      </c>
      <c r="B1435" s="47" t="s">
        <v>12477</v>
      </c>
      <c r="C1435" s="197" t="s">
        <v>12478</v>
      </c>
      <c r="D1435" s="49" t="s">
        <v>12479</v>
      </c>
      <c r="E1435" s="49" t="s">
        <v>12480</v>
      </c>
      <c r="F1435" s="49" t="s">
        <v>12480</v>
      </c>
      <c r="G1435" s="49" t="s">
        <v>12481</v>
      </c>
      <c r="H1435" s="15"/>
      <c r="I1435" s="49" t="s">
        <v>80</v>
      </c>
      <c r="J1435" s="49" t="s">
        <v>12481</v>
      </c>
      <c r="K1435" s="15"/>
      <c r="L1435" s="49" t="s">
        <v>80</v>
      </c>
      <c r="M1435" s="49" t="s">
        <v>12482</v>
      </c>
      <c r="N1435" s="49">
        <v>2615387983</v>
      </c>
      <c r="O1435" s="15"/>
      <c r="P1435" s="49" t="s">
        <v>9830</v>
      </c>
      <c r="Q1435" s="49" t="s">
        <v>12483</v>
      </c>
      <c r="R1435" s="231">
        <v>168.06</v>
      </c>
      <c r="S1435" s="30">
        <f t="shared" si="8"/>
        <v>27225.72</v>
      </c>
      <c r="T1435" s="89" t="s">
        <v>46</v>
      </c>
      <c r="U1435" s="15"/>
      <c r="V1435" s="44">
        <v>44610</v>
      </c>
      <c r="W1435" s="15"/>
      <c r="X1435" s="15"/>
      <c r="Y1435" s="13"/>
      <c r="Z1435" s="15"/>
      <c r="AA1435" s="13"/>
      <c r="AB1435" s="13"/>
      <c r="AC1435" s="49">
        <v>5395032</v>
      </c>
      <c r="AD1435" s="15"/>
      <c r="AE1435" s="145"/>
      <c r="AF1435" s="145"/>
      <c r="AG1435" s="145"/>
      <c r="AH1435" s="145"/>
      <c r="AI1435" s="145"/>
      <c r="AJ1435" s="145"/>
      <c r="AK1435" s="145"/>
      <c r="AL1435" s="145"/>
      <c r="AM1435" s="145"/>
      <c r="AN1435" s="145"/>
      <c r="AO1435" s="145"/>
      <c r="AP1435" s="145"/>
      <c r="AQ1435" s="145"/>
      <c r="AR1435" s="145"/>
      <c r="AS1435" s="145"/>
      <c r="AT1435" s="145"/>
    </row>
    <row r="1436" spans="1:46" ht="45" customHeight="1">
      <c r="A1436" s="21" t="s">
        <v>12484</v>
      </c>
      <c r="B1436" s="47" t="s">
        <v>12485</v>
      </c>
      <c r="C1436" s="197" t="s">
        <v>12486</v>
      </c>
      <c r="D1436" s="49" t="s">
        <v>12487</v>
      </c>
      <c r="E1436" s="49" t="s">
        <v>12488</v>
      </c>
      <c r="F1436" s="49" t="s">
        <v>12488</v>
      </c>
      <c r="G1436" s="49" t="s">
        <v>12489</v>
      </c>
      <c r="H1436" s="15"/>
      <c r="I1436" s="49" t="s">
        <v>38</v>
      </c>
      <c r="J1436" s="49" t="s">
        <v>12489</v>
      </c>
      <c r="K1436" s="15"/>
      <c r="L1436" s="49" t="s">
        <v>38</v>
      </c>
      <c r="M1436" s="49" t="s">
        <v>12490</v>
      </c>
      <c r="N1436" s="49">
        <v>2613373865</v>
      </c>
      <c r="O1436" s="15"/>
      <c r="P1436" s="49" t="s">
        <v>1381</v>
      </c>
      <c r="Q1436" s="49" t="s">
        <v>12491</v>
      </c>
      <c r="R1436" s="231">
        <v>670.79499999999996</v>
      </c>
      <c r="S1436" s="30">
        <f t="shared" si="8"/>
        <v>108668.79</v>
      </c>
      <c r="T1436" s="89" t="s">
        <v>252</v>
      </c>
      <c r="U1436" s="15"/>
      <c r="V1436" s="44">
        <v>108668.79</v>
      </c>
      <c r="W1436" s="15"/>
      <c r="X1436" s="15"/>
      <c r="Y1436" s="13"/>
      <c r="Z1436" s="15"/>
      <c r="AA1436" s="13"/>
      <c r="AB1436" s="13"/>
      <c r="AC1436" s="49">
        <v>5486902</v>
      </c>
      <c r="AD1436" s="15"/>
      <c r="AE1436" s="145"/>
      <c r="AF1436" s="145"/>
      <c r="AG1436" s="145"/>
      <c r="AH1436" s="145"/>
      <c r="AI1436" s="145"/>
      <c r="AJ1436" s="145"/>
      <c r="AK1436" s="145"/>
      <c r="AL1436" s="145"/>
      <c r="AM1436" s="145"/>
      <c r="AN1436" s="145"/>
      <c r="AO1436" s="145"/>
      <c r="AP1436" s="145"/>
      <c r="AQ1436" s="145"/>
      <c r="AR1436" s="145"/>
      <c r="AS1436" s="145"/>
      <c r="AT1436" s="145"/>
    </row>
    <row r="1437" spans="1:46" ht="45" customHeight="1">
      <c r="A1437" s="21" t="s">
        <v>12492</v>
      </c>
      <c r="B1437" s="47" t="s">
        <v>12493</v>
      </c>
      <c r="C1437" s="197" t="s">
        <v>12494</v>
      </c>
      <c r="D1437" s="49" t="s">
        <v>12495</v>
      </c>
      <c r="E1437" s="49" t="s">
        <v>12496</v>
      </c>
      <c r="F1437" s="49" t="s">
        <v>12496</v>
      </c>
      <c r="G1437" s="49" t="s">
        <v>12497</v>
      </c>
      <c r="H1437" s="15"/>
      <c r="I1437" s="49" t="s">
        <v>115</v>
      </c>
      <c r="J1437" s="49" t="s">
        <v>12497</v>
      </c>
      <c r="K1437" s="15"/>
      <c r="L1437" s="49" t="s">
        <v>115</v>
      </c>
      <c r="M1437" s="49" t="s">
        <v>12498</v>
      </c>
      <c r="N1437" s="49">
        <v>2614541604</v>
      </c>
      <c r="O1437" s="15"/>
      <c r="P1437" s="49" t="s">
        <v>94</v>
      </c>
      <c r="Q1437" s="49" t="s">
        <v>12499</v>
      </c>
      <c r="R1437" s="231">
        <v>87.8</v>
      </c>
      <c r="S1437" s="30">
        <f t="shared" si="8"/>
        <v>14223.6</v>
      </c>
      <c r="T1437" s="89" t="s">
        <v>46</v>
      </c>
      <c r="U1437" s="15"/>
      <c r="V1437" s="44">
        <v>44610</v>
      </c>
      <c r="W1437" s="15"/>
      <c r="X1437" s="15"/>
      <c r="Y1437" s="13"/>
      <c r="Z1437" s="15"/>
      <c r="AA1437" s="13"/>
      <c r="AB1437" s="47"/>
      <c r="AC1437" s="49">
        <v>5532775</v>
      </c>
      <c r="AD1437" s="15"/>
      <c r="AE1437" s="145"/>
      <c r="AF1437" s="145"/>
      <c r="AG1437" s="145"/>
      <c r="AH1437" s="145"/>
      <c r="AI1437" s="145"/>
      <c r="AJ1437" s="145"/>
      <c r="AK1437" s="145"/>
      <c r="AL1437" s="145"/>
      <c r="AM1437" s="145"/>
      <c r="AN1437" s="145"/>
      <c r="AO1437" s="145"/>
      <c r="AP1437" s="145"/>
      <c r="AQ1437" s="145"/>
      <c r="AR1437" s="145"/>
      <c r="AS1437" s="145"/>
      <c r="AT1437" s="145"/>
    </row>
    <row r="1438" spans="1:46" ht="45" customHeight="1">
      <c r="A1438" s="21" t="s">
        <v>12500</v>
      </c>
      <c r="B1438" s="47" t="s">
        <v>12501</v>
      </c>
      <c r="C1438" s="197" t="s">
        <v>12502</v>
      </c>
      <c r="D1438" s="49" t="s">
        <v>12503</v>
      </c>
      <c r="E1438" s="49" t="s">
        <v>12504</v>
      </c>
      <c r="F1438" s="49" t="s">
        <v>12504</v>
      </c>
      <c r="G1438" s="49" t="s">
        <v>12505</v>
      </c>
      <c r="H1438" s="15"/>
      <c r="I1438" s="49" t="s">
        <v>1279</v>
      </c>
      <c r="J1438" s="49" t="s">
        <v>12505</v>
      </c>
      <c r="K1438" s="15"/>
      <c r="L1438" s="49" t="s">
        <v>1279</v>
      </c>
      <c r="M1438" s="49" t="s">
        <v>12506</v>
      </c>
      <c r="N1438" s="49" t="s">
        <v>12507</v>
      </c>
      <c r="O1438" s="15"/>
      <c r="P1438" s="49" t="s">
        <v>44</v>
      </c>
      <c r="Q1438" s="49" t="s">
        <v>12508</v>
      </c>
      <c r="R1438" s="231">
        <v>508.01</v>
      </c>
      <c r="S1438" s="30">
        <f t="shared" si="8"/>
        <v>82297.62</v>
      </c>
      <c r="T1438" s="89" t="s">
        <v>46</v>
      </c>
      <c r="U1438" s="15"/>
      <c r="V1438" s="44">
        <v>44610</v>
      </c>
      <c r="W1438" s="15"/>
      <c r="X1438" s="15"/>
      <c r="Y1438" s="13"/>
      <c r="Z1438" s="15"/>
      <c r="AA1438" s="13"/>
      <c r="AB1438" s="13"/>
      <c r="AC1438" s="49">
        <v>6025736</v>
      </c>
      <c r="AD1438" s="15"/>
      <c r="AE1438" s="145"/>
      <c r="AF1438" s="145"/>
      <c r="AG1438" s="145"/>
      <c r="AH1438" s="145"/>
      <c r="AI1438" s="145"/>
      <c r="AJ1438" s="145"/>
      <c r="AK1438" s="145"/>
      <c r="AL1438" s="145"/>
      <c r="AM1438" s="145"/>
      <c r="AN1438" s="145"/>
      <c r="AO1438" s="145"/>
      <c r="AP1438" s="145"/>
      <c r="AQ1438" s="145"/>
      <c r="AR1438" s="145"/>
      <c r="AS1438" s="145"/>
      <c r="AT1438" s="145"/>
    </row>
    <row r="1439" spans="1:46" ht="45" customHeight="1">
      <c r="A1439" s="21" t="s">
        <v>12509</v>
      </c>
      <c r="B1439" s="47" t="s">
        <v>12510</v>
      </c>
      <c r="C1439" s="197" t="s">
        <v>12511</v>
      </c>
      <c r="D1439" s="49" t="s">
        <v>8850</v>
      </c>
      <c r="E1439" s="49" t="s">
        <v>8953</v>
      </c>
      <c r="F1439" s="49" t="s">
        <v>8953</v>
      </c>
      <c r="G1439" s="233" t="s">
        <v>12512</v>
      </c>
      <c r="H1439" s="15"/>
      <c r="I1439" s="49" t="s">
        <v>115</v>
      </c>
      <c r="J1439" s="222" t="s">
        <v>12512</v>
      </c>
      <c r="K1439" s="15"/>
      <c r="L1439" s="49" t="s">
        <v>115</v>
      </c>
      <c r="M1439" s="49" t="s">
        <v>3487</v>
      </c>
      <c r="N1439" s="49">
        <v>2613050927</v>
      </c>
      <c r="O1439" s="15"/>
      <c r="P1439" s="49" t="s">
        <v>151</v>
      </c>
      <c r="Q1439" s="49" t="s">
        <v>12513</v>
      </c>
      <c r="R1439" s="231">
        <v>64.67</v>
      </c>
      <c r="S1439" s="30">
        <f t="shared" si="8"/>
        <v>10476.540000000001</v>
      </c>
      <c r="T1439" s="89" t="s">
        <v>46</v>
      </c>
      <c r="U1439" s="15"/>
      <c r="V1439" s="44">
        <v>44610</v>
      </c>
      <c r="W1439" s="15"/>
      <c r="X1439" s="15"/>
      <c r="Y1439" s="13"/>
      <c r="Z1439" s="15"/>
      <c r="AA1439" s="13"/>
      <c r="AB1439" s="13"/>
      <c r="AC1439" s="49">
        <v>5577735</v>
      </c>
      <c r="AD1439" s="15"/>
      <c r="AE1439" s="145"/>
      <c r="AF1439" s="145"/>
      <c r="AG1439" s="145"/>
      <c r="AH1439" s="145"/>
      <c r="AI1439" s="145"/>
      <c r="AJ1439" s="145"/>
      <c r="AK1439" s="145"/>
      <c r="AL1439" s="145"/>
      <c r="AM1439" s="145"/>
      <c r="AN1439" s="145"/>
      <c r="AO1439" s="145"/>
      <c r="AP1439" s="145"/>
      <c r="AQ1439" s="145"/>
      <c r="AR1439" s="145"/>
      <c r="AS1439" s="145"/>
      <c r="AT1439" s="145"/>
    </row>
    <row r="1440" spans="1:46" ht="45" customHeight="1">
      <c r="A1440" s="21" t="s">
        <v>12514</v>
      </c>
      <c r="B1440" s="47" t="s">
        <v>12515</v>
      </c>
      <c r="C1440" s="197" t="s">
        <v>12516</v>
      </c>
      <c r="D1440" s="49" t="s">
        <v>12517</v>
      </c>
      <c r="E1440" s="49" t="s">
        <v>12518</v>
      </c>
      <c r="F1440" s="49" t="s">
        <v>12518</v>
      </c>
      <c r="G1440" s="49" t="s">
        <v>12519</v>
      </c>
      <c r="H1440" s="49" t="s">
        <v>9426</v>
      </c>
      <c r="I1440" s="49" t="s">
        <v>38</v>
      </c>
      <c r="J1440" s="49" t="s">
        <v>12519</v>
      </c>
      <c r="K1440" s="49" t="s">
        <v>9426</v>
      </c>
      <c r="L1440" s="49" t="s">
        <v>38</v>
      </c>
      <c r="M1440" s="49" t="s">
        <v>3487</v>
      </c>
      <c r="N1440" s="49">
        <v>2613050927</v>
      </c>
      <c r="O1440" s="15"/>
      <c r="P1440" s="49" t="s">
        <v>151</v>
      </c>
      <c r="Q1440" s="49" t="s">
        <v>12520</v>
      </c>
      <c r="R1440" s="226"/>
      <c r="S1440" s="30">
        <f t="shared" si="8"/>
        <v>0</v>
      </c>
      <c r="T1440" s="89" t="s">
        <v>12521</v>
      </c>
      <c r="U1440" s="15"/>
      <c r="V1440" s="30"/>
      <c r="W1440" s="15"/>
      <c r="X1440" s="15"/>
      <c r="Y1440" s="13"/>
      <c r="Z1440" s="15"/>
      <c r="AA1440" s="13"/>
      <c r="AB1440" s="13"/>
      <c r="AC1440" s="49">
        <v>5596635</v>
      </c>
      <c r="AD1440" s="15"/>
      <c r="AE1440" s="145"/>
      <c r="AF1440" s="145"/>
      <c r="AG1440" s="145"/>
      <c r="AH1440" s="145"/>
      <c r="AI1440" s="145"/>
      <c r="AJ1440" s="145"/>
      <c r="AK1440" s="145"/>
      <c r="AL1440" s="145"/>
      <c r="AM1440" s="145"/>
      <c r="AN1440" s="145"/>
      <c r="AO1440" s="145"/>
      <c r="AP1440" s="145"/>
      <c r="AQ1440" s="145"/>
      <c r="AR1440" s="145"/>
      <c r="AS1440" s="145"/>
      <c r="AT1440" s="145"/>
    </row>
    <row r="1441" spans="1:46" ht="45" customHeight="1">
      <c r="A1441" s="21" t="s">
        <v>12522</v>
      </c>
      <c r="B1441" s="47" t="s">
        <v>12523</v>
      </c>
      <c r="C1441" s="197" t="s">
        <v>12524</v>
      </c>
      <c r="D1441" s="49" t="s">
        <v>12525</v>
      </c>
      <c r="E1441" s="49" t="s">
        <v>12526</v>
      </c>
      <c r="F1441" s="49" t="s">
        <v>12526</v>
      </c>
      <c r="G1441" s="49" t="s">
        <v>12527</v>
      </c>
      <c r="H1441" s="49" t="s">
        <v>6345</v>
      </c>
      <c r="I1441" s="49" t="s">
        <v>149</v>
      </c>
      <c r="J1441" s="49" t="s">
        <v>12528</v>
      </c>
      <c r="K1441" s="49" t="s">
        <v>6345</v>
      </c>
      <c r="L1441" s="49" t="s">
        <v>149</v>
      </c>
      <c r="M1441" s="49" t="s">
        <v>12529</v>
      </c>
      <c r="N1441" s="49" t="s">
        <v>12530</v>
      </c>
      <c r="O1441" s="15"/>
      <c r="P1441" s="49" t="s">
        <v>94</v>
      </c>
      <c r="Q1441" s="49" t="s">
        <v>12531</v>
      </c>
      <c r="R1441" s="231">
        <v>39.61</v>
      </c>
      <c r="S1441" s="30">
        <f t="shared" si="8"/>
        <v>6416.82</v>
      </c>
      <c r="T1441" s="89" t="s">
        <v>46</v>
      </c>
      <c r="U1441" s="15"/>
      <c r="V1441" s="44">
        <v>44610</v>
      </c>
      <c r="W1441" s="15"/>
      <c r="X1441" s="15"/>
      <c r="Y1441" s="13"/>
      <c r="Z1441" s="15"/>
      <c r="AA1441" s="13"/>
      <c r="AB1441" s="13"/>
      <c r="AC1441" s="49">
        <v>5811622</v>
      </c>
      <c r="AD1441" s="15"/>
      <c r="AE1441" s="145"/>
      <c r="AF1441" s="145"/>
      <c r="AG1441" s="145"/>
      <c r="AH1441" s="145"/>
      <c r="AI1441" s="145"/>
      <c r="AJ1441" s="145"/>
      <c r="AK1441" s="145"/>
      <c r="AL1441" s="145"/>
      <c r="AM1441" s="145"/>
      <c r="AN1441" s="145"/>
      <c r="AO1441" s="145"/>
      <c r="AP1441" s="145"/>
      <c r="AQ1441" s="145"/>
      <c r="AR1441" s="145"/>
      <c r="AS1441" s="145"/>
      <c r="AT1441" s="145"/>
    </row>
    <row r="1442" spans="1:46" ht="45" customHeight="1">
      <c r="A1442" s="21" t="s">
        <v>12532</v>
      </c>
      <c r="B1442" s="47" t="s">
        <v>12533</v>
      </c>
      <c r="C1442" s="197" t="s">
        <v>12534</v>
      </c>
      <c r="D1442" s="49" t="s">
        <v>12535</v>
      </c>
      <c r="E1442" s="49" t="s">
        <v>12536</v>
      </c>
      <c r="F1442" s="49" t="s">
        <v>12536</v>
      </c>
      <c r="G1442" s="49" t="s">
        <v>12537</v>
      </c>
      <c r="H1442" s="15"/>
      <c r="I1442" s="49" t="s">
        <v>7704</v>
      </c>
      <c r="J1442" s="49" t="s">
        <v>12537</v>
      </c>
      <c r="K1442" s="15"/>
      <c r="L1442" s="49" t="s">
        <v>7704</v>
      </c>
      <c r="M1442" s="49" t="s">
        <v>12538</v>
      </c>
      <c r="N1442" s="49">
        <v>2604604598</v>
      </c>
      <c r="O1442" s="15"/>
      <c r="P1442" s="49" t="s">
        <v>44</v>
      </c>
      <c r="Q1442" s="49" t="s">
        <v>12539</v>
      </c>
      <c r="R1442" s="231">
        <v>600.66999999999996</v>
      </c>
      <c r="S1442" s="30">
        <f t="shared" si="8"/>
        <v>97308.54</v>
      </c>
      <c r="T1442" s="89" t="s">
        <v>252</v>
      </c>
      <c r="U1442" s="15"/>
      <c r="V1442" s="44">
        <v>97308.54</v>
      </c>
      <c r="W1442" s="15"/>
      <c r="X1442" s="15"/>
      <c r="Y1442" s="13"/>
      <c r="Z1442" s="15"/>
      <c r="AA1442" s="13"/>
      <c r="AB1442" s="13"/>
      <c r="AC1442" s="49">
        <v>5578377</v>
      </c>
      <c r="AD1442" s="15"/>
      <c r="AE1442" s="145"/>
      <c r="AF1442" s="145"/>
      <c r="AG1442" s="145"/>
      <c r="AH1442" s="145"/>
      <c r="AI1442" s="145"/>
      <c r="AJ1442" s="145"/>
      <c r="AK1442" s="145"/>
      <c r="AL1442" s="145"/>
      <c r="AM1442" s="145"/>
      <c r="AN1442" s="145"/>
      <c r="AO1442" s="145"/>
      <c r="AP1442" s="145"/>
      <c r="AQ1442" s="145"/>
      <c r="AR1442" s="145"/>
      <c r="AS1442" s="145"/>
      <c r="AT1442" s="145"/>
    </row>
    <row r="1443" spans="1:46" ht="45" customHeight="1">
      <c r="A1443" s="21" t="s">
        <v>12540</v>
      </c>
      <c r="B1443" s="47" t="s">
        <v>12541</v>
      </c>
      <c r="C1443" s="197" t="s">
        <v>12542</v>
      </c>
      <c r="D1443" s="49" t="s">
        <v>12543</v>
      </c>
      <c r="E1443" s="49" t="s">
        <v>12544</v>
      </c>
      <c r="F1443" s="49" t="s">
        <v>12544</v>
      </c>
      <c r="G1443" s="49" t="s">
        <v>12545</v>
      </c>
      <c r="H1443" s="15"/>
      <c r="I1443" s="49" t="s">
        <v>6104</v>
      </c>
      <c r="J1443" s="49" t="s">
        <v>12545</v>
      </c>
      <c r="K1443" s="15"/>
      <c r="L1443" s="49" t="s">
        <v>6104</v>
      </c>
      <c r="M1443" s="49" t="s">
        <v>12546</v>
      </c>
      <c r="N1443" s="49">
        <v>2612452445</v>
      </c>
      <c r="O1443" s="15"/>
      <c r="P1443" s="49" t="s">
        <v>117</v>
      </c>
      <c r="Q1443" s="49" t="s">
        <v>12547</v>
      </c>
      <c r="R1443" s="231">
        <v>1481</v>
      </c>
      <c r="S1443" s="30">
        <f t="shared" si="8"/>
        <v>239922</v>
      </c>
      <c r="T1443" s="89" t="s">
        <v>198</v>
      </c>
      <c r="U1443" s="15"/>
      <c r="V1443" s="44">
        <v>239922</v>
      </c>
      <c r="W1443" s="15"/>
      <c r="X1443" s="15"/>
      <c r="Y1443" s="13"/>
      <c r="Z1443" s="15"/>
      <c r="AA1443" s="13"/>
      <c r="AB1443" s="13"/>
      <c r="AC1443" s="49">
        <v>5612578</v>
      </c>
      <c r="AD1443" s="15"/>
      <c r="AE1443" s="145"/>
      <c r="AF1443" s="145"/>
      <c r="AG1443" s="145"/>
      <c r="AH1443" s="145"/>
      <c r="AI1443" s="145"/>
      <c r="AJ1443" s="145"/>
      <c r="AK1443" s="145"/>
      <c r="AL1443" s="145"/>
      <c r="AM1443" s="145"/>
      <c r="AN1443" s="145"/>
      <c r="AO1443" s="145"/>
      <c r="AP1443" s="145"/>
      <c r="AQ1443" s="145"/>
      <c r="AR1443" s="145"/>
      <c r="AS1443" s="145"/>
      <c r="AT1443" s="145"/>
    </row>
    <row r="1444" spans="1:46" ht="45" customHeight="1">
      <c r="A1444" s="21" t="s">
        <v>12548</v>
      </c>
      <c r="B1444" s="47" t="s">
        <v>12549</v>
      </c>
      <c r="C1444" s="197" t="s">
        <v>12550</v>
      </c>
      <c r="D1444" s="49" t="s">
        <v>12551</v>
      </c>
      <c r="E1444" s="49" t="s">
        <v>12552</v>
      </c>
      <c r="F1444" s="49" t="s">
        <v>12552</v>
      </c>
      <c r="G1444" s="49" t="s">
        <v>12553</v>
      </c>
      <c r="H1444" s="49" t="s">
        <v>12554</v>
      </c>
      <c r="I1444" s="49" t="s">
        <v>65</v>
      </c>
      <c r="J1444" s="49" t="s">
        <v>12553</v>
      </c>
      <c r="K1444" s="49" t="s">
        <v>12554</v>
      </c>
      <c r="L1444" s="49" t="s">
        <v>65</v>
      </c>
      <c r="M1444" s="49" t="s">
        <v>12555</v>
      </c>
      <c r="N1444" s="49" t="s">
        <v>12556</v>
      </c>
      <c r="O1444" s="15"/>
      <c r="P1444" s="49" t="s">
        <v>94</v>
      </c>
      <c r="Q1444" s="49" t="s">
        <v>12557</v>
      </c>
      <c r="R1444" s="231">
        <v>88.42</v>
      </c>
      <c r="S1444" s="30">
        <f t="shared" si="8"/>
        <v>14324.04</v>
      </c>
      <c r="T1444" s="89" t="s">
        <v>46</v>
      </c>
      <c r="U1444" s="15"/>
      <c r="V1444" s="44">
        <v>44610</v>
      </c>
      <c r="W1444" s="15"/>
      <c r="X1444" s="15"/>
      <c r="Y1444" s="13"/>
      <c r="Z1444" s="15"/>
      <c r="AA1444" s="13"/>
      <c r="AB1444" s="13"/>
      <c r="AC1444" s="49">
        <v>5616421</v>
      </c>
      <c r="AD1444" s="15"/>
      <c r="AE1444" s="145"/>
      <c r="AF1444" s="145"/>
      <c r="AG1444" s="145"/>
      <c r="AH1444" s="145"/>
      <c r="AI1444" s="145"/>
      <c r="AJ1444" s="145"/>
      <c r="AK1444" s="145"/>
      <c r="AL1444" s="145"/>
      <c r="AM1444" s="145"/>
      <c r="AN1444" s="145"/>
      <c r="AO1444" s="145"/>
      <c r="AP1444" s="145"/>
      <c r="AQ1444" s="145"/>
      <c r="AR1444" s="145"/>
      <c r="AS1444" s="145"/>
      <c r="AT1444" s="145"/>
    </row>
    <row r="1445" spans="1:46" ht="45" customHeight="1">
      <c r="A1445" s="21" t="s">
        <v>12558</v>
      </c>
      <c r="B1445" s="47" t="s">
        <v>12559</v>
      </c>
      <c r="C1445" s="197" t="s">
        <v>12560</v>
      </c>
      <c r="D1445" s="49" t="s">
        <v>898</v>
      </c>
      <c r="E1445" s="49" t="s">
        <v>12561</v>
      </c>
      <c r="F1445" s="49" t="s">
        <v>12561</v>
      </c>
      <c r="G1445" s="49" t="s">
        <v>12562</v>
      </c>
      <c r="H1445" s="15"/>
      <c r="I1445" s="49" t="s">
        <v>12563</v>
      </c>
      <c r="J1445" s="49" t="s">
        <v>12562</v>
      </c>
      <c r="K1445" s="15"/>
      <c r="L1445" s="49" t="s">
        <v>12563</v>
      </c>
      <c r="M1445" s="49" t="s">
        <v>12564</v>
      </c>
      <c r="N1445" s="49" t="s">
        <v>12565</v>
      </c>
      <c r="O1445" s="15"/>
      <c r="P1445" s="49" t="s">
        <v>44</v>
      </c>
      <c r="Q1445" s="49" t="s">
        <v>12566</v>
      </c>
      <c r="R1445" s="231">
        <v>141</v>
      </c>
      <c r="S1445" s="30">
        <f t="shared" si="8"/>
        <v>22842</v>
      </c>
      <c r="T1445" s="89" t="s">
        <v>46</v>
      </c>
      <c r="U1445" s="15"/>
      <c r="V1445" s="44">
        <v>44610</v>
      </c>
      <c r="W1445" s="15"/>
      <c r="X1445" s="15"/>
      <c r="Y1445" s="13"/>
      <c r="Z1445" s="15"/>
      <c r="AA1445" s="13"/>
      <c r="AB1445" s="13"/>
      <c r="AC1445" s="49">
        <v>5623170</v>
      </c>
      <c r="AD1445" s="15"/>
      <c r="AE1445" s="145"/>
      <c r="AF1445" s="145"/>
      <c r="AG1445" s="145"/>
      <c r="AH1445" s="145"/>
      <c r="AI1445" s="145"/>
      <c r="AJ1445" s="145"/>
      <c r="AK1445" s="145"/>
      <c r="AL1445" s="145"/>
      <c r="AM1445" s="145"/>
      <c r="AN1445" s="145"/>
      <c r="AO1445" s="145"/>
      <c r="AP1445" s="145"/>
      <c r="AQ1445" s="145"/>
      <c r="AR1445" s="145"/>
      <c r="AS1445" s="145"/>
      <c r="AT1445" s="145"/>
    </row>
    <row r="1446" spans="1:46" ht="45" customHeight="1">
      <c r="A1446" s="21" t="s">
        <v>12567</v>
      </c>
      <c r="B1446" s="47" t="s">
        <v>12568</v>
      </c>
      <c r="C1446" s="197" t="s">
        <v>12569</v>
      </c>
      <c r="D1446" s="49" t="s">
        <v>12570</v>
      </c>
      <c r="E1446" s="49" t="s">
        <v>12571</v>
      </c>
      <c r="F1446" s="49" t="s">
        <v>12571</v>
      </c>
      <c r="G1446" s="49" t="s">
        <v>12572</v>
      </c>
      <c r="H1446" s="15"/>
      <c r="I1446" s="49" t="s">
        <v>149</v>
      </c>
      <c r="J1446" s="49" t="s">
        <v>12572</v>
      </c>
      <c r="K1446" s="15"/>
      <c r="L1446" s="49" t="s">
        <v>149</v>
      </c>
      <c r="M1446" s="49" t="s">
        <v>12573</v>
      </c>
      <c r="N1446" s="49" t="s">
        <v>12574</v>
      </c>
      <c r="O1446" s="15"/>
      <c r="P1446" s="49" t="s">
        <v>44</v>
      </c>
      <c r="Q1446" s="49" t="s">
        <v>12575</v>
      </c>
      <c r="R1446" s="231">
        <v>60</v>
      </c>
      <c r="S1446" s="30">
        <f t="shared" si="8"/>
        <v>9720</v>
      </c>
      <c r="T1446" s="89" t="s">
        <v>46</v>
      </c>
      <c r="U1446" s="15"/>
      <c r="V1446" s="44">
        <v>44610</v>
      </c>
      <c r="W1446" s="15"/>
      <c r="X1446" s="15"/>
      <c r="Y1446" s="13"/>
      <c r="Z1446" s="15"/>
      <c r="AA1446" s="13"/>
      <c r="AB1446" s="13"/>
      <c r="AC1446" s="49">
        <v>5633396</v>
      </c>
      <c r="AD1446" s="15"/>
      <c r="AE1446" s="145"/>
      <c r="AF1446" s="145"/>
      <c r="AG1446" s="145"/>
      <c r="AH1446" s="145"/>
      <c r="AI1446" s="145"/>
      <c r="AJ1446" s="145"/>
      <c r="AK1446" s="145"/>
      <c r="AL1446" s="145"/>
      <c r="AM1446" s="145"/>
      <c r="AN1446" s="145"/>
      <c r="AO1446" s="145"/>
      <c r="AP1446" s="145"/>
      <c r="AQ1446" s="145"/>
      <c r="AR1446" s="145"/>
      <c r="AS1446" s="145"/>
      <c r="AT1446" s="145"/>
    </row>
    <row r="1447" spans="1:46" ht="45" customHeight="1">
      <c r="A1447" s="21" t="s">
        <v>12576</v>
      </c>
      <c r="B1447" s="47" t="s">
        <v>12577</v>
      </c>
      <c r="C1447" s="197" t="s">
        <v>12578</v>
      </c>
      <c r="D1447" s="49" t="s">
        <v>12579</v>
      </c>
      <c r="E1447" s="49" t="s">
        <v>12580</v>
      </c>
      <c r="F1447" s="49" t="s">
        <v>12580</v>
      </c>
      <c r="G1447" s="49" t="s">
        <v>12581</v>
      </c>
      <c r="H1447" s="15"/>
      <c r="I1447" s="49" t="s">
        <v>7704</v>
      </c>
      <c r="J1447" s="49" t="s">
        <v>12581</v>
      </c>
      <c r="K1447" s="15"/>
      <c r="L1447" s="49" t="s">
        <v>7704</v>
      </c>
      <c r="M1447" s="49" t="s">
        <v>12582</v>
      </c>
      <c r="N1447" s="49">
        <v>2604481811</v>
      </c>
      <c r="O1447" s="15"/>
      <c r="P1447" s="49" t="s">
        <v>44</v>
      </c>
      <c r="Q1447" s="49" t="s">
        <v>12583</v>
      </c>
      <c r="R1447" s="231">
        <v>56</v>
      </c>
      <c r="S1447" s="30">
        <f t="shared" si="8"/>
        <v>9072</v>
      </c>
      <c r="T1447" s="89" t="s">
        <v>46</v>
      </c>
      <c r="U1447" s="15"/>
      <c r="V1447" s="44">
        <v>44610</v>
      </c>
      <c r="W1447" s="15"/>
      <c r="X1447" s="15"/>
      <c r="Y1447" s="13"/>
      <c r="Z1447" s="15"/>
      <c r="AA1447" s="13"/>
      <c r="AB1447" s="13"/>
      <c r="AC1447" s="49">
        <v>5683283</v>
      </c>
      <c r="AD1447" s="15"/>
      <c r="AE1447" s="145"/>
      <c r="AF1447" s="145"/>
      <c r="AG1447" s="145"/>
      <c r="AH1447" s="145"/>
      <c r="AI1447" s="145"/>
      <c r="AJ1447" s="145"/>
      <c r="AK1447" s="145"/>
      <c r="AL1447" s="145"/>
      <c r="AM1447" s="145"/>
      <c r="AN1447" s="145"/>
      <c r="AO1447" s="145"/>
      <c r="AP1447" s="145"/>
      <c r="AQ1447" s="145"/>
      <c r="AR1447" s="145"/>
      <c r="AS1447" s="145"/>
      <c r="AT1447" s="145"/>
    </row>
    <row r="1448" spans="1:46" ht="45" customHeight="1">
      <c r="A1448" s="21" t="s">
        <v>12584</v>
      </c>
      <c r="B1448" s="47" t="s">
        <v>12585</v>
      </c>
      <c r="C1448" s="197" t="s">
        <v>12586</v>
      </c>
      <c r="D1448" s="49" t="s">
        <v>12587</v>
      </c>
      <c r="E1448" s="49" t="s">
        <v>12588</v>
      </c>
      <c r="F1448" s="49" t="s">
        <v>12588</v>
      </c>
      <c r="G1448" s="49" t="s">
        <v>12589</v>
      </c>
      <c r="H1448" s="15"/>
      <c r="I1448" s="49" t="s">
        <v>52</v>
      </c>
      <c r="J1448" s="49" t="s">
        <v>12590</v>
      </c>
      <c r="K1448" s="15"/>
      <c r="L1448" s="49" t="s">
        <v>149</v>
      </c>
      <c r="M1448" s="49" t="s">
        <v>12591</v>
      </c>
      <c r="N1448" s="49" t="s">
        <v>12592</v>
      </c>
      <c r="O1448" s="15"/>
      <c r="P1448" s="49" t="s">
        <v>44</v>
      </c>
      <c r="Q1448" s="49" t="s">
        <v>12593</v>
      </c>
      <c r="R1448" s="231">
        <v>169</v>
      </c>
      <c r="S1448" s="30">
        <f t="shared" si="8"/>
        <v>27378</v>
      </c>
      <c r="T1448" s="89" t="s">
        <v>46</v>
      </c>
      <c r="U1448" s="15"/>
      <c r="V1448" s="44">
        <v>44610</v>
      </c>
      <c r="W1448" s="15"/>
      <c r="X1448" s="15"/>
      <c r="Y1448" s="13"/>
      <c r="Z1448" s="15"/>
      <c r="AA1448" s="13"/>
      <c r="AB1448" s="13"/>
      <c r="AC1448" s="49">
        <v>5692995</v>
      </c>
      <c r="AD1448" s="15"/>
      <c r="AE1448" s="145"/>
      <c r="AF1448" s="145"/>
      <c r="AG1448" s="145"/>
      <c r="AH1448" s="145"/>
      <c r="AI1448" s="145"/>
      <c r="AJ1448" s="145"/>
      <c r="AK1448" s="145"/>
      <c r="AL1448" s="145"/>
      <c r="AM1448" s="145"/>
      <c r="AN1448" s="145"/>
      <c r="AO1448" s="145"/>
      <c r="AP1448" s="145"/>
      <c r="AQ1448" s="145"/>
      <c r="AR1448" s="145"/>
      <c r="AS1448" s="145"/>
      <c r="AT1448" s="145"/>
    </row>
    <row r="1449" spans="1:46" ht="45" customHeight="1">
      <c r="A1449" s="21" t="s">
        <v>12594</v>
      </c>
      <c r="B1449" s="47" t="s">
        <v>12595</v>
      </c>
      <c r="C1449" s="197" t="s">
        <v>12596</v>
      </c>
      <c r="D1449" s="234" t="s">
        <v>12597</v>
      </c>
      <c r="E1449" s="49" t="s">
        <v>12598</v>
      </c>
      <c r="F1449" s="49" t="s">
        <v>12598</v>
      </c>
      <c r="G1449" s="49" t="s">
        <v>12599</v>
      </c>
      <c r="H1449" s="15"/>
      <c r="I1449" s="49" t="s">
        <v>41</v>
      </c>
      <c r="J1449" s="49" t="s">
        <v>12599</v>
      </c>
      <c r="K1449" s="15"/>
      <c r="L1449" s="49" t="s">
        <v>41</v>
      </c>
      <c r="M1449" s="49" t="s">
        <v>12600</v>
      </c>
      <c r="N1449" s="49">
        <v>2604531149</v>
      </c>
      <c r="O1449" s="15"/>
      <c r="P1449" s="49" t="s">
        <v>12601</v>
      </c>
      <c r="Q1449" s="49" t="s">
        <v>12602</v>
      </c>
      <c r="R1449" s="231">
        <v>1787</v>
      </c>
      <c r="S1449" s="30">
        <f t="shared" si="8"/>
        <v>289494</v>
      </c>
      <c r="T1449" s="89" t="s">
        <v>198</v>
      </c>
      <c r="U1449" s="15"/>
      <c r="V1449" s="44">
        <v>289494</v>
      </c>
      <c r="W1449" s="15"/>
      <c r="X1449" s="15"/>
      <c r="Y1449" s="13"/>
      <c r="Z1449" s="15"/>
      <c r="AA1449" s="13"/>
      <c r="AB1449" s="13"/>
      <c r="AC1449" s="49">
        <v>5643821</v>
      </c>
      <c r="AD1449" s="15"/>
      <c r="AE1449" s="145"/>
      <c r="AF1449" s="145"/>
      <c r="AG1449" s="145"/>
      <c r="AH1449" s="145"/>
      <c r="AI1449" s="145"/>
      <c r="AJ1449" s="145"/>
      <c r="AK1449" s="145"/>
      <c r="AL1449" s="145"/>
      <c r="AM1449" s="145"/>
      <c r="AN1449" s="145"/>
      <c r="AO1449" s="145"/>
      <c r="AP1449" s="145"/>
      <c r="AQ1449" s="145"/>
      <c r="AR1449" s="145"/>
      <c r="AS1449" s="145"/>
      <c r="AT1449" s="145"/>
    </row>
    <row r="1450" spans="1:46" ht="45" customHeight="1">
      <c r="A1450" s="21" t="s">
        <v>12603</v>
      </c>
      <c r="B1450" s="47" t="s">
        <v>12604</v>
      </c>
      <c r="C1450" s="197" t="s">
        <v>12605</v>
      </c>
      <c r="D1450" s="49" t="s">
        <v>898</v>
      </c>
      <c r="E1450" s="49" t="s">
        <v>12561</v>
      </c>
      <c r="F1450" s="49" t="s">
        <v>12561</v>
      </c>
      <c r="G1450" s="49" t="s">
        <v>12606</v>
      </c>
      <c r="H1450" s="15"/>
      <c r="I1450" s="49" t="s">
        <v>149</v>
      </c>
      <c r="J1450" s="49" t="s">
        <v>12607</v>
      </c>
      <c r="K1450" s="15"/>
      <c r="L1450" s="49" t="s">
        <v>7704</v>
      </c>
      <c r="M1450" s="49" t="s">
        <v>12608</v>
      </c>
      <c r="N1450" s="49">
        <v>2604405155</v>
      </c>
      <c r="O1450" s="15"/>
      <c r="P1450" s="49" t="s">
        <v>94</v>
      </c>
      <c r="Q1450" s="49" t="s">
        <v>12609</v>
      </c>
      <c r="R1450" s="231">
        <v>232</v>
      </c>
      <c r="S1450" s="30">
        <f t="shared" si="8"/>
        <v>37584</v>
      </c>
      <c r="T1450" s="89" t="s">
        <v>46</v>
      </c>
      <c r="U1450" s="15"/>
      <c r="V1450" s="44">
        <v>44610</v>
      </c>
      <c r="W1450" s="15"/>
      <c r="X1450" s="15"/>
      <c r="Y1450" s="13"/>
      <c r="Z1450" s="15"/>
      <c r="AA1450" s="13"/>
      <c r="AB1450" s="13"/>
      <c r="AC1450" s="49">
        <v>5711706</v>
      </c>
      <c r="AD1450" s="15"/>
      <c r="AE1450" s="145"/>
      <c r="AF1450" s="145"/>
      <c r="AG1450" s="145"/>
      <c r="AH1450" s="145"/>
      <c r="AI1450" s="145"/>
      <c r="AJ1450" s="145"/>
      <c r="AK1450" s="145"/>
      <c r="AL1450" s="145"/>
      <c r="AM1450" s="145"/>
      <c r="AN1450" s="145"/>
      <c r="AO1450" s="145"/>
      <c r="AP1450" s="145"/>
      <c r="AQ1450" s="145"/>
      <c r="AR1450" s="145"/>
      <c r="AS1450" s="145"/>
      <c r="AT1450" s="145"/>
    </row>
    <row r="1451" spans="1:46" ht="45" customHeight="1">
      <c r="A1451" s="21" t="s">
        <v>12610</v>
      </c>
      <c r="B1451" s="47" t="s">
        <v>12611</v>
      </c>
      <c r="C1451" s="197" t="s">
        <v>12612</v>
      </c>
      <c r="D1451" s="49" t="s">
        <v>9204</v>
      </c>
      <c r="E1451" s="49" t="s">
        <v>12613</v>
      </c>
      <c r="F1451" s="49" t="s">
        <v>12613</v>
      </c>
      <c r="G1451" s="49" t="s">
        <v>9860</v>
      </c>
      <c r="H1451" s="49" t="s">
        <v>4398</v>
      </c>
      <c r="I1451" s="49" t="s">
        <v>80</v>
      </c>
      <c r="J1451" s="49" t="s">
        <v>12614</v>
      </c>
      <c r="K1451" s="15"/>
      <c r="L1451" s="49" t="s">
        <v>881</v>
      </c>
      <c r="M1451" s="49" t="s">
        <v>12615</v>
      </c>
      <c r="N1451" s="49" t="s">
        <v>9207</v>
      </c>
      <c r="O1451" s="15"/>
      <c r="P1451" s="49" t="s">
        <v>94</v>
      </c>
      <c r="Q1451" s="49" t="s">
        <v>12616</v>
      </c>
      <c r="R1451" s="231">
        <v>509</v>
      </c>
      <c r="S1451" s="30">
        <f t="shared" si="8"/>
        <v>82458</v>
      </c>
      <c r="T1451" s="89" t="s">
        <v>46</v>
      </c>
      <c r="U1451" s="15"/>
      <c r="V1451" s="44">
        <v>82458</v>
      </c>
      <c r="W1451" s="49" t="s">
        <v>71</v>
      </c>
      <c r="X1451" s="15"/>
      <c r="Y1451" s="13"/>
      <c r="Z1451" s="15"/>
      <c r="AA1451" s="13"/>
      <c r="AB1451" s="13"/>
      <c r="AC1451" s="49">
        <v>5741394</v>
      </c>
      <c r="AD1451" s="49">
        <v>6476919</v>
      </c>
      <c r="AE1451" s="145"/>
      <c r="AF1451" s="145"/>
      <c r="AG1451" s="145"/>
      <c r="AH1451" s="145"/>
      <c r="AI1451" s="145"/>
      <c r="AJ1451" s="145"/>
      <c r="AK1451" s="145"/>
      <c r="AL1451" s="145"/>
      <c r="AM1451" s="145"/>
      <c r="AN1451" s="145"/>
      <c r="AO1451" s="145"/>
      <c r="AP1451" s="145"/>
      <c r="AQ1451" s="145"/>
      <c r="AR1451" s="145"/>
      <c r="AS1451" s="145"/>
      <c r="AT1451" s="145"/>
    </row>
    <row r="1452" spans="1:46" ht="45" customHeight="1">
      <c r="A1452" s="21" t="s">
        <v>12617</v>
      </c>
      <c r="B1452" s="47" t="s">
        <v>12618</v>
      </c>
      <c r="C1452" s="197" t="s">
        <v>12619</v>
      </c>
      <c r="D1452" s="49" t="s">
        <v>12620</v>
      </c>
      <c r="E1452" s="49" t="s">
        <v>12621</v>
      </c>
      <c r="F1452" s="49" t="s">
        <v>12621</v>
      </c>
      <c r="G1452" s="49" t="s">
        <v>12622</v>
      </c>
      <c r="H1452" s="49" t="s">
        <v>8765</v>
      </c>
      <c r="I1452" s="49" t="s">
        <v>115</v>
      </c>
      <c r="J1452" s="49" t="s">
        <v>12623</v>
      </c>
      <c r="K1452" s="15"/>
      <c r="L1452" s="49" t="s">
        <v>6584</v>
      </c>
      <c r="M1452" s="49" t="s">
        <v>12624</v>
      </c>
      <c r="N1452" s="49">
        <v>2614696259</v>
      </c>
      <c r="O1452" s="15"/>
      <c r="P1452" s="49" t="s">
        <v>1381</v>
      </c>
      <c r="Q1452" s="49" t="s">
        <v>12625</v>
      </c>
      <c r="R1452" s="231">
        <v>94.38</v>
      </c>
      <c r="S1452" s="30">
        <f t="shared" si="8"/>
        <v>15289.56</v>
      </c>
      <c r="T1452" s="89" t="s">
        <v>46</v>
      </c>
      <c r="U1452" s="15"/>
      <c r="V1452" s="44">
        <v>44610</v>
      </c>
      <c r="W1452" s="15"/>
      <c r="X1452" s="15"/>
      <c r="Y1452" s="13"/>
      <c r="Z1452" s="15"/>
      <c r="AA1452" s="13"/>
      <c r="AB1452" s="13"/>
      <c r="AC1452" s="49">
        <v>5750054</v>
      </c>
      <c r="AD1452" s="15"/>
      <c r="AE1452" s="145"/>
      <c r="AF1452" s="145"/>
      <c r="AG1452" s="145"/>
      <c r="AH1452" s="145"/>
      <c r="AI1452" s="145"/>
      <c r="AJ1452" s="145"/>
      <c r="AK1452" s="145"/>
      <c r="AL1452" s="145"/>
      <c r="AM1452" s="145"/>
      <c r="AN1452" s="145"/>
      <c r="AO1452" s="145"/>
      <c r="AP1452" s="145"/>
      <c r="AQ1452" s="145"/>
      <c r="AR1452" s="145"/>
      <c r="AS1452" s="145"/>
      <c r="AT1452" s="145"/>
    </row>
    <row r="1453" spans="1:46" ht="45" customHeight="1">
      <c r="A1453" s="21" t="s">
        <v>12626</v>
      </c>
      <c r="B1453" s="47" t="s">
        <v>12627</v>
      </c>
      <c r="C1453" s="197" t="s">
        <v>12628</v>
      </c>
      <c r="D1453" s="49" t="s">
        <v>12629</v>
      </c>
      <c r="E1453" s="49" t="s">
        <v>12630</v>
      </c>
      <c r="F1453" s="49" t="s">
        <v>12630</v>
      </c>
      <c r="G1453" s="49" t="s">
        <v>12631</v>
      </c>
      <c r="H1453" s="15"/>
      <c r="I1453" s="49" t="s">
        <v>149</v>
      </c>
      <c r="J1453" s="49" t="s">
        <v>12632</v>
      </c>
      <c r="K1453" s="15"/>
      <c r="L1453" s="49" t="s">
        <v>1279</v>
      </c>
      <c r="M1453" s="49" t="s">
        <v>12633</v>
      </c>
      <c r="N1453" s="49">
        <v>2612059198</v>
      </c>
      <c r="O1453" s="15"/>
      <c r="P1453" s="49" t="s">
        <v>44</v>
      </c>
      <c r="Q1453" s="49" t="s">
        <v>12634</v>
      </c>
      <c r="R1453" s="231">
        <v>675</v>
      </c>
      <c r="S1453" s="30">
        <f t="shared" si="8"/>
        <v>109350</v>
      </c>
      <c r="T1453" s="89" t="s">
        <v>252</v>
      </c>
      <c r="U1453" s="15"/>
      <c r="V1453" s="44">
        <v>109350</v>
      </c>
      <c r="W1453" s="15"/>
      <c r="X1453" s="15"/>
      <c r="Y1453" s="13"/>
      <c r="Z1453" s="15"/>
      <c r="AA1453" s="13"/>
      <c r="AB1453" s="13"/>
      <c r="AC1453" s="49">
        <v>5691819</v>
      </c>
      <c r="AD1453" s="15"/>
      <c r="AE1453" s="145"/>
      <c r="AF1453" s="145"/>
      <c r="AG1453" s="145"/>
      <c r="AH1453" s="145"/>
      <c r="AI1453" s="145"/>
      <c r="AJ1453" s="145"/>
      <c r="AK1453" s="145"/>
      <c r="AL1453" s="145"/>
      <c r="AM1453" s="145"/>
      <c r="AN1453" s="145"/>
      <c r="AO1453" s="145"/>
      <c r="AP1453" s="145"/>
      <c r="AQ1453" s="145"/>
      <c r="AR1453" s="145"/>
      <c r="AS1453" s="145"/>
      <c r="AT1453" s="145"/>
    </row>
    <row r="1454" spans="1:46" ht="45" customHeight="1">
      <c r="A1454" s="21" t="s">
        <v>12635</v>
      </c>
      <c r="B1454" s="47" t="s">
        <v>12636</v>
      </c>
      <c r="C1454" s="197" t="s">
        <v>12637</v>
      </c>
      <c r="D1454" s="49" t="s">
        <v>1030</v>
      </c>
      <c r="E1454" s="49" t="s">
        <v>12638</v>
      </c>
      <c r="F1454" s="49" t="s">
        <v>12638</v>
      </c>
      <c r="G1454" s="49" t="s">
        <v>12639</v>
      </c>
      <c r="H1454" s="49" t="s">
        <v>1190</v>
      </c>
      <c r="I1454" s="49" t="s">
        <v>38</v>
      </c>
      <c r="J1454" s="49" t="s">
        <v>12639</v>
      </c>
      <c r="K1454" s="49" t="s">
        <v>1190</v>
      </c>
      <c r="L1454" s="49" t="s">
        <v>38</v>
      </c>
      <c r="M1454" s="49" t="s">
        <v>1033</v>
      </c>
      <c r="N1454" s="49">
        <v>542615876</v>
      </c>
      <c r="O1454" s="15"/>
      <c r="P1454" s="49" t="s">
        <v>151</v>
      </c>
      <c r="Q1454" s="49" t="s">
        <v>12640</v>
      </c>
      <c r="R1454" s="231">
        <v>678</v>
      </c>
      <c r="S1454" s="30">
        <f t="shared" si="8"/>
        <v>109836</v>
      </c>
      <c r="T1454" s="89" t="s">
        <v>252</v>
      </c>
      <c r="U1454" s="15"/>
      <c r="V1454" s="44">
        <v>109836</v>
      </c>
      <c r="W1454" s="15"/>
      <c r="X1454" s="15"/>
      <c r="Y1454" s="13"/>
      <c r="Z1454" s="15"/>
      <c r="AA1454" s="13"/>
      <c r="AB1454" s="13"/>
      <c r="AC1454" s="49">
        <v>5751264</v>
      </c>
      <c r="AD1454" s="15"/>
      <c r="AE1454" s="145"/>
      <c r="AF1454" s="145"/>
      <c r="AG1454" s="145"/>
      <c r="AH1454" s="145"/>
      <c r="AI1454" s="145"/>
      <c r="AJ1454" s="145"/>
      <c r="AK1454" s="145"/>
      <c r="AL1454" s="145"/>
      <c r="AM1454" s="145"/>
      <c r="AN1454" s="145"/>
      <c r="AO1454" s="145"/>
      <c r="AP1454" s="145"/>
      <c r="AQ1454" s="145"/>
      <c r="AR1454" s="145"/>
      <c r="AS1454" s="145"/>
      <c r="AT1454" s="145"/>
    </row>
    <row r="1455" spans="1:46" ht="45" customHeight="1">
      <c r="A1455" s="21" t="s">
        <v>12641</v>
      </c>
      <c r="B1455" s="47" t="s">
        <v>12642</v>
      </c>
      <c r="C1455" s="197" t="s">
        <v>12643</v>
      </c>
      <c r="D1455" s="49" t="s">
        <v>12644</v>
      </c>
      <c r="E1455" s="49" t="s">
        <v>12645</v>
      </c>
      <c r="F1455" s="49" t="s">
        <v>12645</v>
      </c>
      <c r="G1455" s="49" t="s">
        <v>12646</v>
      </c>
      <c r="H1455" s="15"/>
      <c r="I1455" s="49" t="s">
        <v>149</v>
      </c>
      <c r="J1455" s="49" t="s">
        <v>12647</v>
      </c>
      <c r="K1455" s="15"/>
      <c r="L1455" s="49" t="s">
        <v>41</v>
      </c>
      <c r="M1455" s="49" t="s">
        <v>3283</v>
      </c>
      <c r="N1455" s="49">
        <v>2616631257</v>
      </c>
      <c r="O1455" s="15"/>
      <c r="P1455" s="49" t="s">
        <v>1381</v>
      </c>
      <c r="Q1455" s="49" t="s">
        <v>12648</v>
      </c>
      <c r="R1455" s="231">
        <v>66.7</v>
      </c>
      <c r="S1455" s="30">
        <f t="shared" si="8"/>
        <v>10805.4</v>
      </c>
      <c r="T1455" s="89" t="s">
        <v>46</v>
      </c>
      <c r="U1455" s="15"/>
      <c r="V1455" s="44">
        <v>44610</v>
      </c>
      <c r="W1455" s="15"/>
      <c r="X1455" s="15"/>
      <c r="Y1455" s="13"/>
      <c r="Z1455" s="15"/>
      <c r="AA1455" s="13"/>
      <c r="AB1455" s="13"/>
      <c r="AC1455" s="49">
        <v>5099871</v>
      </c>
      <c r="AD1455" s="15"/>
      <c r="AE1455" s="145"/>
      <c r="AF1455" s="145"/>
      <c r="AG1455" s="145"/>
      <c r="AH1455" s="145"/>
      <c r="AI1455" s="145"/>
      <c r="AJ1455" s="145"/>
      <c r="AK1455" s="145"/>
      <c r="AL1455" s="145"/>
      <c r="AM1455" s="145"/>
      <c r="AN1455" s="145"/>
      <c r="AO1455" s="145"/>
      <c r="AP1455" s="145"/>
      <c r="AQ1455" s="145"/>
      <c r="AR1455" s="145"/>
      <c r="AS1455" s="145"/>
      <c r="AT1455" s="145"/>
    </row>
    <row r="1456" spans="1:46" ht="45" customHeight="1">
      <c r="A1456" s="21" t="s">
        <v>12649</v>
      </c>
      <c r="B1456" s="47" t="s">
        <v>12650</v>
      </c>
      <c r="C1456" s="197" t="s">
        <v>12651</v>
      </c>
      <c r="D1456" s="49" t="s">
        <v>12652</v>
      </c>
      <c r="E1456" s="49" t="s">
        <v>12653</v>
      </c>
      <c r="F1456" s="49" t="s">
        <v>12653</v>
      </c>
      <c r="G1456" s="49" t="s">
        <v>12654</v>
      </c>
      <c r="H1456" s="49" t="s">
        <v>12655</v>
      </c>
      <c r="I1456" s="49" t="s">
        <v>41</v>
      </c>
      <c r="J1456" s="49" t="s">
        <v>12654</v>
      </c>
      <c r="K1456" s="49" t="s">
        <v>12655</v>
      </c>
      <c r="L1456" s="49" t="s">
        <v>41</v>
      </c>
      <c r="M1456" s="49" t="s">
        <v>12656</v>
      </c>
      <c r="N1456" s="49" t="s">
        <v>12657</v>
      </c>
      <c r="O1456" s="15"/>
      <c r="P1456" s="49" t="s">
        <v>117</v>
      </c>
      <c r="Q1456" s="49" t="s">
        <v>12658</v>
      </c>
      <c r="R1456" s="231">
        <v>2177</v>
      </c>
      <c r="S1456" s="30">
        <f t="shared" si="8"/>
        <v>352674</v>
      </c>
      <c r="T1456" s="89" t="s">
        <v>96</v>
      </c>
      <c r="U1456" s="15"/>
      <c r="V1456" s="44">
        <v>352674</v>
      </c>
      <c r="W1456" s="15"/>
      <c r="X1456" s="15"/>
      <c r="Y1456" s="13"/>
      <c r="Z1456" s="15"/>
      <c r="AA1456" s="13"/>
      <c r="AB1456" s="13"/>
      <c r="AC1456" s="49">
        <v>5750025</v>
      </c>
      <c r="AD1456" s="15"/>
      <c r="AE1456" s="145"/>
      <c r="AF1456" s="145"/>
      <c r="AG1456" s="145"/>
      <c r="AH1456" s="145"/>
      <c r="AI1456" s="145"/>
      <c r="AJ1456" s="145"/>
      <c r="AK1456" s="145"/>
      <c r="AL1456" s="145"/>
      <c r="AM1456" s="145"/>
      <c r="AN1456" s="145"/>
      <c r="AO1456" s="145"/>
      <c r="AP1456" s="145"/>
      <c r="AQ1456" s="145"/>
      <c r="AR1456" s="145"/>
      <c r="AS1456" s="145"/>
      <c r="AT1456" s="145"/>
    </row>
    <row r="1457" spans="1:46" ht="45" customHeight="1">
      <c r="A1457" s="21" t="s">
        <v>12659</v>
      </c>
      <c r="B1457" s="47" t="s">
        <v>12660</v>
      </c>
      <c r="C1457" s="197" t="s">
        <v>12661</v>
      </c>
      <c r="D1457" s="49" t="s">
        <v>12662</v>
      </c>
      <c r="E1457" s="49" t="s">
        <v>12663</v>
      </c>
      <c r="F1457" s="49" t="s">
        <v>12663</v>
      </c>
      <c r="G1457" s="49" t="s">
        <v>12664</v>
      </c>
      <c r="H1457" s="49" t="s">
        <v>2234</v>
      </c>
      <c r="I1457" s="49" t="s">
        <v>149</v>
      </c>
      <c r="J1457" s="49" t="s">
        <v>12665</v>
      </c>
      <c r="K1457" s="49" t="s">
        <v>12666</v>
      </c>
      <c r="L1457" s="49" t="s">
        <v>7704</v>
      </c>
      <c r="M1457" s="49" t="s">
        <v>12667</v>
      </c>
      <c r="N1457" s="49">
        <v>2614396426</v>
      </c>
      <c r="O1457" s="15"/>
      <c r="P1457" s="49" t="s">
        <v>94</v>
      </c>
      <c r="Q1457" s="49" t="s">
        <v>12668</v>
      </c>
      <c r="R1457" s="231">
        <v>122.76</v>
      </c>
      <c r="S1457" s="30">
        <f t="shared" si="8"/>
        <v>19887.120000000003</v>
      </c>
      <c r="T1457" s="89" t="s">
        <v>46</v>
      </c>
      <c r="U1457" s="15"/>
      <c r="V1457" s="44">
        <v>19887.12</v>
      </c>
      <c r="W1457" s="15"/>
      <c r="X1457" s="15"/>
      <c r="Y1457" s="13"/>
      <c r="Z1457" s="15"/>
      <c r="AA1457" s="13"/>
      <c r="AB1457" s="13"/>
      <c r="AC1457" s="49">
        <v>5765242</v>
      </c>
      <c r="AD1457" s="15"/>
      <c r="AE1457" s="145"/>
      <c r="AF1457" s="145"/>
      <c r="AG1457" s="145"/>
      <c r="AH1457" s="145"/>
      <c r="AI1457" s="145"/>
      <c r="AJ1457" s="145"/>
      <c r="AK1457" s="145"/>
      <c r="AL1457" s="145"/>
      <c r="AM1457" s="145"/>
      <c r="AN1457" s="145"/>
      <c r="AO1457" s="145"/>
      <c r="AP1457" s="145"/>
      <c r="AQ1457" s="145"/>
      <c r="AR1457" s="145"/>
      <c r="AS1457" s="145"/>
      <c r="AT1457" s="145"/>
    </row>
    <row r="1458" spans="1:46" ht="45" customHeight="1">
      <c r="A1458" s="21" t="s">
        <v>12669</v>
      </c>
      <c r="B1458" s="47" t="s">
        <v>12670</v>
      </c>
      <c r="C1458" s="197" t="s">
        <v>12671</v>
      </c>
      <c r="D1458" s="49" t="s">
        <v>12672</v>
      </c>
      <c r="E1458" s="49" t="s">
        <v>12673</v>
      </c>
      <c r="F1458" s="49" t="s">
        <v>12673</v>
      </c>
      <c r="G1458" s="49" t="s">
        <v>12674</v>
      </c>
      <c r="H1458" s="49" t="s">
        <v>9029</v>
      </c>
      <c r="I1458" s="49" t="s">
        <v>149</v>
      </c>
      <c r="J1458" s="49" t="s">
        <v>12674</v>
      </c>
      <c r="K1458" s="49" t="s">
        <v>9029</v>
      </c>
      <c r="L1458" s="49" t="s">
        <v>149</v>
      </c>
      <c r="M1458" s="49" t="s">
        <v>12675</v>
      </c>
      <c r="N1458" s="49">
        <v>2613003745</v>
      </c>
      <c r="O1458" s="15"/>
      <c r="P1458" s="49" t="s">
        <v>151</v>
      </c>
      <c r="Q1458" s="49" t="s">
        <v>12676</v>
      </c>
      <c r="R1458" s="231">
        <v>82.52</v>
      </c>
      <c r="S1458" s="30">
        <f t="shared" si="8"/>
        <v>13368.24</v>
      </c>
      <c r="T1458" s="89" t="s">
        <v>46</v>
      </c>
      <c r="U1458" s="15"/>
      <c r="V1458" s="44">
        <v>44610</v>
      </c>
      <c r="W1458" s="15"/>
      <c r="X1458" s="15"/>
      <c r="Y1458" s="13"/>
      <c r="Z1458" s="15"/>
      <c r="AA1458" s="13"/>
      <c r="AB1458" s="13"/>
      <c r="AC1458" s="49">
        <v>5805048</v>
      </c>
      <c r="AD1458" s="15"/>
      <c r="AE1458" s="145"/>
      <c r="AF1458" s="145"/>
      <c r="AG1458" s="145"/>
      <c r="AH1458" s="145"/>
      <c r="AI1458" s="145"/>
      <c r="AJ1458" s="145"/>
      <c r="AK1458" s="145"/>
      <c r="AL1458" s="145"/>
      <c r="AM1458" s="145"/>
      <c r="AN1458" s="145"/>
      <c r="AO1458" s="145"/>
      <c r="AP1458" s="145"/>
      <c r="AQ1458" s="145"/>
      <c r="AR1458" s="145"/>
      <c r="AS1458" s="145"/>
      <c r="AT1458" s="145"/>
    </row>
    <row r="1459" spans="1:46" ht="45" customHeight="1">
      <c r="A1459" s="21" t="s">
        <v>12677</v>
      </c>
      <c r="B1459" s="47" t="s">
        <v>12678</v>
      </c>
      <c r="C1459" s="197" t="s">
        <v>12679</v>
      </c>
      <c r="D1459" s="222" t="s">
        <v>12680</v>
      </c>
      <c r="E1459" s="49" t="s">
        <v>12681</v>
      </c>
      <c r="F1459" s="49" t="s">
        <v>12681</v>
      </c>
      <c r="G1459" s="49" t="s">
        <v>12682</v>
      </c>
      <c r="H1459" s="49" t="s">
        <v>12683</v>
      </c>
      <c r="I1459" s="49" t="s">
        <v>332</v>
      </c>
      <c r="J1459" s="49" t="s">
        <v>12682</v>
      </c>
      <c r="K1459" s="49" t="s">
        <v>12683</v>
      </c>
      <c r="L1459" s="49" t="s">
        <v>332</v>
      </c>
      <c r="M1459" s="49" t="s">
        <v>12684</v>
      </c>
      <c r="N1459" s="49">
        <v>2615862833</v>
      </c>
      <c r="O1459" s="15"/>
      <c r="P1459" s="49" t="s">
        <v>12685</v>
      </c>
      <c r="Q1459" s="49" t="s">
        <v>12686</v>
      </c>
      <c r="R1459" s="231">
        <v>2221</v>
      </c>
      <c r="S1459" s="30">
        <f t="shared" si="8"/>
        <v>359802</v>
      </c>
      <c r="T1459" s="89" t="s">
        <v>96</v>
      </c>
      <c r="U1459" s="15"/>
      <c r="V1459" s="44">
        <v>359802</v>
      </c>
      <c r="W1459" s="15"/>
      <c r="X1459" s="15"/>
      <c r="Y1459" s="13"/>
      <c r="Z1459" s="15"/>
      <c r="AA1459" s="13"/>
      <c r="AB1459" s="13"/>
      <c r="AC1459" s="49">
        <v>5767381</v>
      </c>
      <c r="AD1459" s="15"/>
      <c r="AE1459" s="145"/>
      <c r="AF1459" s="145"/>
      <c r="AG1459" s="145"/>
      <c r="AH1459" s="145"/>
      <c r="AI1459" s="145"/>
      <c r="AJ1459" s="145"/>
      <c r="AK1459" s="145"/>
      <c r="AL1459" s="145"/>
      <c r="AM1459" s="145"/>
      <c r="AN1459" s="145"/>
      <c r="AO1459" s="145"/>
      <c r="AP1459" s="145"/>
      <c r="AQ1459" s="145"/>
      <c r="AR1459" s="145"/>
      <c r="AS1459" s="145"/>
      <c r="AT1459" s="145"/>
    </row>
    <row r="1460" spans="1:46" ht="45" customHeight="1">
      <c r="A1460" s="21" t="s">
        <v>12687</v>
      </c>
      <c r="B1460" s="47" t="s">
        <v>12688</v>
      </c>
      <c r="C1460" s="197" t="s">
        <v>12689</v>
      </c>
      <c r="D1460" s="49" t="s">
        <v>12690</v>
      </c>
      <c r="E1460" s="49" t="s">
        <v>12691</v>
      </c>
      <c r="F1460" s="49" t="s">
        <v>12691</v>
      </c>
      <c r="G1460" s="49" t="s">
        <v>12692</v>
      </c>
      <c r="H1460" s="49" t="s">
        <v>12693</v>
      </c>
      <c r="I1460" s="49" t="s">
        <v>41</v>
      </c>
      <c r="J1460" s="49" t="s">
        <v>12692</v>
      </c>
      <c r="K1460" s="49" t="s">
        <v>12693</v>
      </c>
      <c r="L1460" s="49" t="s">
        <v>41</v>
      </c>
      <c r="M1460" s="49" t="s">
        <v>12694</v>
      </c>
      <c r="N1460" s="49">
        <v>2604314048</v>
      </c>
      <c r="O1460" s="15"/>
      <c r="P1460" s="49" t="s">
        <v>44</v>
      </c>
      <c r="Q1460" s="49" t="s">
        <v>12695</v>
      </c>
      <c r="R1460" s="231">
        <v>39.57</v>
      </c>
      <c r="S1460" s="30">
        <f t="shared" si="8"/>
        <v>6410.34</v>
      </c>
      <c r="T1460" s="89" t="s">
        <v>46</v>
      </c>
      <c r="U1460" s="15"/>
      <c r="V1460" s="44">
        <v>44610</v>
      </c>
      <c r="W1460" s="15"/>
      <c r="X1460" s="15"/>
      <c r="Y1460" s="13"/>
      <c r="Z1460" s="15"/>
      <c r="AA1460" s="13"/>
      <c r="AB1460" s="13"/>
      <c r="AC1460" s="49">
        <v>5654872</v>
      </c>
      <c r="AD1460" s="15"/>
      <c r="AE1460" s="145"/>
      <c r="AF1460" s="145"/>
      <c r="AG1460" s="145"/>
      <c r="AH1460" s="145"/>
      <c r="AI1460" s="145"/>
      <c r="AJ1460" s="145"/>
      <c r="AK1460" s="145"/>
      <c r="AL1460" s="145"/>
      <c r="AM1460" s="145"/>
      <c r="AN1460" s="145"/>
      <c r="AO1460" s="145"/>
      <c r="AP1460" s="145"/>
      <c r="AQ1460" s="145"/>
      <c r="AR1460" s="145"/>
      <c r="AS1460" s="145"/>
      <c r="AT1460" s="145"/>
    </row>
    <row r="1461" spans="1:46" ht="45" customHeight="1">
      <c r="A1461" s="79" t="s">
        <v>12696</v>
      </c>
      <c r="B1461" s="235" t="s">
        <v>12697</v>
      </c>
      <c r="C1461" s="236" t="s">
        <v>12698</v>
      </c>
      <c r="D1461" s="167" t="s">
        <v>907</v>
      </c>
      <c r="E1461" s="167" t="s">
        <v>12699</v>
      </c>
      <c r="F1461" s="167" t="s">
        <v>12699</v>
      </c>
      <c r="G1461" s="167" t="s">
        <v>12700</v>
      </c>
      <c r="H1461" s="167" t="s">
        <v>12701</v>
      </c>
      <c r="I1461" s="167" t="s">
        <v>52</v>
      </c>
      <c r="J1461" s="167" t="s">
        <v>12702</v>
      </c>
      <c r="K1461" s="82"/>
      <c r="L1461" s="167" t="s">
        <v>41</v>
      </c>
      <c r="M1461" s="167" t="s">
        <v>12703</v>
      </c>
      <c r="N1461" s="167" t="s">
        <v>12704</v>
      </c>
      <c r="O1461" s="82"/>
      <c r="P1461" s="167" t="s">
        <v>12705</v>
      </c>
      <c r="Q1461" s="167" t="s">
        <v>12706</v>
      </c>
      <c r="R1461" s="237" t="s">
        <v>12707</v>
      </c>
      <c r="S1461" s="86" t="e">
        <f t="shared" si="8"/>
        <v>#VALUE!</v>
      </c>
      <c r="T1461" s="87" t="s">
        <v>12707</v>
      </c>
      <c r="U1461" s="82"/>
      <c r="V1461" s="238" t="s">
        <v>12707</v>
      </c>
      <c r="W1461" s="82"/>
      <c r="X1461" s="82"/>
      <c r="Y1461" s="80"/>
      <c r="Z1461" s="82"/>
      <c r="AA1461" s="80"/>
      <c r="AB1461" s="80"/>
      <c r="AC1461" s="167">
        <v>5755292</v>
      </c>
      <c r="AD1461" s="82"/>
      <c r="AE1461" s="175"/>
      <c r="AF1461" s="175"/>
      <c r="AG1461" s="175"/>
      <c r="AH1461" s="175"/>
      <c r="AI1461" s="175"/>
      <c r="AJ1461" s="175"/>
      <c r="AK1461" s="175"/>
      <c r="AL1461" s="175"/>
      <c r="AM1461" s="175"/>
      <c r="AN1461" s="175"/>
      <c r="AO1461" s="175"/>
      <c r="AP1461" s="175"/>
      <c r="AQ1461" s="175"/>
      <c r="AR1461" s="175"/>
      <c r="AS1461" s="175"/>
      <c r="AT1461" s="175"/>
    </row>
    <row r="1462" spans="1:46" ht="45" customHeight="1">
      <c r="A1462" s="21" t="s">
        <v>12708</v>
      </c>
      <c r="B1462" s="47" t="s">
        <v>12709</v>
      </c>
      <c r="C1462" s="197" t="s">
        <v>12710</v>
      </c>
      <c r="D1462" s="49" t="s">
        <v>713</v>
      </c>
      <c r="E1462" s="49" t="s">
        <v>476</v>
      </c>
      <c r="F1462" s="49" t="s">
        <v>476</v>
      </c>
      <c r="G1462" s="49" t="s">
        <v>12711</v>
      </c>
      <c r="H1462" s="49" t="s">
        <v>2652</v>
      </c>
      <c r="I1462" s="49" t="s">
        <v>6221</v>
      </c>
      <c r="J1462" s="49" t="s">
        <v>12711</v>
      </c>
      <c r="K1462" s="49" t="s">
        <v>2652</v>
      </c>
      <c r="L1462" s="49" t="s">
        <v>6221</v>
      </c>
      <c r="M1462" s="49" t="s">
        <v>9056</v>
      </c>
      <c r="N1462" s="49">
        <v>2615690461</v>
      </c>
      <c r="O1462" s="15"/>
      <c r="P1462" s="49" t="s">
        <v>717</v>
      </c>
      <c r="Q1462" s="49" t="s">
        <v>12712</v>
      </c>
      <c r="R1462" s="231">
        <v>2108.3200000000002</v>
      </c>
      <c r="S1462" s="30">
        <f t="shared" si="8"/>
        <v>341547.84</v>
      </c>
      <c r="T1462" s="89" t="s">
        <v>96</v>
      </c>
      <c r="U1462" s="15"/>
      <c r="V1462" s="44">
        <v>341547.84</v>
      </c>
      <c r="W1462" s="15"/>
      <c r="X1462" s="15"/>
      <c r="Y1462" s="13"/>
      <c r="Z1462" s="15"/>
      <c r="AA1462" s="13"/>
      <c r="AB1462" s="13"/>
      <c r="AC1462" s="49">
        <v>5835190</v>
      </c>
      <c r="AD1462" s="15"/>
      <c r="AE1462" s="145"/>
      <c r="AF1462" s="145"/>
      <c r="AG1462" s="145"/>
      <c r="AH1462" s="145"/>
      <c r="AI1462" s="145"/>
      <c r="AJ1462" s="145"/>
      <c r="AK1462" s="145"/>
      <c r="AL1462" s="145"/>
      <c r="AM1462" s="145"/>
      <c r="AN1462" s="145"/>
      <c r="AO1462" s="145"/>
      <c r="AP1462" s="145"/>
      <c r="AQ1462" s="145"/>
      <c r="AR1462" s="145"/>
      <c r="AS1462" s="145"/>
      <c r="AT1462" s="145"/>
    </row>
    <row r="1463" spans="1:46" ht="45" customHeight="1">
      <c r="A1463" s="21" t="s">
        <v>12713</v>
      </c>
      <c r="B1463" s="47" t="s">
        <v>12714</v>
      </c>
      <c r="C1463" s="197" t="s">
        <v>12715</v>
      </c>
      <c r="D1463" s="49" t="s">
        <v>12716</v>
      </c>
      <c r="E1463" s="49" t="s">
        <v>524</v>
      </c>
      <c r="F1463" s="49" t="s">
        <v>524</v>
      </c>
      <c r="G1463" s="49" t="s">
        <v>12717</v>
      </c>
      <c r="H1463" s="49"/>
      <c r="I1463" s="49" t="s">
        <v>65</v>
      </c>
      <c r="J1463" s="49" t="s">
        <v>12717</v>
      </c>
      <c r="K1463" s="49"/>
      <c r="L1463" s="49" t="s">
        <v>65</v>
      </c>
      <c r="M1463" s="49" t="s">
        <v>12718</v>
      </c>
      <c r="N1463" s="222">
        <v>2616990954</v>
      </c>
      <c r="O1463" s="15"/>
      <c r="P1463" s="49" t="s">
        <v>44</v>
      </c>
      <c r="Q1463" s="49" t="s">
        <v>12719</v>
      </c>
      <c r="R1463" s="231">
        <v>23.99</v>
      </c>
      <c r="S1463" s="30">
        <f t="shared" si="8"/>
        <v>3886.3799999999997</v>
      </c>
      <c r="T1463" s="89" t="s">
        <v>46</v>
      </c>
      <c r="U1463" s="15"/>
      <c r="V1463" s="44">
        <v>44610</v>
      </c>
      <c r="W1463" s="15"/>
      <c r="X1463" s="15"/>
      <c r="Y1463" s="13"/>
      <c r="Z1463" s="15"/>
      <c r="AA1463" s="13"/>
      <c r="AB1463" s="13"/>
      <c r="AC1463" s="49">
        <v>5824624</v>
      </c>
      <c r="AD1463" s="15"/>
      <c r="AE1463" s="145"/>
      <c r="AF1463" s="145"/>
      <c r="AG1463" s="145"/>
      <c r="AH1463" s="145"/>
      <c r="AI1463" s="145"/>
      <c r="AJ1463" s="145"/>
      <c r="AK1463" s="145"/>
      <c r="AL1463" s="145"/>
      <c r="AM1463" s="145"/>
      <c r="AN1463" s="145"/>
      <c r="AO1463" s="145"/>
      <c r="AP1463" s="145"/>
      <c r="AQ1463" s="145"/>
      <c r="AR1463" s="145"/>
      <c r="AS1463" s="145"/>
      <c r="AT1463" s="145"/>
    </row>
    <row r="1464" spans="1:46" ht="45" customHeight="1">
      <c r="A1464" s="21" t="s">
        <v>12720</v>
      </c>
      <c r="B1464" s="47" t="s">
        <v>12721</v>
      </c>
      <c r="C1464" s="197" t="s">
        <v>12722</v>
      </c>
      <c r="D1464" s="49" t="s">
        <v>12723</v>
      </c>
      <c r="E1464" s="49" t="s">
        <v>12724</v>
      </c>
      <c r="F1464" s="49" t="s">
        <v>12724</v>
      </c>
      <c r="G1464" s="49" t="s">
        <v>12725</v>
      </c>
      <c r="H1464" s="49" t="s">
        <v>9386</v>
      </c>
      <c r="I1464" s="49" t="s">
        <v>65</v>
      </c>
      <c r="J1464" s="49" t="s">
        <v>12725</v>
      </c>
      <c r="K1464" s="49" t="s">
        <v>9386</v>
      </c>
      <c r="L1464" s="49" t="s">
        <v>65</v>
      </c>
      <c r="M1464" s="49" t="s">
        <v>12726</v>
      </c>
      <c r="N1464" s="49" t="s">
        <v>12727</v>
      </c>
      <c r="O1464" s="15"/>
      <c r="P1464" s="49" t="s">
        <v>1381</v>
      </c>
      <c r="Q1464" s="15"/>
      <c r="R1464" s="231">
        <v>17791.14</v>
      </c>
      <c r="S1464" s="30">
        <f t="shared" si="8"/>
        <v>2882164.6799999997</v>
      </c>
      <c r="T1464" s="89" t="s">
        <v>12521</v>
      </c>
      <c r="U1464" s="15"/>
      <c r="V1464" s="44">
        <v>2882164.68</v>
      </c>
      <c r="W1464" s="15"/>
      <c r="X1464" s="15"/>
      <c r="Y1464" s="13"/>
      <c r="Z1464" s="15"/>
      <c r="AA1464" s="13"/>
      <c r="AB1464" s="13"/>
      <c r="AC1464" s="15"/>
      <c r="AD1464" s="15"/>
      <c r="AE1464" s="145"/>
      <c r="AF1464" s="145"/>
      <c r="AG1464" s="145"/>
      <c r="AH1464" s="145"/>
      <c r="AI1464" s="145"/>
      <c r="AJ1464" s="145"/>
      <c r="AK1464" s="145"/>
      <c r="AL1464" s="145"/>
      <c r="AM1464" s="145"/>
      <c r="AN1464" s="145"/>
      <c r="AO1464" s="145"/>
      <c r="AP1464" s="145"/>
      <c r="AQ1464" s="145"/>
      <c r="AR1464" s="145"/>
      <c r="AS1464" s="145"/>
      <c r="AT1464" s="145"/>
    </row>
    <row r="1465" spans="1:46" ht="45" customHeight="1">
      <c r="A1465" s="21" t="s">
        <v>12728</v>
      </c>
      <c r="B1465" s="47" t="s">
        <v>12729</v>
      </c>
      <c r="C1465" s="197" t="s">
        <v>12730</v>
      </c>
      <c r="D1465" s="49" t="s">
        <v>12731</v>
      </c>
      <c r="E1465" s="49" t="s">
        <v>12732</v>
      </c>
      <c r="F1465" s="49" t="s">
        <v>12732</v>
      </c>
      <c r="G1465" s="49" t="s">
        <v>12733</v>
      </c>
      <c r="H1465" s="49" t="s">
        <v>9808</v>
      </c>
      <c r="I1465" s="49" t="s">
        <v>881</v>
      </c>
      <c r="J1465" s="49" t="s">
        <v>12734</v>
      </c>
      <c r="K1465" s="49" t="s">
        <v>12735</v>
      </c>
      <c r="L1465" s="49" t="s">
        <v>881</v>
      </c>
      <c r="M1465" s="49" t="s">
        <v>12736</v>
      </c>
      <c r="N1465" s="49" t="s">
        <v>12737</v>
      </c>
      <c r="O1465" s="15"/>
      <c r="P1465" s="49" t="s">
        <v>12738</v>
      </c>
      <c r="Q1465" s="49" t="s">
        <v>12739</v>
      </c>
      <c r="R1465" s="231" t="s">
        <v>770</v>
      </c>
      <c r="S1465" s="30" t="e">
        <f t="shared" si="8"/>
        <v>#VALUE!</v>
      </c>
      <c r="T1465" s="89" t="s">
        <v>12707</v>
      </c>
      <c r="U1465" s="15"/>
      <c r="V1465" s="44" t="s">
        <v>770</v>
      </c>
      <c r="W1465" s="15"/>
      <c r="X1465" s="15"/>
      <c r="Y1465" s="13"/>
      <c r="Z1465" s="15"/>
      <c r="AA1465" s="13"/>
      <c r="AB1465" s="13"/>
      <c r="AC1465" s="49">
        <v>5579939</v>
      </c>
      <c r="AD1465" s="15"/>
      <c r="AE1465" s="145"/>
      <c r="AF1465" s="145"/>
      <c r="AG1465" s="145"/>
      <c r="AH1465" s="145"/>
      <c r="AI1465" s="145"/>
      <c r="AJ1465" s="145"/>
      <c r="AK1465" s="145"/>
      <c r="AL1465" s="145"/>
      <c r="AM1465" s="145"/>
      <c r="AN1465" s="145"/>
      <c r="AO1465" s="145"/>
      <c r="AP1465" s="145"/>
      <c r="AQ1465" s="145"/>
      <c r="AR1465" s="145"/>
      <c r="AS1465" s="145"/>
      <c r="AT1465" s="145"/>
    </row>
    <row r="1466" spans="1:46" ht="45" customHeight="1">
      <c r="A1466" s="21" t="s">
        <v>12740</v>
      </c>
      <c r="B1466" s="47" t="s">
        <v>12741</v>
      </c>
      <c r="C1466" s="197" t="s">
        <v>12742</v>
      </c>
      <c r="D1466" s="49" t="s">
        <v>12743</v>
      </c>
      <c r="E1466" s="49" t="s">
        <v>12744</v>
      </c>
      <c r="F1466" s="49" t="s">
        <v>12744</v>
      </c>
      <c r="G1466" s="49" t="s">
        <v>12745</v>
      </c>
      <c r="H1466" s="49" t="s">
        <v>12746</v>
      </c>
      <c r="I1466" s="49" t="s">
        <v>65</v>
      </c>
      <c r="J1466" s="49" t="s">
        <v>12747</v>
      </c>
      <c r="K1466" s="49" t="s">
        <v>9198</v>
      </c>
      <c r="L1466" s="49" t="s">
        <v>65</v>
      </c>
      <c r="M1466" s="49" t="s">
        <v>12748</v>
      </c>
      <c r="N1466" s="49">
        <v>2616843786</v>
      </c>
      <c r="O1466" s="15"/>
      <c r="P1466" s="49" t="s">
        <v>94</v>
      </c>
      <c r="Q1466" s="49" t="s">
        <v>12749</v>
      </c>
      <c r="R1466" s="231">
        <v>146.5</v>
      </c>
      <c r="S1466" s="30">
        <f t="shared" si="8"/>
        <v>23733</v>
      </c>
      <c r="T1466" s="89" t="s">
        <v>46</v>
      </c>
      <c r="U1466" s="15"/>
      <c r="V1466" s="44">
        <v>44610</v>
      </c>
      <c r="W1466" s="15"/>
      <c r="X1466" s="15"/>
      <c r="Y1466" s="13"/>
      <c r="Z1466" s="15"/>
      <c r="AA1466" s="13"/>
      <c r="AB1466" s="13"/>
      <c r="AC1466" s="49">
        <v>5887151</v>
      </c>
      <c r="AD1466" s="15"/>
      <c r="AE1466" s="145"/>
      <c r="AF1466" s="145"/>
      <c r="AG1466" s="145"/>
      <c r="AH1466" s="145"/>
      <c r="AI1466" s="145"/>
      <c r="AJ1466" s="145"/>
      <c r="AK1466" s="145"/>
      <c r="AL1466" s="145"/>
      <c r="AM1466" s="145"/>
      <c r="AN1466" s="145"/>
      <c r="AO1466" s="145"/>
      <c r="AP1466" s="145"/>
      <c r="AQ1466" s="145"/>
      <c r="AR1466" s="145"/>
      <c r="AS1466" s="145"/>
      <c r="AT1466" s="145"/>
    </row>
    <row r="1467" spans="1:46" ht="45" customHeight="1">
      <c r="A1467" s="21" t="s">
        <v>12750</v>
      </c>
      <c r="B1467" s="47" t="s">
        <v>12751</v>
      </c>
      <c r="C1467" s="197" t="s">
        <v>12752</v>
      </c>
      <c r="D1467" s="49" t="s">
        <v>12753</v>
      </c>
      <c r="E1467" s="49" t="s">
        <v>12754</v>
      </c>
      <c r="F1467" s="49" t="s">
        <v>12754</v>
      </c>
      <c r="G1467" s="49" t="s">
        <v>12755</v>
      </c>
      <c r="H1467" s="49" t="s">
        <v>12756</v>
      </c>
      <c r="I1467" s="49" t="s">
        <v>7704</v>
      </c>
      <c r="J1467" s="49" t="s">
        <v>12755</v>
      </c>
      <c r="K1467" s="49" t="s">
        <v>12756</v>
      </c>
      <c r="L1467" s="49" t="s">
        <v>7704</v>
      </c>
      <c r="M1467" s="49" t="s">
        <v>12757</v>
      </c>
      <c r="N1467" s="49" t="s">
        <v>12758</v>
      </c>
      <c r="O1467" s="15"/>
      <c r="P1467" s="49" t="s">
        <v>94</v>
      </c>
      <c r="Q1467" s="49" t="s">
        <v>12759</v>
      </c>
      <c r="R1467" s="231">
        <v>164.22</v>
      </c>
      <c r="S1467" s="30">
        <f t="shared" si="8"/>
        <v>26603.64</v>
      </c>
      <c r="T1467" s="89" t="s">
        <v>46</v>
      </c>
      <c r="U1467" s="15"/>
      <c r="V1467" s="44">
        <v>44610</v>
      </c>
      <c r="W1467" s="15"/>
      <c r="X1467" s="15"/>
      <c r="Y1467" s="13"/>
      <c r="Z1467" s="15"/>
      <c r="AA1467" s="13"/>
      <c r="AB1467" s="13"/>
      <c r="AC1467" s="49">
        <v>5889212</v>
      </c>
      <c r="AD1467" s="15"/>
      <c r="AE1467" s="145"/>
      <c r="AF1467" s="145"/>
      <c r="AG1467" s="145"/>
      <c r="AH1467" s="145"/>
      <c r="AI1467" s="145"/>
      <c r="AJ1467" s="145"/>
      <c r="AK1467" s="145"/>
      <c r="AL1467" s="145"/>
      <c r="AM1467" s="145"/>
      <c r="AN1467" s="145"/>
      <c r="AO1467" s="145"/>
      <c r="AP1467" s="145"/>
      <c r="AQ1467" s="145"/>
      <c r="AR1467" s="145"/>
      <c r="AS1467" s="145"/>
      <c r="AT1467" s="145"/>
    </row>
    <row r="1468" spans="1:46" ht="45" customHeight="1">
      <c r="A1468" s="21" t="s">
        <v>12760</v>
      </c>
      <c r="B1468" s="47" t="s">
        <v>12761</v>
      </c>
      <c r="C1468" s="197" t="s">
        <v>12762</v>
      </c>
      <c r="D1468" s="49" t="s">
        <v>1086</v>
      </c>
      <c r="E1468" s="49" t="s">
        <v>12763</v>
      </c>
      <c r="F1468" s="49" t="s">
        <v>12763</v>
      </c>
      <c r="G1468" s="49" t="s">
        <v>12764</v>
      </c>
      <c r="H1468" s="49" t="s">
        <v>4398</v>
      </c>
      <c r="I1468" s="49" t="s">
        <v>80</v>
      </c>
      <c r="J1468" s="49" t="s">
        <v>12765</v>
      </c>
      <c r="K1468" s="49" t="s">
        <v>12766</v>
      </c>
      <c r="L1468" s="49" t="s">
        <v>41</v>
      </c>
      <c r="M1468" s="49" t="s">
        <v>6485</v>
      </c>
      <c r="N1468" s="49" t="s">
        <v>12767</v>
      </c>
      <c r="O1468" s="15"/>
      <c r="P1468" s="49" t="s">
        <v>1381</v>
      </c>
      <c r="Q1468" s="49" t="s">
        <v>12768</v>
      </c>
      <c r="R1468" s="231">
        <v>300.69</v>
      </c>
      <c r="S1468" s="30">
        <f t="shared" si="8"/>
        <v>48711.78</v>
      </c>
      <c r="T1468" s="89" t="s">
        <v>46</v>
      </c>
      <c r="U1468" s="15"/>
      <c r="V1468" s="44">
        <v>48711.78</v>
      </c>
      <c r="W1468" s="15"/>
      <c r="X1468" s="15"/>
      <c r="Y1468" s="13"/>
      <c r="Z1468" s="15"/>
      <c r="AA1468" s="13"/>
      <c r="AB1468" s="13"/>
      <c r="AC1468" s="49">
        <v>5908370</v>
      </c>
      <c r="AD1468" s="15"/>
      <c r="AE1468" s="145"/>
      <c r="AF1468" s="145"/>
      <c r="AG1468" s="145"/>
      <c r="AH1468" s="145"/>
      <c r="AI1468" s="145"/>
      <c r="AJ1468" s="145"/>
      <c r="AK1468" s="145"/>
      <c r="AL1468" s="145"/>
      <c r="AM1468" s="145"/>
      <c r="AN1468" s="145"/>
      <c r="AO1468" s="145"/>
      <c r="AP1468" s="145"/>
      <c r="AQ1468" s="145"/>
      <c r="AR1468" s="145"/>
      <c r="AS1468" s="145"/>
      <c r="AT1468" s="145"/>
    </row>
    <row r="1469" spans="1:46" ht="45" customHeight="1">
      <c r="A1469" s="21" t="s">
        <v>12769</v>
      </c>
      <c r="B1469" s="47" t="s">
        <v>12770</v>
      </c>
      <c r="C1469" s="197" t="s">
        <v>12771</v>
      </c>
      <c r="D1469" s="49" t="s">
        <v>12772</v>
      </c>
      <c r="E1469" s="49" t="s">
        <v>12773</v>
      </c>
      <c r="F1469" s="49" t="s">
        <v>12773</v>
      </c>
      <c r="G1469" s="49" t="s">
        <v>12774</v>
      </c>
      <c r="H1469" s="49" t="s">
        <v>12775</v>
      </c>
      <c r="I1469" s="49" t="s">
        <v>52</v>
      </c>
      <c r="J1469" s="49" t="s">
        <v>12774</v>
      </c>
      <c r="K1469" s="49" t="s">
        <v>12775</v>
      </c>
      <c r="L1469" s="49" t="s">
        <v>52</v>
      </c>
      <c r="M1469" s="49" t="s">
        <v>12776</v>
      </c>
      <c r="N1469" s="49" t="s">
        <v>12777</v>
      </c>
      <c r="O1469" s="15"/>
      <c r="P1469" s="49" t="s">
        <v>9830</v>
      </c>
      <c r="Q1469" s="49" t="s">
        <v>12778</v>
      </c>
      <c r="R1469" s="231">
        <v>52.42</v>
      </c>
      <c r="S1469" s="30">
        <f t="shared" si="8"/>
        <v>8492.0400000000009</v>
      </c>
      <c r="T1469" s="89" t="s">
        <v>46</v>
      </c>
      <c r="U1469" s="15"/>
      <c r="V1469" s="44">
        <v>44610</v>
      </c>
      <c r="W1469" s="15"/>
      <c r="X1469" s="15"/>
      <c r="Y1469" s="13"/>
      <c r="Z1469" s="15"/>
      <c r="AA1469" s="13"/>
      <c r="AB1469" s="13"/>
      <c r="AC1469" s="49">
        <v>5915799</v>
      </c>
      <c r="AD1469" s="15"/>
      <c r="AE1469" s="145"/>
      <c r="AF1469" s="145"/>
      <c r="AG1469" s="145"/>
      <c r="AH1469" s="145"/>
      <c r="AI1469" s="145"/>
      <c r="AJ1469" s="145"/>
      <c r="AK1469" s="145"/>
      <c r="AL1469" s="145"/>
      <c r="AM1469" s="145"/>
      <c r="AN1469" s="145"/>
      <c r="AO1469" s="145"/>
      <c r="AP1469" s="145"/>
      <c r="AQ1469" s="145"/>
      <c r="AR1469" s="145"/>
      <c r="AS1469" s="145"/>
      <c r="AT1469" s="145"/>
    </row>
    <row r="1470" spans="1:46" ht="45" customHeight="1">
      <c r="A1470" s="21" t="s">
        <v>12779</v>
      </c>
      <c r="B1470" s="47" t="s">
        <v>12780</v>
      </c>
      <c r="C1470" s="197" t="s">
        <v>12781</v>
      </c>
      <c r="D1470" s="49" t="s">
        <v>12782</v>
      </c>
      <c r="E1470" s="49" t="s">
        <v>12783</v>
      </c>
      <c r="F1470" s="49" t="s">
        <v>12783</v>
      </c>
      <c r="G1470" s="49" t="s">
        <v>12784</v>
      </c>
      <c r="H1470" s="15"/>
      <c r="I1470" s="49" t="s">
        <v>41</v>
      </c>
      <c r="J1470" s="49" t="s">
        <v>12784</v>
      </c>
      <c r="K1470" s="15"/>
      <c r="L1470" s="49" t="s">
        <v>41</v>
      </c>
      <c r="M1470" s="49" t="s">
        <v>12785</v>
      </c>
      <c r="N1470" s="49" t="s">
        <v>12786</v>
      </c>
      <c r="O1470" s="15"/>
      <c r="P1470" s="49" t="s">
        <v>44</v>
      </c>
      <c r="Q1470" s="49" t="s">
        <v>12787</v>
      </c>
      <c r="R1470" s="231">
        <v>93.63</v>
      </c>
      <c r="S1470" s="30">
        <f t="shared" si="8"/>
        <v>15168.06</v>
      </c>
      <c r="T1470" s="89" t="s">
        <v>46</v>
      </c>
      <c r="U1470" s="15"/>
      <c r="V1470" s="44">
        <v>44610</v>
      </c>
      <c r="W1470" s="15"/>
      <c r="X1470" s="15"/>
      <c r="Y1470" s="13"/>
      <c r="Z1470" s="15"/>
      <c r="AA1470" s="13"/>
      <c r="AB1470" s="13"/>
      <c r="AC1470" s="49">
        <v>5917134</v>
      </c>
      <c r="AD1470" s="15"/>
      <c r="AE1470" s="145"/>
      <c r="AF1470" s="145"/>
      <c r="AG1470" s="145"/>
      <c r="AH1470" s="145"/>
      <c r="AI1470" s="145"/>
      <c r="AJ1470" s="145"/>
      <c r="AK1470" s="145"/>
      <c r="AL1470" s="145"/>
      <c r="AM1470" s="145"/>
      <c r="AN1470" s="145"/>
      <c r="AO1470" s="145"/>
      <c r="AP1470" s="145"/>
      <c r="AQ1470" s="145"/>
      <c r="AR1470" s="145"/>
      <c r="AS1470" s="145"/>
      <c r="AT1470" s="145"/>
    </row>
    <row r="1471" spans="1:46" ht="45" customHeight="1">
      <c r="A1471" s="21" t="s">
        <v>12788</v>
      </c>
      <c r="B1471" s="47" t="s">
        <v>12789</v>
      </c>
      <c r="C1471" s="197" t="s">
        <v>12790</v>
      </c>
      <c r="D1471" s="49" t="s">
        <v>1086</v>
      </c>
      <c r="E1471" s="49" t="s">
        <v>12763</v>
      </c>
      <c r="F1471" s="49" t="s">
        <v>12763</v>
      </c>
      <c r="G1471" s="49" t="s">
        <v>12764</v>
      </c>
      <c r="H1471" s="49" t="s">
        <v>4398</v>
      </c>
      <c r="I1471" s="49" t="s">
        <v>80</v>
      </c>
      <c r="J1471" s="49" t="s">
        <v>12791</v>
      </c>
      <c r="K1471" s="15"/>
      <c r="L1471" s="49" t="s">
        <v>383</v>
      </c>
      <c r="M1471" s="49" t="s">
        <v>6485</v>
      </c>
      <c r="N1471" s="49" t="s">
        <v>12767</v>
      </c>
      <c r="O1471" s="15"/>
      <c r="P1471" s="49" t="s">
        <v>1381</v>
      </c>
      <c r="Q1471" s="49" t="s">
        <v>12792</v>
      </c>
      <c r="R1471" s="231">
        <v>237.6</v>
      </c>
      <c r="S1471" s="30">
        <f t="shared" si="8"/>
        <v>38491.199999999997</v>
      </c>
      <c r="T1471" s="89" t="s">
        <v>46</v>
      </c>
      <c r="U1471" s="15"/>
      <c r="V1471" s="44">
        <v>44610</v>
      </c>
      <c r="W1471" s="15"/>
      <c r="X1471" s="15"/>
      <c r="Y1471" s="13"/>
      <c r="Z1471" s="15"/>
      <c r="AA1471" s="13"/>
      <c r="AB1471" s="13"/>
      <c r="AC1471" s="49">
        <v>5940083</v>
      </c>
      <c r="AD1471" s="15"/>
      <c r="AE1471" s="145"/>
      <c r="AF1471" s="145"/>
      <c r="AG1471" s="145"/>
      <c r="AH1471" s="145"/>
      <c r="AI1471" s="145"/>
      <c r="AJ1471" s="145"/>
      <c r="AK1471" s="145"/>
      <c r="AL1471" s="145"/>
      <c r="AM1471" s="145"/>
      <c r="AN1471" s="145"/>
      <c r="AO1471" s="145"/>
      <c r="AP1471" s="145"/>
      <c r="AQ1471" s="145"/>
      <c r="AR1471" s="145"/>
      <c r="AS1471" s="145"/>
      <c r="AT1471" s="145"/>
    </row>
    <row r="1472" spans="1:46" ht="45" customHeight="1">
      <c r="A1472" s="21" t="s">
        <v>12793</v>
      </c>
      <c r="B1472" s="47" t="s">
        <v>12794</v>
      </c>
      <c r="C1472" s="197" t="s">
        <v>12795</v>
      </c>
      <c r="D1472" s="49" t="s">
        <v>12796</v>
      </c>
      <c r="E1472" s="49" t="s">
        <v>524</v>
      </c>
      <c r="F1472" s="49" t="s">
        <v>524</v>
      </c>
      <c r="G1472" s="49" t="s">
        <v>12797</v>
      </c>
      <c r="H1472" s="49" t="s">
        <v>8872</v>
      </c>
      <c r="I1472" s="49" t="s">
        <v>149</v>
      </c>
      <c r="J1472" s="49" t="s">
        <v>12798</v>
      </c>
      <c r="K1472" s="15"/>
      <c r="L1472" s="49" t="s">
        <v>149</v>
      </c>
      <c r="M1472" s="49" t="s">
        <v>12799</v>
      </c>
      <c r="N1472" s="49" t="s">
        <v>12800</v>
      </c>
      <c r="O1472" s="15"/>
      <c r="P1472" s="49" t="s">
        <v>44</v>
      </c>
      <c r="Q1472" s="49" t="s">
        <v>12801</v>
      </c>
      <c r="R1472" s="231">
        <v>75</v>
      </c>
      <c r="S1472" s="30">
        <f t="shared" si="8"/>
        <v>12150</v>
      </c>
      <c r="T1472" s="89" t="s">
        <v>46</v>
      </c>
      <c r="U1472" s="15"/>
      <c r="V1472" s="44">
        <v>44610</v>
      </c>
      <c r="W1472" s="15"/>
      <c r="X1472" s="15"/>
      <c r="Y1472" s="13"/>
      <c r="Z1472" s="15"/>
      <c r="AA1472" s="13"/>
      <c r="AB1472" s="13"/>
      <c r="AC1472" s="49">
        <v>5952245</v>
      </c>
      <c r="AD1472" s="15"/>
      <c r="AE1472" s="145"/>
      <c r="AF1472" s="145"/>
      <c r="AG1472" s="145"/>
      <c r="AH1472" s="145"/>
      <c r="AI1472" s="145"/>
      <c r="AJ1472" s="145"/>
      <c r="AK1472" s="145"/>
      <c r="AL1472" s="145"/>
      <c r="AM1472" s="145"/>
      <c r="AN1472" s="145"/>
      <c r="AO1472" s="145"/>
      <c r="AP1472" s="145"/>
      <c r="AQ1472" s="145"/>
      <c r="AR1472" s="145"/>
      <c r="AS1472" s="145"/>
      <c r="AT1472" s="145"/>
    </row>
    <row r="1473" spans="1:46" ht="45" customHeight="1">
      <c r="A1473" s="21" t="s">
        <v>12802</v>
      </c>
      <c r="B1473" s="47" t="s">
        <v>12803</v>
      </c>
      <c r="C1473" s="197" t="s">
        <v>12804</v>
      </c>
      <c r="D1473" s="49" t="s">
        <v>9957</v>
      </c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226"/>
      <c r="S1473" s="30">
        <f t="shared" si="8"/>
        <v>0</v>
      </c>
      <c r="T1473" s="12"/>
      <c r="U1473" s="15"/>
      <c r="V1473" s="30"/>
      <c r="W1473" s="15"/>
      <c r="X1473" s="15"/>
      <c r="Y1473" s="13"/>
      <c r="Z1473" s="15"/>
      <c r="AA1473" s="13"/>
      <c r="AB1473" s="13"/>
      <c r="AC1473" s="15"/>
      <c r="AD1473" s="15"/>
      <c r="AE1473" s="145"/>
      <c r="AF1473" s="145"/>
      <c r="AG1473" s="145"/>
      <c r="AH1473" s="145"/>
      <c r="AI1473" s="145"/>
      <c r="AJ1473" s="145"/>
      <c r="AK1473" s="145"/>
      <c r="AL1473" s="145"/>
      <c r="AM1473" s="145"/>
      <c r="AN1473" s="145"/>
      <c r="AO1473" s="145"/>
      <c r="AP1473" s="145"/>
      <c r="AQ1473" s="145"/>
      <c r="AR1473" s="145"/>
      <c r="AS1473" s="145"/>
      <c r="AT1473" s="145"/>
    </row>
    <row r="1474" spans="1:46" ht="45" customHeight="1">
      <c r="A1474" s="21" t="s">
        <v>12805</v>
      </c>
      <c r="B1474" s="47" t="s">
        <v>12806</v>
      </c>
      <c r="C1474" s="197" t="s">
        <v>12807</v>
      </c>
      <c r="D1474" s="49" t="s">
        <v>12808</v>
      </c>
      <c r="E1474" s="49" t="s">
        <v>12809</v>
      </c>
      <c r="F1474" s="49" t="s">
        <v>12809</v>
      </c>
      <c r="G1474" s="49" t="s">
        <v>12810</v>
      </c>
      <c r="H1474" s="49" t="s">
        <v>12811</v>
      </c>
      <c r="I1474" s="49" t="s">
        <v>65</v>
      </c>
      <c r="J1474" s="49" t="s">
        <v>12810</v>
      </c>
      <c r="K1474" s="49" t="s">
        <v>12811</v>
      </c>
      <c r="L1474" s="49" t="s">
        <v>65</v>
      </c>
      <c r="M1474" s="49" t="s">
        <v>12812</v>
      </c>
      <c r="N1474" s="49">
        <v>2616207881</v>
      </c>
      <c r="O1474" s="15"/>
      <c r="P1474" s="49" t="s">
        <v>12813</v>
      </c>
      <c r="Q1474" s="49" t="s">
        <v>12814</v>
      </c>
      <c r="R1474" s="231">
        <v>309.12</v>
      </c>
      <c r="S1474" s="30">
        <f t="shared" si="8"/>
        <v>50077.440000000002</v>
      </c>
      <c r="T1474" s="89" t="s">
        <v>46</v>
      </c>
      <c r="U1474" s="15"/>
      <c r="V1474" s="44">
        <v>50077.85</v>
      </c>
      <c r="W1474" s="15"/>
      <c r="X1474" s="15"/>
      <c r="Y1474" s="13"/>
      <c r="Z1474" s="15"/>
      <c r="AA1474" s="13"/>
      <c r="AB1474" s="13"/>
      <c r="AC1474" s="49">
        <v>6014151</v>
      </c>
      <c r="AD1474" s="15"/>
      <c r="AE1474" s="145"/>
      <c r="AF1474" s="145"/>
      <c r="AG1474" s="145"/>
      <c r="AH1474" s="145"/>
      <c r="AI1474" s="145"/>
      <c r="AJ1474" s="145"/>
      <c r="AK1474" s="145"/>
      <c r="AL1474" s="145"/>
      <c r="AM1474" s="145"/>
      <c r="AN1474" s="145"/>
      <c r="AO1474" s="145"/>
      <c r="AP1474" s="145"/>
      <c r="AQ1474" s="145"/>
      <c r="AR1474" s="145"/>
      <c r="AS1474" s="145"/>
      <c r="AT1474" s="145"/>
    </row>
    <row r="1475" spans="1:46" ht="45" customHeight="1">
      <c r="A1475" s="21" t="s">
        <v>12815</v>
      </c>
      <c r="B1475" s="47" t="s">
        <v>12816</v>
      </c>
      <c r="C1475" s="197" t="s">
        <v>12817</v>
      </c>
      <c r="D1475" s="49" t="s">
        <v>12818</v>
      </c>
      <c r="E1475" s="49" t="s">
        <v>12819</v>
      </c>
      <c r="F1475" s="49" t="s">
        <v>12819</v>
      </c>
      <c r="G1475" s="49" t="s">
        <v>12820</v>
      </c>
      <c r="H1475" s="49" t="s">
        <v>12821</v>
      </c>
      <c r="I1475" s="49" t="s">
        <v>65</v>
      </c>
      <c r="J1475" s="49" t="s">
        <v>12820</v>
      </c>
      <c r="K1475" s="49" t="s">
        <v>12821</v>
      </c>
      <c r="L1475" s="49" t="s">
        <v>65</v>
      </c>
      <c r="M1475" s="49" t="s">
        <v>2568</v>
      </c>
      <c r="N1475" s="49">
        <v>2612112386</v>
      </c>
      <c r="O1475" s="15"/>
      <c r="P1475" s="49" t="s">
        <v>12813</v>
      </c>
      <c r="Q1475" s="49" t="s">
        <v>12822</v>
      </c>
      <c r="R1475" s="231">
        <v>562.46</v>
      </c>
      <c r="S1475" s="30">
        <f t="shared" si="8"/>
        <v>91118.52</v>
      </c>
      <c r="T1475" s="89" t="s">
        <v>46</v>
      </c>
      <c r="U1475" s="15"/>
      <c r="V1475" s="44">
        <v>91118.52</v>
      </c>
      <c r="W1475" s="15"/>
      <c r="X1475" s="15"/>
      <c r="Y1475" s="13"/>
      <c r="Z1475" s="15"/>
      <c r="AA1475" s="13"/>
      <c r="AB1475" s="13"/>
      <c r="AC1475" s="49">
        <v>6014884</v>
      </c>
      <c r="AD1475" s="15"/>
      <c r="AE1475" s="145"/>
      <c r="AF1475" s="145"/>
      <c r="AG1475" s="145"/>
      <c r="AH1475" s="145"/>
      <c r="AI1475" s="145"/>
      <c r="AJ1475" s="145"/>
      <c r="AK1475" s="145"/>
      <c r="AL1475" s="145"/>
      <c r="AM1475" s="145"/>
      <c r="AN1475" s="145"/>
      <c r="AO1475" s="145"/>
      <c r="AP1475" s="145"/>
      <c r="AQ1475" s="145"/>
      <c r="AR1475" s="145"/>
      <c r="AS1475" s="145"/>
      <c r="AT1475" s="145"/>
    </row>
    <row r="1476" spans="1:46" ht="45" customHeight="1">
      <c r="A1476" s="21" t="s">
        <v>12823</v>
      </c>
      <c r="B1476" s="47" t="s">
        <v>12824</v>
      </c>
      <c r="C1476" s="197" t="s">
        <v>12825</v>
      </c>
      <c r="D1476" s="49" t="s">
        <v>12826</v>
      </c>
      <c r="E1476" s="49" t="s">
        <v>12827</v>
      </c>
      <c r="F1476" s="49" t="s">
        <v>12827</v>
      </c>
      <c r="G1476" s="49" t="s">
        <v>12828</v>
      </c>
      <c r="H1476" s="49" t="s">
        <v>12829</v>
      </c>
      <c r="I1476" s="49" t="s">
        <v>38</v>
      </c>
      <c r="J1476" s="49" t="s">
        <v>12830</v>
      </c>
      <c r="K1476" s="49" t="s">
        <v>2652</v>
      </c>
      <c r="L1476" s="49" t="s">
        <v>6104</v>
      </c>
      <c r="M1476" s="49" t="s">
        <v>9611</v>
      </c>
      <c r="N1476" s="49" t="s">
        <v>12831</v>
      </c>
      <c r="O1476" s="15"/>
      <c r="P1476" s="49" t="s">
        <v>44</v>
      </c>
      <c r="Q1476" s="49" t="s">
        <v>12832</v>
      </c>
      <c r="R1476" s="231">
        <v>778.23</v>
      </c>
      <c r="S1476" s="30">
        <f t="shared" si="8"/>
        <v>126073.26000000001</v>
      </c>
      <c r="T1476" s="89" t="s">
        <v>252</v>
      </c>
      <c r="U1476" s="15"/>
      <c r="V1476" s="44">
        <v>126073.26</v>
      </c>
      <c r="W1476" s="15"/>
      <c r="X1476" s="15"/>
      <c r="Y1476" s="13"/>
      <c r="Z1476" s="15"/>
      <c r="AA1476" s="13"/>
      <c r="AB1476" s="13"/>
      <c r="AC1476" s="49">
        <v>5878858</v>
      </c>
      <c r="AD1476" s="15"/>
      <c r="AE1476" s="145"/>
      <c r="AF1476" s="145"/>
      <c r="AG1476" s="145"/>
      <c r="AH1476" s="145"/>
      <c r="AI1476" s="145"/>
      <c r="AJ1476" s="145"/>
      <c r="AK1476" s="145"/>
      <c r="AL1476" s="145"/>
      <c r="AM1476" s="145"/>
      <c r="AN1476" s="145"/>
      <c r="AO1476" s="145"/>
      <c r="AP1476" s="145"/>
      <c r="AQ1476" s="145"/>
      <c r="AR1476" s="145"/>
      <c r="AS1476" s="145"/>
      <c r="AT1476" s="145"/>
    </row>
    <row r="1477" spans="1:46" ht="45" customHeight="1">
      <c r="A1477" s="21" t="s">
        <v>12833</v>
      </c>
      <c r="B1477" s="47" t="s">
        <v>12834</v>
      </c>
      <c r="C1477" s="197" t="s">
        <v>12835</v>
      </c>
      <c r="D1477" s="49" t="s">
        <v>12836</v>
      </c>
      <c r="E1477" s="49" t="s">
        <v>12837</v>
      </c>
      <c r="F1477" s="49" t="s">
        <v>12837</v>
      </c>
      <c r="G1477" s="49" t="s">
        <v>12838</v>
      </c>
      <c r="H1477" s="49" t="s">
        <v>8418</v>
      </c>
      <c r="I1477" s="49" t="s">
        <v>38</v>
      </c>
      <c r="J1477" s="49" t="s">
        <v>12838</v>
      </c>
      <c r="K1477" s="49" t="s">
        <v>8418</v>
      </c>
      <c r="L1477" s="49" t="s">
        <v>38</v>
      </c>
      <c r="M1477" s="49" t="s">
        <v>12839</v>
      </c>
      <c r="N1477" s="49" t="s">
        <v>12840</v>
      </c>
      <c r="O1477" s="15"/>
      <c r="P1477" s="49" t="s">
        <v>12841</v>
      </c>
      <c r="Q1477" s="49" t="s">
        <v>12842</v>
      </c>
      <c r="R1477" s="231">
        <v>4192.17</v>
      </c>
      <c r="S1477" s="30">
        <f t="shared" si="8"/>
        <v>679131.54</v>
      </c>
      <c r="T1477" s="89" t="s">
        <v>105</v>
      </c>
      <c r="U1477" s="15"/>
      <c r="V1477" s="44">
        <v>679131.54</v>
      </c>
      <c r="W1477" s="15"/>
      <c r="X1477" s="15"/>
      <c r="Y1477" s="13"/>
      <c r="Z1477" s="15"/>
      <c r="AA1477" s="13"/>
      <c r="AB1477" s="13"/>
      <c r="AC1477" s="49">
        <v>5905782</v>
      </c>
      <c r="AD1477" s="15"/>
      <c r="AE1477" s="145"/>
      <c r="AF1477" s="145"/>
      <c r="AG1477" s="145"/>
      <c r="AH1477" s="145"/>
      <c r="AI1477" s="145"/>
      <c r="AJ1477" s="145"/>
      <c r="AK1477" s="145"/>
      <c r="AL1477" s="145"/>
      <c r="AM1477" s="145"/>
      <c r="AN1477" s="145"/>
      <c r="AO1477" s="145"/>
      <c r="AP1477" s="145"/>
      <c r="AQ1477" s="145"/>
      <c r="AR1477" s="145"/>
      <c r="AS1477" s="145"/>
      <c r="AT1477" s="145"/>
    </row>
    <row r="1478" spans="1:46" ht="45" customHeight="1">
      <c r="A1478" s="21" t="s">
        <v>12843</v>
      </c>
      <c r="B1478" s="47" t="s">
        <v>12844</v>
      </c>
      <c r="C1478" s="197" t="s">
        <v>12845</v>
      </c>
      <c r="D1478" s="49" t="s">
        <v>12846</v>
      </c>
      <c r="E1478" s="49" t="s">
        <v>12847</v>
      </c>
      <c r="F1478" s="49" t="s">
        <v>12847</v>
      </c>
      <c r="G1478" s="49" t="s">
        <v>12848</v>
      </c>
      <c r="H1478" s="15"/>
      <c r="I1478" s="49" t="s">
        <v>52</v>
      </c>
      <c r="J1478" s="49" t="s">
        <v>12849</v>
      </c>
      <c r="K1478" s="49" t="s">
        <v>12850</v>
      </c>
      <c r="L1478" s="49" t="s">
        <v>38</v>
      </c>
      <c r="M1478" s="49" t="s">
        <v>12851</v>
      </c>
      <c r="N1478" s="49" t="s">
        <v>12852</v>
      </c>
      <c r="O1478" s="15"/>
      <c r="P1478" s="49" t="s">
        <v>44</v>
      </c>
      <c r="Q1478" s="49" t="s">
        <v>12853</v>
      </c>
      <c r="R1478" s="231">
        <v>21.16</v>
      </c>
      <c r="S1478" s="30">
        <f t="shared" si="8"/>
        <v>3427.92</v>
      </c>
      <c r="T1478" s="89" t="s">
        <v>46</v>
      </c>
      <c r="U1478" s="15"/>
      <c r="V1478" s="44">
        <v>44610</v>
      </c>
      <c r="W1478" s="15"/>
      <c r="X1478" s="15"/>
      <c r="Y1478" s="13"/>
      <c r="Z1478" s="15"/>
      <c r="AA1478" s="13"/>
      <c r="AB1478" s="13"/>
      <c r="AC1478" s="49">
        <v>5957064</v>
      </c>
      <c r="AD1478" s="15"/>
      <c r="AE1478" s="145"/>
      <c r="AF1478" s="145"/>
      <c r="AG1478" s="145"/>
      <c r="AH1478" s="145"/>
      <c r="AI1478" s="145"/>
      <c r="AJ1478" s="145"/>
      <c r="AK1478" s="145"/>
      <c r="AL1478" s="145"/>
      <c r="AM1478" s="145"/>
      <c r="AN1478" s="145"/>
      <c r="AO1478" s="145"/>
      <c r="AP1478" s="145"/>
      <c r="AQ1478" s="145"/>
      <c r="AR1478" s="145"/>
      <c r="AS1478" s="145"/>
      <c r="AT1478" s="145"/>
    </row>
    <row r="1479" spans="1:46" ht="45" customHeight="1">
      <c r="A1479" s="21" t="s">
        <v>12854</v>
      </c>
      <c r="B1479" s="47" t="s">
        <v>12855</v>
      </c>
      <c r="C1479" s="197" t="s">
        <v>12856</v>
      </c>
      <c r="D1479" s="49" t="s">
        <v>12857</v>
      </c>
      <c r="E1479" s="49" t="s">
        <v>12858</v>
      </c>
      <c r="F1479" s="49" t="s">
        <v>12858</v>
      </c>
      <c r="G1479" s="49" t="s">
        <v>12859</v>
      </c>
      <c r="H1479" s="49" t="s">
        <v>12860</v>
      </c>
      <c r="I1479" s="49" t="s">
        <v>52</v>
      </c>
      <c r="J1479" s="49" t="s">
        <v>12861</v>
      </c>
      <c r="K1479" s="15"/>
      <c r="L1479" s="49" t="s">
        <v>41</v>
      </c>
      <c r="M1479" s="49" t="s">
        <v>12862</v>
      </c>
      <c r="N1479" s="49">
        <v>2617170385</v>
      </c>
      <c r="O1479" s="15"/>
      <c r="P1479" s="49" t="s">
        <v>44</v>
      </c>
      <c r="Q1479" s="49" t="s">
        <v>12863</v>
      </c>
      <c r="R1479" s="231">
        <v>562.92999999999995</v>
      </c>
      <c r="S1479" s="30">
        <f t="shared" si="8"/>
        <v>91194.659999999989</v>
      </c>
      <c r="T1479" s="89" t="s">
        <v>46</v>
      </c>
      <c r="U1479" s="15"/>
      <c r="V1479" s="44">
        <v>91194.66</v>
      </c>
      <c r="W1479" s="15"/>
      <c r="X1479" s="15"/>
      <c r="Y1479" s="13"/>
      <c r="Z1479" s="15"/>
      <c r="AA1479" s="13"/>
      <c r="AB1479" s="13"/>
      <c r="AC1479" s="49">
        <v>5897578</v>
      </c>
      <c r="AD1479" s="15"/>
      <c r="AE1479" s="145"/>
      <c r="AF1479" s="145"/>
      <c r="AG1479" s="145"/>
      <c r="AH1479" s="145"/>
      <c r="AI1479" s="145"/>
      <c r="AJ1479" s="145"/>
      <c r="AK1479" s="145"/>
      <c r="AL1479" s="145"/>
      <c r="AM1479" s="145"/>
      <c r="AN1479" s="145"/>
      <c r="AO1479" s="145"/>
      <c r="AP1479" s="145"/>
      <c r="AQ1479" s="145"/>
      <c r="AR1479" s="145"/>
      <c r="AS1479" s="145"/>
      <c r="AT1479" s="145"/>
    </row>
    <row r="1480" spans="1:46" ht="45" customHeight="1">
      <c r="A1480" s="21" t="s">
        <v>12864</v>
      </c>
      <c r="B1480" s="47" t="s">
        <v>12865</v>
      </c>
      <c r="C1480" s="197" t="s">
        <v>12866</v>
      </c>
      <c r="D1480" s="49" t="s">
        <v>12867</v>
      </c>
      <c r="E1480" s="49" t="s">
        <v>8225</v>
      </c>
      <c r="F1480" s="49" t="s">
        <v>8225</v>
      </c>
      <c r="G1480" s="49" t="s">
        <v>12868</v>
      </c>
      <c r="H1480" s="49" t="s">
        <v>12869</v>
      </c>
      <c r="I1480" s="49" t="s">
        <v>41</v>
      </c>
      <c r="J1480" s="49" t="s">
        <v>12868</v>
      </c>
      <c r="K1480" s="49" t="s">
        <v>12869</v>
      </c>
      <c r="L1480" s="49" t="s">
        <v>41</v>
      </c>
      <c r="M1480" s="49" t="s">
        <v>12870</v>
      </c>
      <c r="N1480" s="49">
        <v>2604061949</v>
      </c>
      <c r="O1480" s="15"/>
      <c r="P1480" s="49" t="s">
        <v>117</v>
      </c>
      <c r="Q1480" s="49" t="s">
        <v>12871</v>
      </c>
      <c r="R1480" s="231">
        <v>369.37</v>
      </c>
      <c r="S1480" s="30">
        <f t="shared" si="8"/>
        <v>59837.94</v>
      </c>
      <c r="T1480" s="89" t="s">
        <v>46</v>
      </c>
      <c r="U1480" s="15"/>
      <c r="V1480" s="44">
        <v>59837.94</v>
      </c>
      <c r="W1480" s="15"/>
      <c r="X1480" s="15"/>
      <c r="Y1480" s="13"/>
      <c r="Z1480" s="15"/>
      <c r="AA1480" s="13"/>
      <c r="AB1480" s="13"/>
      <c r="AC1480" s="49">
        <v>5784135</v>
      </c>
      <c r="AD1480" s="15"/>
      <c r="AE1480" s="145"/>
      <c r="AF1480" s="145"/>
      <c r="AG1480" s="145"/>
      <c r="AH1480" s="145"/>
      <c r="AI1480" s="145"/>
      <c r="AJ1480" s="145"/>
      <c r="AK1480" s="145"/>
      <c r="AL1480" s="145"/>
      <c r="AM1480" s="145"/>
      <c r="AN1480" s="145"/>
      <c r="AO1480" s="145"/>
      <c r="AP1480" s="145"/>
      <c r="AQ1480" s="145"/>
      <c r="AR1480" s="145"/>
      <c r="AS1480" s="145"/>
      <c r="AT1480" s="145"/>
    </row>
    <row r="1481" spans="1:46" ht="45" customHeight="1">
      <c r="A1481" s="21" t="s">
        <v>12872</v>
      </c>
      <c r="B1481" s="47" t="s">
        <v>12873</v>
      </c>
      <c r="C1481" s="197" t="s">
        <v>12874</v>
      </c>
      <c r="D1481" s="49" t="s">
        <v>179</v>
      </c>
      <c r="E1481" s="49" t="s">
        <v>12875</v>
      </c>
      <c r="F1481" s="49" t="s">
        <v>9290</v>
      </c>
      <c r="G1481" s="49" t="s">
        <v>12876</v>
      </c>
      <c r="H1481" s="49" t="s">
        <v>12877</v>
      </c>
      <c r="I1481" s="49" t="s">
        <v>115</v>
      </c>
      <c r="J1481" s="49" t="s">
        <v>12876</v>
      </c>
      <c r="K1481" s="49" t="s">
        <v>12877</v>
      </c>
      <c r="L1481" s="49" t="s">
        <v>115</v>
      </c>
      <c r="M1481" s="49" t="s">
        <v>12878</v>
      </c>
      <c r="N1481" s="49">
        <v>2614979775</v>
      </c>
      <c r="O1481" s="15"/>
      <c r="P1481" s="49" t="s">
        <v>94</v>
      </c>
      <c r="Q1481" s="49" t="s">
        <v>12879</v>
      </c>
      <c r="R1481" s="231">
        <v>221.17</v>
      </c>
      <c r="S1481" s="30">
        <f t="shared" si="8"/>
        <v>35829.54</v>
      </c>
      <c r="T1481" s="89" t="s">
        <v>46</v>
      </c>
      <c r="U1481" s="15"/>
      <c r="V1481" s="44">
        <v>44610</v>
      </c>
      <c r="W1481" s="49" t="s">
        <v>71</v>
      </c>
      <c r="X1481" s="15"/>
      <c r="Y1481" s="13"/>
      <c r="Z1481" s="15"/>
      <c r="AA1481" s="13"/>
      <c r="AB1481" s="13"/>
      <c r="AC1481" s="49">
        <v>6013956</v>
      </c>
      <c r="AD1481" s="49">
        <v>6474437</v>
      </c>
      <c r="AE1481" s="145"/>
      <c r="AF1481" s="145"/>
      <c r="AG1481" s="145"/>
      <c r="AH1481" s="145"/>
      <c r="AI1481" s="145"/>
      <c r="AJ1481" s="145"/>
      <c r="AK1481" s="145"/>
      <c r="AL1481" s="145"/>
      <c r="AM1481" s="145"/>
      <c r="AN1481" s="145"/>
      <c r="AO1481" s="145"/>
      <c r="AP1481" s="145"/>
      <c r="AQ1481" s="145"/>
      <c r="AR1481" s="145"/>
      <c r="AS1481" s="145"/>
      <c r="AT1481" s="145"/>
    </row>
    <row r="1482" spans="1:46" ht="45" customHeight="1">
      <c r="A1482" s="21" t="s">
        <v>12880</v>
      </c>
      <c r="B1482" s="47" t="s">
        <v>12881</v>
      </c>
      <c r="C1482" s="197" t="s">
        <v>12882</v>
      </c>
      <c r="D1482" s="49" t="s">
        <v>12883</v>
      </c>
      <c r="E1482" s="49" t="s">
        <v>12884</v>
      </c>
      <c r="F1482" s="49" t="s">
        <v>12884</v>
      </c>
      <c r="G1482" s="49" t="s">
        <v>12885</v>
      </c>
      <c r="H1482" s="49" t="s">
        <v>12886</v>
      </c>
      <c r="I1482" s="49" t="s">
        <v>2325</v>
      </c>
      <c r="J1482" s="49" t="s">
        <v>12887</v>
      </c>
      <c r="K1482" s="49" t="s">
        <v>9198</v>
      </c>
      <c r="L1482" s="49" t="s">
        <v>65</v>
      </c>
      <c r="M1482" s="49" t="s">
        <v>12888</v>
      </c>
      <c r="N1482" s="49">
        <v>2614687801</v>
      </c>
      <c r="O1482" s="15"/>
      <c r="P1482" s="49" t="s">
        <v>44</v>
      </c>
      <c r="Q1482" s="49" t="s">
        <v>12889</v>
      </c>
      <c r="R1482" s="231">
        <v>49.88</v>
      </c>
      <c r="S1482" s="30">
        <f t="shared" si="8"/>
        <v>8080.56</v>
      </c>
      <c r="T1482" s="89" t="s">
        <v>46</v>
      </c>
      <c r="U1482" s="15"/>
      <c r="V1482" s="44">
        <v>44610</v>
      </c>
      <c r="W1482" s="15"/>
      <c r="X1482" s="15"/>
      <c r="Y1482" s="13"/>
      <c r="Z1482" s="15"/>
      <c r="AA1482" s="13"/>
      <c r="AB1482" s="13"/>
      <c r="AC1482" s="49">
        <v>5871148</v>
      </c>
      <c r="AD1482" s="15"/>
      <c r="AE1482" s="145"/>
      <c r="AF1482" s="145"/>
      <c r="AG1482" s="145"/>
      <c r="AH1482" s="145"/>
      <c r="AI1482" s="145"/>
      <c r="AJ1482" s="145"/>
      <c r="AK1482" s="145"/>
      <c r="AL1482" s="145"/>
      <c r="AM1482" s="145"/>
      <c r="AN1482" s="145"/>
      <c r="AO1482" s="145"/>
      <c r="AP1482" s="145"/>
      <c r="AQ1482" s="145"/>
      <c r="AR1482" s="145"/>
      <c r="AS1482" s="145"/>
      <c r="AT1482" s="145"/>
    </row>
    <row r="1483" spans="1:46" ht="45" customHeight="1">
      <c r="A1483" s="21" t="s">
        <v>12890</v>
      </c>
      <c r="B1483" s="47" t="s">
        <v>12891</v>
      </c>
      <c r="C1483" s="197" t="s">
        <v>12892</v>
      </c>
      <c r="D1483" s="49" t="s">
        <v>12893</v>
      </c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226"/>
      <c r="S1483" s="30">
        <f t="shared" si="8"/>
        <v>0</v>
      </c>
      <c r="T1483" s="12"/>
      <c r="U1483" s="15"/>
      <c r="V1483" s="30"/>
      <c r="W1483" s="15"/>
      <c r="X1483" s="15"/>
      <c r="Y1483" s="13"/>
      <c r="Z1483" s="15"/>
      <c r="AA1483" s="13"/>
      <c r="AB1483" s="13"/>
      <c r="AC1483" s="15"/>
      <c r="AD1483" s="15"/>
      <c r="AE1483" s="145"/>
      <c r="AF1483" s="145"/>
      <c r="AG1483" s="145"/>
      <c r="AH1483" s="145"/>
      <c r="AI1483" s="145"/>
      <c r="AJ1483" s="145"/>
      <c r="AK1483" s="145"/>
      <c r="AL1483" s="145"/>
      <c r="AM1483" s="145"/>
      <c r="AN1483" s="145"/>
      <c r="AO1483" s="145"/>
      <c r="AP1483" s="145"/>
      <c r="AQ1483" s="145"/>
      <c r="AR1483" s="145"/>
      <c r="AS1483" s="145"/>
      <c r="AT1483" s="145"/>
    </row>
    <row r="1484" spans="1:46" ht="45" customHeight="1">
      <c r="A1484" s="21" t="s">
        <v>12894</v>
      </c>
      <c r="B1484" s="47" t="s">
        <v>12895</v>
      </c>
      <c r="C1484" s="197" t="s">
        <v>12896</v>
      </c>
      <c r="D1484" s="49" t="s">
        <v>8814</v>
      </c>
      <c r="E1484" s="49" t="s">
        <v>12897</v>
      </c>
      <c r="F1484" s="49" t="s">
        <v>12897</v>
      </c>
      <c r="G1484" s="49" t="s">
        <v>12898</v>
      </c>
      <c r="H1484" s="15"/>
      <c r="I1484" s="49" t="s">
        <v>38</v>
      </c>
      <c r="J1484" s="49" t="s">
        <v>12899</v>
      </c>
      <c r="K1484" s="15"/>
      <c r="L1484" s="49" t="s">
        <v>1279</v>
      </c>
      <c r="M1484" s="49" t="s">
        <v>12900</v>
      </c>
      <c r="N1484" s="49" t="s">
        <v>12901</v>
      </c>
      <c r="O1484" s="15"/>
      <c r="P1484" s="49" t="s">
        <v>117</v>
      </c>
      <c r="Q1484" s="49" t="s">
        <v>12902</v>
      </c>
      <c r="R1484" s="231">
        <v>17281.689999999999</v>
      </c>
      <c r="S1484" s="30">
        <f t="shared" si="8"/>
        <v>2799633.78</v>
      </c>
      <c r="T1484" s="89" t="s">
        <v>70</v>
      </c>
      <c r="U1484" s="15"/>
      <c r="V1484" s="44">
        <v>2799633.38</v>
      </c>
      <c r="W1484" s="15"/>
      <c r="X1484" s="15"/>
      <c r="Y1484" s="13"/>
      <c r="Z1484" s="15"/>
      <c r="AA1484" s="13"/>
      <c r="AB1484" s="13"/>
      <c r="AC1484" s="49">
        <v>6062220</v>
      </c>
      <c r="AD1484" s="15"/>
      <c r="AE1484" s="145"/>
      <c r="AF1484" s="145"/>
      <c r="AG1484" s="145"/>
      <c r="AH1484" s="145"/>
      <c r="AI1484" s="145"/>
      <c r="AJ1484" s="145"/>
      <c r="AK1484" s="145"/>
      <c r="AL1484" s="145"/>
      <c r="AM1484" s="145"/>
      <c r="AN1484" s="145"/>
      <c r="AO1484" s="145"/>
      <c r="AP1484" s="145"/>
      <c r="AQ1484" s="145"/>
      <c r="AR1484" s="145"/>
      <c r="AS1484" s="145"/>
      <c r="AT1484" s="145"/>
    </row>
    <row r="1485" spans="1:46" ht="45" customHeight="1">
      <c r="A1485" s="21" t="s">
        <v>12903</v>
      </c>
      <c r="B1485" s="47" t="s">
        <v>12904</v>
      </c>
      <c r="C1485" s="197" t="s">
        <v>10782</v>
      </c>
      <c r="D1485" s="49" t="s">
        <v>10783</v>
      </c>
      <c r="E1485" s="49" t="s">
        <v>12905</v>
      </c>
      <c r="F1485" s="49" t="s">
        <v>12905</v>
      </c>
      <c r="G1485" s="49" t="s">
        <v>12906</v>
      </c>
      <c r="H1485" s="49" t="s">
        <v>12907</v>
      </c>
      <c r="I1485" s="49" t="s">
        <v>2652</v>
      </c>
      <c r="J1485" s="49" t="s">
        <v>12906</v>
      </c>
      <c r="K1485" s="49" t="s">
        <v>12907</v>
      </c>
      <c r="L1485" s="49" t="s">
        <v>2652</v>
      </c>
      <c r="M1485" s="49" t="s">
        <v>12908</v>
      </c>
      <c r="N1485" s="49">
        <v>4204467</v>
      </c>
      <c r="O1485" s="15"/>
      <c r="P1485" s="49" t="s">
        <v>12909</v>
      </c>
      <c r="Q1485" s="49" t="s">
        <v>12910</v>
      </c>
      <c r="R1485" s="231" t="s">
        <v>770</v>
      </c>
      <c r="S1485" s="30" t="e">
        <f t="shared" si="8"/>
        <v>#VALUE!</v>
      </c>
      <c r="T1485" s="89" t="s">
        <v>12707</v>
      </c>
      <c r="U1485" s="15"/>
      <c r="V1485" s="30"/>
      <c r="W1485" s="15"/>
      <c r="X1485" s="15"/>
      <c r="Y1485" s="13"/>
      <c r="Z1485" s="15"/>
      <c r="AA1485" s="13"/>
      <c r="AB1485" s="13"/>
      <c r="AC1485" s="49">
        <v>6012538</v>
      </c>
      <c r="AD1485" s="15"/>
      <c r="AE1485" s="145"/>
      <c r="AF1485" s="145"/>
      <c r="AG1485" s="145"/>
      <c r="AH1485" s="145"/>
      <c r="AI1485" s="145"/>
      <c r="AJ1485" s="145"/>
      <c r="AK1485" s="145"/>
      <c r="AL1485" s="145"/>
      <c r="AM1485" s="145"/>
      <c r="AN1485" s="145"/>
      <c r="AO1485" s="145"/>
      <c r="AP1485" s="145"/>
      <c r="AQ1485" s="145"/>
      <c r="AR1485" s="145"/>
      <c r="AS1485" s="145"/>
      <c r="AT1485" s="145"/>
    </row>
    <row r="1486" spans="1:46" ht="45" customHeight="1">
      <c r="A1486" s="79" t="s">
        <v>12911</v>
      </c>
      <c r="B1486" s="235" t="s">
        <v>12912</v>
      </c>
      <c r="C1486" s="236" t="s">
        <v>12913</v>
      </c>
      <c r="D1486" s="167" t="s">
        <v>12914</v>
      </c>
      <c r="E1486" s="167" t="s">
        <v>12915</v>
      </c>
      <c r="F1486" s="167" t="s">
        <v>12915</v>
      </c>
      <c r="G1486" s="167" t="s">
        <v>12916</v>
      </c>
      <c r="H1486" s="82"/>
      <c r="I1486" s="167" t="s">
        <v>7704</v>
      </c>
      <c r="J1486" s="167" t="s">
        <v>12916</v>
      </c>
      <c r="K1486" s="82"/>
      <c r="L1486" s="167" t="s">
        <v>7704</v>
      </c>
      <c r="M1486" s="167" t="s">
        <v>12917</v>
      </c>
      <c r="N1486" s="167" t="s">
        <v>12918</v>
      </c>
      <c r="O1486" s="82"/>
      <c r="P1486" s="167" t="s">
        <v>12919</v>
      </c>
      <c r="Q1486" s="167" t="s">
        <v>12920</v>
      </c>
      <c r="R1486" s="237" t="s">
        <v>770</v>
      </c>
      <c r="S1486" s="86" t="e">
        <f t="shared" si="8"/>
        <v>#VALUE!</v>
      </c>
      <c r="T1486" s="87" t="s">
        <v>12707</v>
      </c>
      <c r="U1486" s="82"/>
      <c r="V1486" s="86"/>
      <c r="W1486" s="82"/>
      <c r="X1486" s="82"/>
      <c r="Y1486" s="80"/>
      <c r="Z1486" s="82"/>
      <c r="AA1486" s="80"/>
      <c r="AB1486" s="80"/>
      <c r="AC1486" s="167">
        <v>6119253</v>
      </c>
      <c r="AD1486" s="82"/>
      <c r="AE1486" s="175"/>
      <c r="AF1486" s="175"/>
      <c r="AG1486" s="175"/>
      <c r="AH1486" s="175"/>
      <c r="AI1486" s="175"/>
      <c r="AJ1486" s="175"/>
      <c r="AK1486" s="175"/>
      <c r="AL1486" s="175"/>
      <c r="AM1486" s="175"/>
      <c r="AN1486" s="175"/>
      <c r="AO1486" s="175"/>
      <c r="AP1486" s="175"/>
      <c r="AQ1486" s="175"/>
      <c r="AR1486" s="175"/>
      <c r="AS1486" s="175"/>
      <c r="AT1486" s="175"/>
    </row>
    <row r="1487" spans="1:46" ht="45" customHeight="1">
      <c r="A1487" s="21" t="s">
        <v>12921</v>
      </c>
      <c r="B1487" s="47" t="s">
        <v>12922</v>
      </c>
      <c r="C1487" s="197" t="s">
        <v>12923</v>
      </c>
      <c r="D1487" s="49" t="s">
        <v>12924</v>
      </c>
      <c r="E1487" s="49" t="s">
        <v>7485</v>
      </c>
      <c r="F1487" s="49" t="s">
        <v>7485</v>
      </c>
      <c r="G1487" s="49" t="s">
        <v>12925</v>
      </c>
      <c r="H1487" s="15"/>
      <c r="I1487" s="49" t="s">
        <v>149</v>
      </c>
      <c r="J1487" s="49" t="s">
        <v>12925</v>
      </c>
      <c r="K1487" s="15"/>
      <c r="L1487" s="49" t="s">
        <v>149</v>
      </c>
      <c r="M1487" s="49" t="s">
        <v>12926</v>
      </c>
      <c r="N1487" s="49" t="s">
        <v>12927</v>
      </c>
      <c r="O1487" s="15"/>
      <c r="P1487" s="49" t="s">
        <v>12928</v>
      </c>
      <c r="Q1487" s="49" t="s">
        <v>12929</v>
      </c>
      <c r="R1487" s="231">
        <v>172.72</v>
      </c>
      <c r="S1487" s="30">
        <f t="shared" si="8"/>
        <v>27980.639999999999</v>
      </c>
      <c r="T1487" s="89" t="s">
        <v>46</v>
      </c>
      <c r="U1487" s="15"/>
      <c r="V1487" s="44">
        <v>44610</v>
      </c>
      <c r="W1487" s="15"/>
      <c r="X1487" s="15"/>
      <c r="Y1487" s="13"/>
      <c r="Z1487" s="15"/>
      <c r="AA1487" s="13"/>
      <c r="AB1487" s="13"/>
      <c r="AC1487" s="49">
        <v>6091207</v>
      </c>
      <c r="AD1487" s="15"/>
      <c r="AE1487" s="145"/>
      <c r="AF1487" s="145"/>
      <c r="AG1487" s="145"/>
      <c r="AH1487" s="145"/>
      <c r="AI1487" s="145"/>
      <c r="AJ1487" s="145"/>
      <c r="AK1487" s="145"/>
      <c r="AL1487" s="145"/>
      <c r="AM1487" s="145"/>
      <c r="AN1487" s="145"/>
      <c r="AO1487" s="145"/>
      <c r="AP1487" s="145"/>
      <c r="AQ1487" s="145"/>
      <c r="AR1487" s="145"/>
      <c r="AS1487" s="145"/>
      <c r="AT1487" s="145"/>
    </row>
    <row r="1488" spans="1:46" ht="45" customHeight="1">
      <c r="A1488" s="21" t="s">
        <v>12930</v>
      </c>
      <c r="B1488" s="47" t="s">
        <v>12931</v>
      </c>
      <c r="C1488" s="197" t="s">
        <v>12932</v>
      </c>
      <c r="D1488" s="49" t="s">
        <v>12933</v>
      </c>
      <c r="E1488" s="49" t="s">
        <v>9806</v>
      </c>
      <c r="F1488" s="49" t="s">
        <v>9806</v>
      </c>
      <c r="G1488" s="49" t="s">
        <v>12934</v>
      </c>
      <c r="H1488" s="49" t="s">
        <v>12935</v>
      </c>
      <c r="I1488" s="49" t="s">
        <v>2325</v>
      </c>
      <c r="J1488" s="49" t="s">
        <v>12934</v>
      </c>
      <c r="K1488" s="49" t="s">
        <v>12935</v>
      </c>
      <c r="L1488" s="49" t="s">
        <v>2325</v>
      </c>
      <c r="M1488" s="49" t="s">
        <v>12936</v>
      </c>
      <c r="N1488" s="49">
        <v>2613381779</v>
      </c>
      <c r="O1488" s="15"/>
      <c r="P1488" s="49" t="s">
        <v>44</v>
      </c>
      <c r="Q1488" s="49" t="s">
        <v>12937</v>
      </c>
      <c r="R1488" s="231">
        <v>915.01</v>
      </c>
      <c r="S1488" s="30">
        <f t="shared" si="8"/>
        <v>148231.62</v>
      </c>
      <c r="T1488" s="89" t="s">
        <v>252</v>
      </c>
      <c r="U1488" s="15"/>
      <c r="V1488" s="44">
        <v>148231.62</v>
      </c>
      <c r="W1488" s="15"/>
      <c r="X1488" s="15"/>
      <c r="Y1488" s="13"/>
      <c r="Z1488" s="15"/>
      <c r="AA1488" s="13"/>
      <c r="AB1488" s="13"/>
      <c r="AC1488" s="49">
        <v>6119912</v>
      </c>
      <c r="AD1488" s="15"/>
      <c r="AE1488" s="145"/>
      <c r="AF1488" s="145"/>
      <c r="AG1488" s="145"/>
      <c r="AH1488" s="145"/>
      <c r="AI1488" s="145"/>
      <c r="AJ1488" s="145"/>
      <c r="AK1488" s="145"/>
      <c r="AL1488" s="145"/>
      <c r="AM1488" s="145"/>
      <c r="AN1488" s="145"/>
      <c r="AO1488" s="145"/>
      <c r="AP1488" s="145"/>
      <c r="AQ1488" s="145"/>
      <c r="AR1488" s="145"/>
      <c r="AS1488" s="145"/>
      <c r="AT1488" s="145"/>
    </row>
    <row r="1489" spans="1:46" ht="45" customHeight="1">
      <c r="A1489" s="21" t="s">
        <v>12938</v>
      </c>
      <c r="B1489" s="47" t="s">
        <v>12939</v>
      </c>
      <c r="C1489" s="197" t="s">
        <v>12940</v>
      </c>
      <c r="D1489" s="49" t="s">
        <v>3645</v>
      </c>
      <c r="E1489" s="49" t="s">
        <v>8435</v>
      </c>
      <c r="F1489" s="74" t="s">
        <v>8435</v>
      </c>
      <c r="G1489" s="74" t="s">
        <v>12941</v>
      </c>
      <c r="H1489" s="74" t="s">
        <v>9426</v>
      </c>
      <c r="I1489" s="74" t="s">
        <v>38</v>
      </c>
      <c r="J1489" s="74" t="s">
        <v>12942</v>
      </c>
      <c r="K1489" s="74" t="s">
        <v>12943</v>
      </c>
      <c r="L1489" s="74" t="s">
        <v>2691</v>
      </c>
      <c r="M1489" s="74" t="s">
        <v>3648</v>
      </c>
      <c r="N1489" s="74" t="s">
        <v>3649</v>
      </c>
      <c r="O1489" s="145"/>
      <c r="P1489" s="74" t="s">
        <v>3793</v>
      </c>
      <c r="Q1489" s="74" t="s">
        <v>12944</v>
      </c>
      <c r="R1489" s="231">
        <v>69.19</v>
      </c>
      <c r="S1489" s="30">
        <f t="shared" si="8"/>
        <v>11208.779999999999</v>
      </c>
      <c r="T1489" s="89" t="s">
        <v>46</v>
      </c>
      <c r="U1489" s="145"/>
      <c r="V1489" s="44">
        <v>44610</v>
      </c>
      <c r="W1489" s="145"/>
      <c r="X1489" s="145"/>
      <c r="Y1489" s="94"/>
      <c r="Z1489" s="145"/>
      <c r="AA1489" s="13"/>
      <c r="AB1489" s="94"/>
      <c r="AC1489" s="74">
        <v>6125071</v>
      </c>
      <c r="AD1489" s="145"/>
      <c r="AE1489" s="145"/>
      <c r="AF1489" s="145"/>
      <c r="AG1489" s="145"/>
      <c r="AH1489" s="145"/>
      <c r="AI1489" s="145"/>
      <c r="AJ1489" s="145"/>
      <c r="AK1489" s="145"/>
      <c r="AL1489" s="145"/>
      <c r="AM1489" s="145"/>
      <c r="AN1489" s="145"/>
      <c r="AO1489" s="145"/>
      <c r="AP1489" s="145"/>
      <c r="AQ1489" s="145"/>
      <c r="AR1489" s="145"/>
      <c r="AS1489" s="145"/>
      <c r="AT1489" s="145"/>
    </row>
    <row r="1490" spans="1:46" ht="45" customHeight="1">
      <c r="A1490" s="21" t="s">
        <v>12945</v>
      </c>
      <c r="B1490" s="47" t="s">
        <v>12946</v>
      </c>
      <c r="C1490" s="197" t="s">
        <v>12947</v>
      </c>
      <c r="D1490" s="49" t="s">
        <v>4527</v>
      </c>
      <c r="E1490" s="49" t="s">
        <v>11594</v>
      </c>
      <c r="F1490" s="74" t="s">
        <v>11594</v>
      </c>
      <c r="G1490" s="74" t="s">
        <v>12948</v>
      </c>
      <c r="H1490" s="74" t="s">
        <v>12949</v>
      </c>
      <c r="I1490" s="74" t="s">
        <v>2652</v>
      </c>
      <c r="J1490" s="74" t="s">
        <v>12950</v>
      </c>
      <c r="K1490" s="145"/>
      <c r="L1490" s="74" t="s">
        <v>1058</v>
      </c>
      <c r="M1490" s="74" t="s">
        <v>12951</v>
      </c>
      <c r="N1490" s="74" t="s">
        <v>12952</v>
      </c>
      <c r="O1490" s="145"/>
      <c r="P1490" s="74" t="s">
        <v>94</v>
      </c>
      <c r="Q1490" s="74" t="s">
        <v>12953</v>
      </c>
      <c r="R1490" s="231">
        <v>4823.58</v>
      </c>
      <c r="S1490" s="30">
        <f t="shared" si="8"/>
        <v>781419.96</v>
      </c>
      <c r="T1490" s="89" t="s">
        <v>105</v>
      </c>
      <c r="U1490" s="145"/>
      <c r="V1490" s="44">
        <v>781419.96</v>
      </c>
      <c r="W1490" s="145"/>
      <c r="X1490" s="145"/>
      <c r="Y1490" s="94"/>
      <c r="Z1490" s="145"/>
      <c r="AA1490" s="13"/>
      <c r="AB1490" s="94"/>
      <c r="AC1490" s="74">
        <v>6182191</v>
      </c>
      <c r="AD1490" s="145"/>
      <c r="AE1490" s="145"/>
      <c r="AF1490" s="145"/>
      <c r="AG1490" s="145"/>
      <c r="AH1490" s="145"/>
      <c r="AI1490" s="145"/>
      <c r="AJ1490" s="145"/>
      <c r="AK1490" s="145"/>
      <c r="AL1490" s="145"/>
      <c r="AM1490" s="145"/>
      <c r="AN1490" s="145"/>
      <c r="AO1490" s="145"/>
      <c r="AP1490" s="145"/>
      <c r="AQ1490" s="145"/>
      <c r="AR1490" s="145"/>
      <c r="AS1490" s="145"/>
      <c r="AT1490" s="145"/>
    </row>
    <row r="1491" spans="1:46" ht="45" customHeight="1">
      <c r="A1491" s="21" t="s">
        <v>12954</v>
      </c>
      <c r="B1491" s="47" t="s">
        <v>12955</v>
      </c>
      <c r="C1491" s="197" t="s">
        <v>12956</v>
      </c>
      <c r="D1491" s="49" t="s">
        <v>12957</v>
      </c>
      <c r="E1491" s="49" t="s">
        <v>12278</v>
      </c>
      <c r="F1491" s="74" t="s">
        <v>12278</v>
      </c>
      <c r="G1491" s="74" t="s">
        <v>12958</v>
      </c>
      <c r="H1491" s="145"/>
      <c r="I1491" s="74" t="s">
        <v>7704</v>
      </c>
      <c r="J1491" s="74" t="s">
        <v>12958</v>
      </c>
      <c r="K1491" s="145"/>
      <c r="L1491" s="74" t="s">
        <v>7704</v>
      </c>
      <c r="M1491" s="74" t="s">
        <v>12959</v>
      </c>
      <c r="N1491" s="74" t="s">
        <v>12960</v>
      </c>
      <c r="O1491" s="145"/>
      <c r="P1491" s="74" t="s">
        <v>44</v>
      </c>
      <c r="Q1491" s="74" t="s">
        <v>12961</v>
      </c>
      <c r="R1491" s="231">
        <v>17.079999999999998</v>
      </c>
      <c r="S1491" s="30">
        <f t="shared" si="8"/>
        <v>2766.9599999999996</v>
      </c>
      <c r="T1491" s="89" t="s">
        <v>46</v>
      </c>
      <c r="U1491" s="145"/>
      <c r="V1491" s="44">
        <v>44610</v>
      </c>
      <c r="W1491" s="145"/>
      <c r="X1491" s="145"/>
      <c r="Y1491" s="94"/>
      <c r="Z1491" s="145"/>
      <c r="AA1491" s="13"/>
      <c r="AB1491" s="94"/>
      <c r="AC1491" s="74">
        <v>6103385</v>
      </c>
      <c r="AD1491" s="145"/>
      <c r="AE1491" s="145"/>
      <c r="AF1491" s="145"/>
      <c r="AG1491" s="145"/>
      <c r="AH1491" s="145"/>
      <c r="AI1491" s="145"/>
      <c r="AJ1491" s="145"/>
      <c r="AK1491" s="145"/>
      <c r="AL1491" s="145"/>
      <c r="AM1491" s="145"/>
      <c r="AN1491" s="145"/>
      <c r="AO1491" s="145"/>
      <c r="AP1491" s="145"/>
      <c r="AQ1491" s="145"/>
      <c r="AR1491" s="145"/>
      <c r="AS1491" s="145"/>
      <c r="AT1491" s="145"/>
    </row>
    <row r="1492" spans="1:46" ht="45" customHeight="1">
      <c r="A1492" s="21" t="s">
        <v>12962</v>
      </c>
      <c r="B1492" s="47" t="s">
        <v>12963</v>
      </c>
      <c r="C1492" s="197" t="s">
        <v>12964</v>
      </c>
      <c r="D1492" s="49" t="s">
        <v>12965</v>
      </c>
      <c r="E1492" s="49" t="s">
        <v>12966</v>
      </c>
      <c r="F1492" s="74" t="s">
        <v>12966</v>
      </c>
      <c r="G1492" s="74" t="s">
        <v>12967</v>
      </c>
      <c r="H1492" s="74" t="s">
        <v>9386</v>
      </c>
      <c r="I1492" s="145"/>
      <c r="J1492" s="74" t="s">
        <v>12967</v>
      </c>
      <c r="K1492" s="74" t="s">
        <v>9386</v>
      </c>
      <c r="L1492" s="74" t="s">
        <v>65</v>
      </c>
      <c r="M1492" s="74" t="s">
        <v>12968</v>
      </c>
      <c r="N1492" s="74">
        <v>2612060667</v>
      </c>
      <c r="O1492" s="145"/>
      <c r="P1492" s="74" t="s">
        <v>94</v>
      </c>
      <c r="Q1492" s="74" t="s">
        <v>12969</v>
      </c>
      <c r="R1492" s="231">
        <v>23.24</v>
      </c>
      <c r="S1492" s="30">
        <f t="shared" si="8"/>
        <v>3764.8799999999997</v>
      </c>
      <c r="T1492" s="89" t="s">
        <v>46</v>
      </c>
      <c r="U1492" s="145"/>
      <c r="V1492" s="44">
        <v>44610</v>
      </c>
      <c r="W1492" s="145"/>
      <c r="X1492" s="145"/>
      <c r="Y1492" s="94"/>
      <c r="Z1492" s="145"/>
      <c r="AA1492" s="13"/>
      <c r="AB1492" s="94"/>
      <c r="AC1492" s="74">
        <v>6185307</v>
      </c>
      <c r="AD1492" s="145"/>
      <c r="AE1492" s="145"/>
      <c r="AF1492" s="145"/>
      <c r="AG1492" s="145"/>
      <c r="AH1492" s="145"/>
      <c r="AI1492" s="145"/>
      <c r="AJ1492" s="145"/>
      <c r="AK1492" s="145"/>
      <c r="AL1492" s="145"/>
      <c r="AM1492" s="145"/>
      <c r="AN1492" s="145"/>
      <c r="AO1492" s="145"/>
      <c r="AP1492" s="145"/>
      <c r="AQ1492" s="145"/>
      <c r="AR1492" s="145"/>
      <c r="AS1492" s="145"/>
      <c r="AT1492" s="145"/>
    </row>
    <row r="1493" spans="1:46" ht="45" customHeight="1">
      <c r="A1493" s="21" t="s">
        <v>12970</v>
      </c>
      <c r="B1493" s="47" t="s">
        <v>12971</v>
      </c>
      <c r="C1493" s="197" t="s">
        <v>12972</v>
      </c>
      <c r="D1493" s="49" t="s">
        <v>12973</v>
      </c>
      <c r="E1493" s="49" t="s">
        <v>12974</v>
      </c>
      <c r="F1493" s="74" t="s">
        <v>12974</v>
      </c>
      <c r="G1493" s="74" t="s">
        <v>12975</v>
      </c>
      <c r="H1493" s="145"/>
      <c r="I1493" s="74" t="s">
        <v>38</v>
      </c>
      <c r="J1493" s="74" t="s">
        <v>12975</v>
      </c>
      <c r="K1493" s="145"/>
      <c r="L1493" s="74" t="s">
        <v>38</v>
      </c>
      <c r="M1493" s="74" t="s">
        <v>12976</v>
      </c>
      <c r="N1493" s="74" t="s">
        <v>12977</v>
      </c>
      <c r="O1493" s="145"/>
      <c r="P1493" s="74" t="s">
        <v>44</v>
      </c>
      <c r="Q1493" s="74" t="s">
        <v>12978</v>
      </c>
      <c r="R1493" s="231">
        <v>105.84</v>
      </c>
      <c r="S1493" s="30">
        <f t="shared" si="8"/>
        <v>17146.080000000002</v>
      </c>
      <c r="T1493" s="89" t="s">
        <v>46</v>
      </c>
      <c r="U1493" s="145"/>
      <c r="V1493" s="44">
        <v>44610</v>
      </c>
      <c r="W1493" s="145"/>
      <c r="X1493" s="145"/>
      <c r="Y1493" s="94"/>
      <c r="Z1493" s="145"/>
      <c r="AA1493" s="13"/>
      <c r="AB1493" s="94"/>
      <c r="AC1493" s="74">
        <v>6187134</v>
      </c>
      <c r="AD1493" s="145"/>
      <c r="AE1493" s="145"/>
      <c r="AF1493" s="145"/>
      <c r="AG1493" s="145"/>
      <c r="AH1493" s="145"/>
      <c r="AI1493" s="145"/>
      <c r="AJ1493" s="145"/>
      <c r="AK1493" s="145"/>
      <c r="AL1493" s="145"/>
      <c r="AM1493" s="145"/>
      <c r="AN1493" s="145"/>
      <c r="AO1493" s="145"/>
      <c r="AP1493" s="145"/>
      <c r="AQ1493" s="145"/>
      <c r="AR1493" s="145"/>
      <c r="AS1493" s="145"/>
      <c r="AT1493" s="145"/>
    </row>
    <row r="1494" spans="1:46" ht="45" customHeight="1">
      <c r="A1494" s="21" t="s">
        <v>12979</v>
      </c>
      <c r="B1494" s="47" t="s">
        <v>12980</v>
      </c>
      <c r="C1494" s="197" t="s">
        <v>12981</v>
      </c>
      <c r="D1494" s="49" t="s">
        <v>12982</v>
      </c>
      <c r="E1494" s="49" t="s">
        <v>12983</v>
      </c>
      <c r="F1494" s="74" t="s">
        <v>12983</v>
      </c>
      <c r="G1494" s="74" t="s">
        <v>12984</v>
      </c>
      <c r="H1494" s="74" t="s">
        <v>1181</v>
      </c>
      <c r="I1494" s="74" t="s">
        <v>80</v>
      </c>
      <c r="J1494" s="74" t="s">
        <v>12984</v>
      </c>
      <c r="K1494" s="74" t="s">
        <v>1181</v>
      </c>
      <c r="L1494" s="74" t="s">
        <v>80</v>
      </c>
      <c r="M1494" s="74" t="s">
        <v>12985</v>
      </c>
      <c r="N1494" s="74">
        <v>2613448949</v>
      </c>
      <c r="O1494" s="145"/>
      <c r="P1494" s="74" t="s">
        <v>44</v>
      </c>
      <c r="Q1494" s="74" t="s">
        <v>12986</v>
      </c>
      <c r="R1494" s="231">
        <v>37.92</v>
      </c>
      <c r="S1494" s="30">
        <f t="shared" si="8"/>
        <v>6143.04</v>
      </c>
      <c r="T1494" s="89" t="s">
        <v>46</v>
      </c>
      <c r="U1494" s="145"/>
      <c r="V1494" s="44">
        <v>44610</v>
      </c>
      <c r="W1494" s="145"/>
      <c r="X1494" s="145"/>
      <c r="Y1494" s="94"/>
      <c r="Z1494" s="145"/>
      <c r="AA1494" s="13"/>
      <c r="AB1494" s="94"/>
      <c r="AC1494" s="74">
        <v>6189541</v>
      </c>
      <c r="AD1494" s="145"/>
      <c r="AE1494" s="145"/>
      <c r="AF1494" s="145"/>
      <c r="AG1494" s="145"/>
      <c r="AH1494" s="145"/>
      <c r="AI1494" s="145"/>
      <c r="AJ1494" s="145"/>
      <c r="AK1494" s="145"/>
      <c r="AL1494" s="145"/>
      <c r="AM1494" s="145"/>
      <c r="AN1494" s="145"/>
      <c r="AO1494" s="145"/>
      <c r="AP1494" s="145"/>
      <c r="AQ1494" s="145"/>
      <c r="AR1494" s="145"/>
      <c r="AS1494" s="145"/>
      <c r="AT1494" s="145"/>
    </row>
    <row r="1495" spans="1:46" ht="45" customHeight="1">
      <c r="A1495" s="21" t="s">
        <v>12987</v>
      </c>
      <c r="B1495" s="47" t="s">
        <v>12988</v>
      </c>
      <c r="C1495" s="197" t="s">
        <v>12989</v>
      </c>
      <c r="D1495" s="49" t="s">
        <v>12990</v>
      </c>
      <c r="E1495" s="49" t="s">
        <v>12991</v>
      </c>
      <c r="F1495" s="74" t="s">
        <v>12991</v>
      </c>
      <c r="G1495" s="74" t="s">
        <v>12992</v>
      </c>
      <c r="H1495" s="145"/>
      <c r="I1495" s="74" t="s">
        <v>41</v>
      </c>
      <c r="J1495" s="74" t="s">
        <v>12992</v>
      </c>
      <c r="K1495" s="145"/>
      <c r="L1495" s="74" t="s">
        <v>41</v>
      </c>
      <c r="M1495" s="74" t="s">
        <v>12993</v>
      </c>
      <c r="N1495" s="74" t="s">
        <v>12994</v>
      </c>
      <c r="O1495" s="145"/>
      <c r="P1495" s="74" t="s">
        <v>1224</v>
      </c>
      <c r="Q1495" s="74" t="s">
        <v>12995</v>
      </c>
      <c r="R1495" s="231">
        <v>338.91</v>
      </c>
      <c r="S1495" s="30">
        <f t="shared" si="8"/>
        <v>54903.420000000006</v>
      </c>
      <c r="T1495" s="89" t="s">
        <v>46</v>
      </c>
      <c r="U1495" s="145"/>
      <c r="V1495" s="44">
        <v>54903.42</v>
      </c>
      <c r="W1495" s="145"/>
      <c r="X1495" s="145"/>
      <c r="Y1495" s="94"/>
      <c r="Z1495" s="145"/>
      <c r="AA1495" s="13"/>
      <c r="AB1495" s="94"/>
      <c r="AC1495" s="74">
        <v>6188963</v>
      </c>
      <c r="AD1495" s="145"/>
      <c r="AE1495" s="145"/>
      <c r="AF1495" s="145"/>
      <c r="AG1495" s="145"/>
      <c r="AH1495" s="145"/>
      <c r="AI1495" s="145"/>
      <c r="AJ1495" s="145"/>
      <c r="AK1495" s="145"/>
      <c r="AL1495" s="145"/>
      <c r="AM1495" s="145"/>
      <c r="AN1495" s="145"/>
      <c r="AO1495" s="145"/>
      <c r="AP1495" s="145"/>
      <c r="AQ1495" s="145"/>
      <c r="AR1495" s="145"/>
      <c r="AS1495" s="145"/>
      <c r="AT1495" s="145"/>
    </row>
    <row r="1496" spans="1:46" ht="45" customHeight="1">
      <c r="A1496" s="21" t="s">
        <v>12996</v>
      </c>
      <c r="B1496" s="47" t="s">
        <v>12997</v>
      </c>
      <c r="C1496" s="197" t="s">
        <v>12998</v>
      </c>
      <c r="D1496" s="49" t="s">
        <v>12999</v>
      </c>
      <c r="E1496" s="15"/>
      <c r="F1496" s="145"/>
      <c r="G1496" s="145"/>
      <c r="H1496" s="145"/>
      <c r="I1496" s="145"/>
      <c r="J1496" s="145"/>
      <c r="K1496" s="145"/>
      <c r="L1496" s="145"/>
      <c r="M1496" s="145"/>
      <c r="N1496" s="145"/>
      <c r="O1496" s="145"/>
      <c r="P1496" s="145"/>
      <c r="Q1496" s="145"/>
      <c r="R1496" s="226"/>
      <c r="S1496" s="30">
        <f t="shared" si="8"/>
        <v>0</v>
      </c>
      <c r="T1496" s="12"/>
      <c r="U1496" s="145"/>
      <c r="V1496" s="30"/>
      <c r="W1496" s="145"/>
      <c r="X1496" s="145"/>
      <c r="Y1496" s="94"/>
      <c r="Z1496" s="145"/>
      <c r="AA1496" s="13"/>
      <c r="AB1496" s="94"/>
      <c r="AC1496" s="145"/>
      <c r="AD1496" s="145"/>
      <c r="AE1496" s="145"/>
      <c r="AF1496" s="145"/>
      <c r="AG1496" s="145"/>
      <c r="AH1496" s="145"/>
      <c r="AI1496" s="145"/>
      <c r="AJ1496" s="145"/>
      <c r="AK1496" s="145"/>
      <c r="AL1496" s="145"/>
      <c r="AM1496" s="145"/>
      <c r="AN1496" s="145"/>
      <c r="AO1496" s="145"/>
      <c r="AP1496" s="145"/>
      <c r="AQ1496" s="145"/>
      <c r="AR1496" s="145"/>
      <c r="AS1496" s="145"/>
      <c r="AT1496" s="145"/>
    </row>
    <row r="1497" spans="1:46" ht="45" customHeight="1">
      <c r="A1497" s="21" t="s">
        <v>13000</v>
      </c>
      <c r="B1497" s="47" t="s">
        <v>13001</v>
      </c>
      <c r="C1497" s="197" t="s">
        <v>13002</v>
      </c>
      <c r="D1497" s="49" t="s">
        <v>13003</v>
      </c>
      <c r="E1497" s="15"/>
      <c r="F1497" s="145"/>
      <c r="G1497" s="145"/>
      <c r="H1497" s="145"/>
      <c r="I1497" s="145"/>
      <c r="J1497" s="145"/>
      <c r="K1497" s="145"/>
      <c r="L1497" s="145"/>
      <c r="M1497" s="145"/>
      <c r="N1497" s="145"/>
      <c r="O1497" s="145"/>
      <c r="P1497" s="145"/>
      <c r="Q1497" s="145"/>
      <c r="R1497" s="226"/>
      <c r="S1497" s="30">
        <f t="shared" si="8"/>
        <v>0</v>
      </c>
      <c r="T1497" s="12"/>
      <c r="U1497" s="145"/>
      <c r="V1497" s="30"/>
      <c r="W1497" s="145"/>
      <c r="X1497" s="145"/>
      <c r="Y1497" s="94"/>
      <c r="Z1497" s="145"/>
      <c r="AA1497" s="13"/>
      <c r="AB1497" s="94"/>
      <c r="AC1497" s="145"/>
      <c r="AD1497" s="145"/>
      <c r="AE1497" s="145"/>
      <c r="AF1497" s="145"/>
      <c r="AG1497" s="145"/>
      <c r="AH1497" s="145"/>
      <c r="AI1497" s="145"/>
      <c r="AJ1497" s="145"/>
      <c r="AK1497" s="145"/>
      <c r="AL1497" s="145"/>
      <c r="AM1497" s="145"/>
      <c r="AN1497" s="145"/>
      <c r="AO1497" s="145"/>
      <c r="AP1497" s="145"/>
      <c r="AQ1497" s="145"/>
      <c r="AR1497" s="145"/>
      <c r="AS1497" s="145"/>
      <c r="AT1497" s="145"/>
    </row>
    <row r="1498" spans="1:46" ht="45" customHeight="1">
      <c r="A1498" s="21" t="s">
        <v>13004</v>
      </c>
      <c r="B1498" s="47" t="s">
        <v>13005</v>
      </c>
      <c r="C1498" s="197" t="s">
        <v>13006</v>
      </c>
      <c r="D1498" s="49" t="s">
        <v>13007</v>
      </c>
      <c r="E1498" s="15"/>
      <c r="F1498" s="145"/>
      <c r="G1498" s="145"/>
      <c r="H1498" s="145"/>
      <c r="I1498" s="145"/>
      <c r="J1498" s="145"/>
      <c r="K1498" s="145"/>
      <c r="L1498" s="145"/>
      <c r="M1498" s="145"/>
      <c r="N1498" s="145"/>
      <c r="O1498" s="145"/>
      <c r="P1498" s="145"/>
      <c r="Q1498" s="145"/>
      <c r="R1498" s="226"/>
      <c r="S1498" s="30">
        <f t="shared" si="8"/>
        <v>0</v>
      </c>
      <c r="T1498" s="12"/>
      <c r="U1498" s="145"/>
      <c r="V1498" s="30"/>
      <c r="W1498" s="145"/>
      <c r="X1498" s="145"/>
      <c r="Y1498" s="94"/>
      <c r="Z1498" s="145"/>
      <c r="AA1498" s="13"/>
      <c r="AB1498" s="94"/>
      <c r="AC1498" s="145"/>
      <c r="AD1498" s="145"/>
      <c r="AE1498" s="145"/>
      <c r="AF1498" s="145"/>
      <c r="AG1498" s="145"/>
      <c r="AH1498" s="145"/>
      <c r="AI1498" s="145"/>
      <c r="AJ1498" s="145"/>
      <c r="AK1498" s="145"/>
      <c r="AL1498" s="145"/>
      <c r="AM1498" s="145"/>
      <c r="AN1498" s="145"/>
      <c r="AO1498" s="145"/>
      <c r="AP1498" s="145"/>
      <c r="AQ1498" s="145"/>
      <c r="AR1498" s="145"/>
      <c r="AS1498" s="145"/>
      <c r="AT1498" s="145"/>
    </row>
    <row r="1499" spans="1:46" ht="45" customHeight="1">
      <c r="A1499" s="21" t="s">
        <v>13008</v>
      </c>
      <c r="B1499" s="47" t="s">
        <v>13009</v>
      </c>
      <c r="C1499" s="197" t="s">
        <v>13010</v>
      </c>
      <c r="D1499" s="49" t="s">
        <v>13011</v>
      </c>
      <c r="E1499" s="15"/>
      <c r="F1499" s="145"/>
      <c r="G1499" s="145"/>
      <c r="H1499" s="145"/>
      <c r="I1499" s="145"/>
      <c r="J1499" s="145"/>
      <c r="K1499" s="145"/>
      <c r="L1499" s="145"/>
      <c r="M1499" s="145"/>
      <c r="N1499" s="145"/>
      <c r="O1499" s="145"/>
      <c r="P1499" s="145"/>
      <c r="Q1499" s="145"/>
      <c r="R1499" s="226"/>
      <c r="S1499" s="30">
        <f t="shared" si="8"/>
        <v>0</v>
      </c>
      <c r="T1499" s="12"/>
      <c r="U1499" s="145"/>
      <c r="V1499" s="30"/>
      <c r="W1499" s="145"/>
      <c r="X1499" s="145"/>
      <c r="Y1499" s="94"/>
      <c r="Z1499" s="145"/>
      <c r="AA1499" s="13"/>
      <c r="AB1499" s="94"/>
      <c r="AC1499" s="145"/>
      <c r="AD1499" s="145"/>
      <c r="AE1499" s="145"/>
      <c r="AF1499" s="145"/>
      <c r="AG1499" s="145"/>
      <c r="AH1499" s="145"/>
      <c r="AI1499" s="145"/>
      <c r="AJ1499" s="145"/>
      <c r="AK1499" s="145"/>
      <c r="AL1499" s="145"/>
      <c r="AM1499" s="145"/>
      <c r="AN1499" s="145"/>
      <c r="AO1499" s="145"/>
      <c r="AP1499" s="145"/>
      <c r="AQ1499" s="145"/>
      <c r="AR1499" s="145"/>
      <c r="AS1499" s="145"/>
      <c r="AT1499" s="145"/>
    </row>
    <row r="1500" spans="1:46" ht="45" customHeight="1">
      <c r="A1500" s="21" t="s">
        <v>13012</v>
      </c>
      <c r="B1500" s="47" t="s">
        <v>13013</v>
      </c>
      <c r="C1500" s="197" t="s">
        <v>13014</v>
      </c>
      <c r="D1500" s="49" t="s">
        <v>13015</v>
      </c>
      <c r="E1500" s="15"/>
      <c r="F1500" s="145"/>
      <c r="G1500" s="145"/>
      <c r="H1500" s="145"/>
      <c r="I1500" s="145"/>
      <c r="J1500" s="145"/>
      <c r="K1500" s="145"/>
      <c r="L1500" s="145"/>
      <c r="M1500" s="145"/>
      <c r="N1500" s="145"/>
      <c r="O1500" s="145"/>
      <c r="P1500" s="145"/>
      <c r="Q1500" s="145"/>
      <c r="R1500" s="226"/>
      <c r="S1500" s="30">
        <f t="shared" si="8"/>
        <v>0</v>
      </c>
      <c r="T1500" s="12"/>
      <c r="U1500" s="145"/>
      <c r="V1500" s="30"/>
      <c r="W1500" s="145"/>
      <c r="X1500" s="145"/>
      <c r="Y1500" s="94"/>
      <c r="Z1500" s="145"/>
      <c r="AA1500" s="13"/>
      <c r="AB1500" s="94"/>
      <c r="AC1500" s="145"/>
      <c r="AD1500" s="145"/>
      <c r="AE1500" s="145"/>
      <c r="AF1500" s="145"/>
      <c r="AG1500" s="145"/>
      <c r="AH1500" s="145"/>
      <c r="AI1500" s="145"/>
      <c r="AJ1500" s="145"/>
      <c r="AK1500" s="145"/>
      <c r="AL1500" s="145"/>
      <c r="AM1500" s="145"/>
      <c r="AN1500" s="145"/>
      <c r="AO1500" s="145"/>
      <c r="AP1500" s="145"/>
      <c r="AQ1500" s="145"/>
      <c r="AR1500" s="145"/>
      <c r="AS1500" s="145"/>
      <c r="AT1500" s="145"/>
    </row>
    <row r="1501" spans="1:46" ht="45" customHeight="1">
      <c r="A1501" s="21" t="s">
        <v>13016</v>
      </c>
      <c r="B1501" s="47" t="s">
        <v>13017</v>
      </c>
      <c r="C1501" s="197" t="s">
        <v>13018</v>
      </c>
      <c r="D1501" s="49" t="s">
        <v>13019</v>
      </c>
      <c r="E1501" s="15"/>
      <c r="F1501" s="145"/>
      <c r="G1501" s="145"/>
      <c r="H1501" s="145"/>
      <c r="I1501" s="145"/>
      <c r="J1501" s="145"/>
      <c r="K1501" s="145"/>
      <c r="L1501" s="145"/>
      <c r="M1501" s="145"/>
      <c r="N1501" s="145"/>
      <c r="O1501" s="145"/>
      <c r="P1501" s="145"/>
      <c r="Q1501" s="145"/>
      <c r="R1501" s="226"/>
      <c r="S1501" s="30">
        <f t="shared" si="8"/>
        <v>0</v>
      </c>
      <c r="T1501" s="12"/>
      <c r="U1501" s="145"/>
      <c r="V1501" s="30"/>
      <c r="W1501" s="145"/>
      <c r="X1501" s="145"/>
      <c r="Y1501" s="94"/>
      <c r="Z1501" s="145"/>
      <c r="AA1501" s="13"/>
      <c r="AB1501" s="94"/>
      <c r="AC1501" s="145"/>
      <c r="AD1501" s="145"/>
      <c r="AE1501" s="145"/>
      <c r="AF1501" s="145"/>
      <c r="AG1501" s="145"/>
      <c r="AH1501" s="145"/>
      <c r="AI1501" s="145"/>
      <c r="AJ1501" s="145"/>
      <c r="AK1501" s="145"/>
      <c r="AL1501" s="145"/>
      <c r="AM1501" s="145"/>
      <c r="AN1501" s="145"/>
      <c r="AO1501" s="145"/>
      <c r="AP1501" s="145"/>
      <c r="AQ1501" s="145"/>
      <c r="AR1501" s="145"/>
      <c r="AS1501" s="145"/>
      <c r="AT1501" s="145"/>
    </row>
    <row r="1502" spans="1:46" ht="45" customHeight="1">
      <c r="A1502" s="21" t="s">
        <v>13020</v>
      </c>
      <c r="B1502" s="47" t="s">
        <v>13021</v>
      </c>
      <c r="C1502" s="197" t="s">
        <v>13022</v>
      </c>
      <c r="D1502" s="49" t="s">
        <v>13023</v>
      </c>
      <c r="E1502" s="15"/>
      <c r="F1502" s="145"/>
      <c r="G1502" s="145"/>
      <c r="H1502" s="145"/>
      <c r="I1502" s="145"/>
      <c r="J1502" s="145"/>
      <c r="K1502" s="145"/>
      <c r="L1502" s="145"/>
      <c r="M1502" s="145"/>
      <c r="N1502" s="145"/>
      <c r="O1502" s="145"/>
      <c r="P1502" s="145"/>
      <c r="Q1502" s="145"/>
      <c r="R1502" s="226"/>
      <c r="S1502" s="30">
        <f t="shared" si="8"/>
        <v>0</v>
      </c>
      <c r="T1502" s="12"/>
      <c r="U1502" s="145"/>
      <c r="V1502" s="30"/>
      <c r="W1502" s="145"/>
      <c r="X1502" s="145"/>
      <c r="Y1502" s="94"/>
      <c r="Z1502" s="145"/>
      <c r="AA1502" s="13"/>
      <c r="AB1502" s="94"/>
      <c r="AC1502" s="145"/>
      <c r="AD1502" s="145"/>
      <c r="AE1502" s="145"/>
      <c r="AF1502" s="145"/>
      <c r="AG1502" s="145"/>
      <c r="AH1502" s="145"/>
      <c r="AI1502" s="145"/>
      <c r="AJ1502" s="145"/>
      <c r="AK1502" s="145"/>
      <c r="AL1502" s="145"/>
      <c r="AM1502" s="145"/>
      <c r="AN1502" s="145"/>
      <c r="AO1502" s="145"/>
      <c r="AP1502" s="145"/>
      <c r="AQ1502" s="145"/>
      <c r="AR1502" s="145"/>
      <c r="AS1502" s="145"/>
      <c r="AT1502" s="145"/>
    </row>
    <row r="1503" spans="1:46" ht="45" customHeight="1">
      <c r="A1503" s="21" t="s">
        <v>13024</v>
      </c>
      <c r="B1503" s="47" t="s">
        <v>13025</v>
      </c>
      <c r="C1503" s="197" t="s">
        <v>13026</v>
      </c>
      <c r="D1503" s="49" t="s">
        <v>13027</v>
      </c>
      <c r="E1503" s="15"/>
      <c r="F1503" s="145"/>
      <c r="G1503" s="74"/>
      <c r="H1503" s="145"/>
      <c r="I1503" s="145"/>
      <c r="J1503" s="145"/>
      <c r="K1503" s="145"/>
      <c r="L1503" s="145"/>
      <c r="M1503" s="145"/>
      <c r="N1503" s="145"/>
      <c r="O1503" s="145"/>
      <c r="P1503" s="145"/>
      <c r="Q1503" s="145"/>
      <c r="R1503" s="226"/>
      <c r="S1503" s="30">
        <f t="shared" si="8"/>
        <v>0</v>
      </c>
      <c r="T1503" s="12"/>
      <c r="U1503" s="145"/>
      <c r="V1503" s="30"/>
      <c r="W1503" s="145"/>
      <c r="X1503" s="145"/>
      <c r="Y1503" s="94"/>
      <c r="Z1503" s="145"/>
      <c r="AA1503" s="13"/>
      <c r="AB1503" s="94"/>
      <c r="AC1503" s="145"/>
      <c r="AD1503" s="145"/>
      <c r="AE1503" s="145"/>
      <c r="AF1503" s="145"/>
      <c r="AG1503" s="145"/>
      <c r="AH1503" s="145"/>
      <c r="AI1503" s="145"/>
      <c r="AJ1503" s="145"/>
      <c r="AK1503" s="145"/>
      <c r="AL1503" s="145"/>
      <c r="AM1503" s="145"/>
      <c r="AN1503" s="145"/>
      <c r="AO1503" s="145"/>
      <c r="AP1503" s="145"/>
      <c r="AQ1503" s="145"/>
      <c r="AR1503" s="145"/>
      <c r="AS1503" s="145"/>
      <c r="AT1503" s="145"/>
    </row>
    <row r="1504" spans="1:46" ht="45" customHeight="1">
      <c r="A1504" s="21" t="s">
        <v>13028</v>
      </c>
      <c r="B1504" s="47" t="s">
        <v>13029</v>
      </c>
      <c r="C1504" s="197" t="s">
        <v>13030</v>
      </c>
      <c r="D1504" s="49" t="s">
        <v>13031</v>
      </c>
      <c r="E1504" s="15"/>
      <c r="F1504" s="145"/>
      <c r="G1504" s="145"/>
      <c r="H1504" s="145"/>
      <c r="I1504" s="145"/>
      <c r="J1504" s="145"/>
      <c r="K1504" s="145"/>
      <c r="L1504" s="145"/>
      <c r="M1504" s="145"/>
      <c r="N1504" s="145"/>
      <c r="O1504" s="145"/>
      <c r="P1504" s="145"/>
      <c r="Q1504" s="145"/>
      <c r="R1504" s="226"/>
      <c r="S1504" s="30">
        <f t="shared" si="8"/>
        <v>0</v>
      </c>
      <c r="T1504" s="12"/>
      <c r="U1504" s="145"/>
      <c r="V1504" s="30"/>
      <c r="W1504" s="145"/>
      <c r="X1504" s="145"/>
      <c r="Y1504" s="94"/>
      <c r="Z1504" s="145"/>
      <c r="AA1504" s="13"/>
      <c r="AB1504" s="94"/>
      <c r="AC1504" s="145"/>
      <c r="AD1504" s="145"/>
      <c r="AE1504" s="145"/>
      <c r="AF1504" s="145"/>
      <c r="AG1504" s="145"/>
      <c r="AH1504" s="145"/>
      <c r="AI1504" s="145"/>
      <c r="AJ1504" s="145"/>
      <c r="AK1504" s="145"/>
      <c r="AL1504" s="145"/>
      <c r="AM1504" s="145"/>
      <c r="AN1504" s="145"/>
      <c r="AO1504" s="145"/>
      <c r="AP1504" s="145"/>
      <c r="AQ1504" s="145"/>
      <c r="AR1504" s="145"/>
      <c r="AS1504" s="145"/>
      <c r="AT1504" s="145"/>
    </row>
    <row r="1505" spans="1:46" ht="45" customHeight="1">
      <c r="A1505" s="21" t="s">
        <v>13032</v>
      </c>
      <c r="B1505" s="47" t="s">
        <v>13033</v>
      </c>
      <c r="C1505" s="197" t="s">
        <v>13034</v>
      </c>
      <c r="D1505" s="49" t="s">
        <v>13035</v>
      </c>
      <c r="E1505" s="15"/>
      <c r="F1505" s="145"/>
      <c r="G1505" s="74"/>
      <c r="H1505" s="145"/>
      <c r="I1505" s="145"/>
      <c r="J1505" s="145"/>
      <c r="K1505" s="145"/>
      <c r="L1505" s="145"/>
      <c r="M1505" s="145"/>
      <c r="N1505" s="145"/>
      <c r="O1505" s="145"/>
      <c r="P1505" s="145"/>
      <c r="Q1505" s="145"/>
      <c r="R1505" s="226"/>
      <c r="S1505" s="30">
        <f t="shared" si="8"/>
        <v>0</v>
      </c>
      <c r="T1505" s="12"/>
      <c r="U1505" s="145"/>
      <c r="V1505" s="30"/>
      <c r="W1505" s="145"/>
      <c r="X1505" s="145"/>
      <c r="Y1505" s="94"/>
      <c r="Z1505" s="145"/>
      <c r="AA1505" s="13"/>
      <c r="AB1505" s="94"/>
      <c r="AC1505" s="145"/>
      <c r="AD1505" s="145"/>
      <c r="AE1505" s="145"/>
      <c r="AF1505" s="145"/>
      <c r="AG1505" s="145"/>
      <c r="AH1505" s="145"/>
      <c r="AI1505" s="145"/>
      <c r="AJ1505" s="145"/>
      <c r="AK1505" s="145"/>
      <c r="AL1505" s="145"/>
      <c r="AM1505" s="145"/>
      <c r="AN1505" s="145"/>
      <c r="AO1505" s="145"/>
      <c r="AP1505" s="145"/>
      <c r="AQ1505" s="145"/>
      <c r="AR1505" s="145"/>
      <c r="AS1505" s="145"/>
      <c r="AT1505" s="145"/>
    </row>
    <row r="1506" spans="1:46" ht="45" customHeight="1">
      <c r="A1506" s="21" t="s">
        <v>13036</v>
      </c>
      <c r="B1506" s="47" t="s">
        <v>13037</v>
      </c>
      <c r="C1506" s="197" t="s">
        <v>13038</v>
      </c>
      <c r="D1506" s="49" t="s">
        <v>13039</v>
      </c>
      <c r="E1506" s="15"/>
      <c r="F1506" s="145"/>
      <c r="G1506" s="145"/>
      <c r="H1506" s="145"/>
      <c r="I1506" s="145"/>
      <c r="J1506" s="145"/>
      <c r="K1506" s="145"/>
      <c r="L1506" s="145"/>
      <c r="M1506" s="145"/>
      <c r="N1506" s="145"/>
      <c r="O1506" s="145"/>
      <c r="P1506" s="145"/>
      <c r="Q1506" s="145"/>
      <c r="R1506" s="226"/>
      <c r="S1506" s="30">
        <f t="shared" si="8"/>
        <v>0</v>
      </c>
      <c r="T1506" s="12"/>
      <c r="U1506" s="145"/>
      <c r="V1506" s="30"/>
      <c r="W1506" s="145"/>
      <c r="X1506" s="145"/>
      <c r="Y1506" s="94"/>
      <c r="Z1506" s="145"/>
      <c r="AA1506" s="13"/>
      <c r="AB1506" s="94"/>
      <c r="AC1506" s="145"/>
      <c r="AD1506" s="145"/>
      <c r="AE1506" s="145"/>
      <c r="AF1506" s="145"/>
      <c r="AG1506" s="145"/>
      <c r="AH1506" s="145"/>
      <c r="AI1506" s="145"/>
      <c r="AJ1506" s="145"/>
      <c r="AK1506" s="145"/>
      <c r="AL1506" s="145"/>
      <c r="AM1506" s="145"/>
      <c r="AN1506" s="145"/>
      <c r="AO1506" s="145"/>
      <c r="AP1506" s="145"/>
      <c r="AQ1506" s="145"/>
      <c r="AR1506" s="145"/>
      <c r="AS1506" s="145"/>
      <c r="AT1506" s="145"/>
    </row>
    <row r="1507" spans="1:46" ht="45" customHeight="1">
      <c r="A1507" s="21" t="s">
        <v>13040</v>
      </c>
      <c r="B1507" s="47" t="s">
        <v>13041</v>
      </c>
      <c r="C1507" s="197" t="s">
        <v>13042</v>
      </c>
      <c r="D1507" s="49" t="s">
        <v>13043</v>
      </c>
      <c r="E1507" s="15"/>
      <c r="F1507" s="145"/>
      <c r="G1507" s="145"/>
      <c r="H1507" s="145"/>
      <c r="I1507" s="145"/>
      <c r="J1507" s="145"/>
      <c r="K1507" s="145"/>
      <c r="L1507" s="145"/>
      <c r="M1507" s="145"/>
      <c r="N1507" s="145"/>
      <c r="O1507" s="145"/>
      <c r="P1507" s="145"/>
      <c r="Q1507" s="145"/>
      <c r="R1507" s="226"/>
      <c r="S1507" s="30">
        <f t="shared" si="8"/>
        <v>0</v>
      </c>
      <c r="T1507" s="12"/>
      <c r="U1507" s="145"/>
      <c r="V1507" s="30"/>
      <c r="W1507" s="145"/>
      <c r="X1507" s="145"/>
      <c r="Y1507" s="94"/>
      <c r="Z1507" s="145"/>
      <c r="AA1507" s="13"/>
      <c r="AB1507" s="94"/>
      <c r="AC1507" s="145"/>
      <c r="AD1507" s="145"/>
      <c r="AE1507" s="145"/>
      <c r="AF1507" s="145"/>
      <c r="AG1507" s="145"/>
      <c r="AH1507" s="145"/>
      <c r="AI1507" s="145"/>
      <c r="AJ1507" s="145"/>
      <c r="AK1507" s="145"/>
      <c r="AL1507" s="145"/>
      <c r="AM1507" s="145"/>
      <c r="AN1507" s="145"/>
      <c r="AO1507" s="145"/>
      <c r="AP1507" s="145"/>
      <c r="AQ1507" s="145"/>
      <c r="AR1507" s="145"/>
      <c r="AS1507" s="145"/>
      <c r="AT1507" s="145"/>
    </row>
    <row r="1508" spans="1:46" ht="45" customHeight="1">
      <c r="A1508" s="21" t="s">
        <v>13044</v>
      </c>
      <c r="B1508" s="47" t="s">
        <v>13045</v>
      </c>
      <c r="C1508" s="197" t="s">
        <v>13046</v>
      </c>
      <c r="D1508" s="49" t="s">
        <v>13047</v>
      </c>
      <c r="E1508" s="15"/>
      <c r="F1508" s="145"/>
      <c r="G1508" s="145"/>
      <c r="H1508" s="145"/>
      <c r="I1508" s="145"/>
      <c r="J1508" s="145"/>
      <c r="K1508" s="145"/>
      <c r="L1508" s="145"/>
      <c r="M1508" s="145"/>
      <c r="N1508" s="145"/>
      <c r="O1508" s="145"/>
      <c r="P1508" s="145"/>
      <c r="Q1508" s="145"/>
      <c r="R1508" s="226"/>
      <c r="S1508" s="30">
        <f t="shared" si="8"/>
        <v>0</v>
      </c>
      <c r="T1508" s="12"/>
      <c r="U1508" s="145"/>
      <c r="V1508" s="30"/>
      <c r="W1508" s="145"/>
      <c r="X1508" s="145"/>
      <c r="Y1508" s="94"/>
      <c r="Z1508" s="145"/>
      <c r="AA1508" s="13"/>
      <c r="AB1508" s="94"/>
      <c r="AC1508" s="145"/>
      <c r="AD1508" s="145"/>
      <c r="AE1508" s="145"/>
      <c r="AF1508" s="145"/>
      <c r="AG1508" s="145"/>
      <c r="AH1508" s="145"/>
      <c r="AI1508" s="145"/>
      <c r="AJ1508" s="145"/>
      <c r="AK1508" s="145"/>
      <c r="AL1508" s="145"/>
      <c r="AM1508" s="145"/>
      <c r="AN1508" s="145"/>
      <c r="AO1508" s="145"/>
      <c r="AP1508" s="145"/>
      <c r="AQ1508" s="145"/>
      <c r="AR1508" s="145"/>
      <c r="AS1508" s="145"/>
      <c r="AT1508" s="145"/>
    </row>
    <row r="1509" spans="1:46" ht="45" customHeight="1">
      <c r="A1509" s="21" t="s">
        <v>13048</v>
      </c>
      <c r="B1509" s="47" t="s">
        <v>13049</v>
      </c>
      <c r="C1509" s="197" t="s">
        <v>13050</v>
      </c>
      <c r="D1509" s="49" t="s">
        <v>266</v>
      </c>
      <c r="E1509" s="15"/>
      <c r="F1509" s="145"/>
      <c r="G1509" s="145"/>
      <c r="H1509" s="145"/>
      <c r="I1509" s="145"/>
      <c r="J1509" s="145"/>
      <c r="K1509" s="145"/>
      <c r="L1509" s="145"/>
      <c r="M1509" s="145"/>
      <c r="N1509" s="145"/>
      <c r="O1509" s="145"/>
      <c r="P1509" s="145"/>
      <c r="Q1509" s="145"/>
      <c r="R1509" s="226"/>
      <c r="S1509" s="30">
        <f t="shared" si="8"/>
        <v>0</v>
      </c>
      <c r="T1509" s="12"/>
      <c r="U1509" s="145"/>
      <c r="V1509" s="30"/>
      <c r="W1509" s="145"/>
      <c r="X1509" s="145"/>
      <c r="Y1509" s="94"/>
      <c r="Z1509" s="145"/>
      <c r="AA1509" s="13"/>
      <c r="AB1509" s="94"/>
      <c r="AC1509" s="145"/>
      <c r="AD1509" s="145"/>
      <c r="AE1509" s="145"/>
      <c r="AF1509" s="145"/>
      <c r="AG1509" s="145"/>
      <c r="AH1509" s="145"/>
      <c r="AI1509" s="145"/>
      <c r="AJ1509" s="145"/>
      <c r="AK1509" s="145"/>
      <c r="AL1509" s="145"/>
      <c r="AM1509" s="145"/>
      <c r="AN1509" s="145"/>
      <c r="AO1509" s="145"/>
      <c r="AP1509" s="145"/>
      <c r="AQ1509" s="145"/>
      <c r="AR1509" s="145"/>
      <c r="AS1509" s="145"/>
      <c r="AT1509" s="145"/>
    </row>
    <row r="1510" spans="1:46" ht="54" customHeight="1">
      <c r="A1510" s="21" t="s">
        <v>13051</v>
      </c>
      <c r="B1510" s="47" t="s">
        <v>13052</v>
      </c>
      <c r="C1510" s="197" t="s">
        <v>13053</v>
      </c>
      <c r="D1510" s="49" t="s">
        <v>3289</v>
      </c>
      <c r="E1510" s="15"/>
      <c r="F1510" s="145"/>
      <c r="G1510" s="145"/>
      <c r="H1510" s="145"/>
      <c r="I1510" s="145"/>
      <c r="J1510" s="145"/>
      <c r="K1510" s="145"/>
      <c r="L1510" s="145"/>
      <c r="M1510" s="145"/>
      <c r="N1510" s="145"/>
      <c r="O1510" s="145"/>
      <c r="P1510" s="145"/>
      <c r="Q1510" s="145"/>
      <c r="R1510" s="226"/>
      <c r="S1510" s="30">
        <f t="shared" si="8"/>
        <v>0</v>
      </c>
      <c r="T1510" s="12"/>
      <c r="U1510" s="145"/>
      <c r="V1510" s="30"/>
      <c r="W1510" s="145"/>
      <c r="X1510" s="145"/>
      <c r="Y1510" s="94"/>
      <c r="Z1510" s="145"/>
      <c r="AA1510" s="13"/>
      <c r="AB1510" s="94"/>
      <c r="AC1510" s="145"/>
      <c r="AD1510" s="145"/>
      <c r="AE1510" s="145"/>
      <c r="AF1510" s="145"/>
      <c r="AG1510" s="145"/>
      <c r="AH1510" s="145"/>
      <c r="AI1510" s="145"/>
      <c r="AJ1510" s="145"/>
      <c r="AK1510" s="145"/>
      <c r="AL1510" s="145"/>
      <c r="AM1510" s="145"/>
      <c r="AN1510" s="145"/>
      <c r="AO1510" s="145"/>
      <c r="AP1510" s="145"/>
      <c r="AQ1510" s="145"/>
      <c r="AR1510" s="145"/>
      <c r="AS1510" s="145"/>
      <c r="AT1510" s="145"/>
    </row>
    <row r="1511" spans="1:46" ht="45" customHeight="1">
      <c r="A1511" s="21" t="s">
        <v>13054</v>
      </c>
      <c r="B1511" s="239"/>
      <c r="C1511" s="66"/>
      <c r="D1511" s="15"/>
      <c r="E1511" s="15"/>
      <c r="F1511" s="163"/>
      <c r="G1511" s="163"/>
      <c r="H1511" s="163"/>
      <c r="I1511" s="163"/>
      <c r="J1511" s="163"/>
      <c r="K1511" s="163"/>
      <c r="L1511" s="163"/>
      <c r="M1511" s="163"/>
      <c r="N1511" s="163"/>
      <c r="O1511" s="163"/>
      <c r="P1511" s="163"/>
      <c r="Q1511" s="163"/>
      <c r="R1511" s="226"/>
      <c r="S1511" s="30">
        <f t="shared" si="8"/>
        <v>0</v>
      </c>
      <c r="T1511" s="240"/>
      <c r="U1511" s="163"/>
      <c r="V1511" s="30"/>
      <c r="W1511" s="163"/>
      <c r="X1511" s="163"/>
      <c r="Y1511" s="239"/>
      <c r="Z1511" s="163"/>
      <c r="AA1511" s="20"/>
      <c r="AB1511" s="239"/>
      <c r="AC1511" s="163"/>
      <c r="AD1511" s="163"/>
      <c r="AE1511" s="163"/>
      <c r="AF1511" s="163"/>
      <c r="AG1511" s="163"/>
      <c r="AH1511" s="163"/>
      <c r="AI1511" s="163"/>
      <c r="AJ1511" s="163"/>
      <c r="AK1511" s="163"/>
      <c r="AL1511" s="163"/>
      <c r="AM1511" s="163"/>
      <c r="AN1511" s="163"/>
      <c r="AO1511" s="163"/>
      <c r="AP1511" s="163"/>
      <c r="AQ1511" s="163"/>
      <c r="AR1511" s="163"/>
      <c r="AS1511" s="163"/>
      <c r="AT1511" s="163"/>
    </row>
    <row r="1512" spans="1:46" ht="45" customHeight="1">
      <c r="A1512" s="21" t="s">
        <v>13055</v>
      </c>
      <c r="B1512" s="239"/>
      <c r="C1512" s="66"/>
      <c r="D1512" s="15"/>
      <c r="E1512" s="15"/>
      <c r="F1512" s="163"/>
      <c r="G1512" s="163"/>
      <c r="H1512" s="163"/>
      <c r="I1512" s="163"/>
      <c r="J1512" s="163"/>
      <c r="K1512" s="163"/>
      <c r="L1512" s="163"/>
      <c r="M1512" s="163"/>
      <c r="N1512" s="163"/>
      <c r="O1512" s="163"/>
      <c r="P1512" s="163"/>
      <c r="Q1512" s="163"/>
      <c r="R1512" s="226"/>
      <c r="S1512" s="30">
        <f t="shared" si="8"/>
        <v>0</v>
      </c>
      <c r="T1512" s="240"/>
      <c r="U1512" s="163"/>
      <c r="V1512" s="30"/>
      <c r="W1512" s="163"/>
      <c r="X1512" s="163"/>
      <c r="Y1512" s="239"/>
      <c r="Z1512" s="163"/>
      <c r="AA1512" s="20"/>
      <c r="AB1512" s="239"/>
      <c r="AC1512" s="163"/>
      <c r="AD1512" s="163"/>
      <c r="AE1512" s="163"/>
      <c r="AF1512" s="163"/>
      <c r="AG1512" s="163"/>
      <c r="AH1512" s="163"/>
      <c r="AI1512" s="163"/>
      <c r="AJ1512" s="163"/>
      <c r="AK1512" s="163"/>
      <c r="AL1512" s="163"/>
      <c r="AM1512" s="163"/>
      <c r="AN1512" s="163"/>
      <c r="AO1512" s="163"/>
      <c r="AP1512" s="163"/>
      <c r="AQ1512" s="163"/>
      <c r="AR1512" s="163"/>
      <c r="AS1512" s="163"/>
      <c r="AT1512" s="163"/>
    </row>
    <row r="1513" spans="1:46" ht="45" customHeight="1">
      <c r="A1513" s="21" t="s">
        <v>13056</v>
      </c>
      <c r="B1513" s="239"/>
      <c r="C1513" s="66"/>
      <c r="D1513" s="15"/>
      <c r="E1513" s="15"/>
      <c r="F1513" s="163"/>
      <c r="G1513" s="163"/>
      <c r="H1513" s="163"/>
      <c r="I1513" s="163"/>
      <c r="J1513" s="163"/>
      <c r="K1513" s="163"/>
      <c r="L1513" s="163"/>
      <c r="M1513" s="163"/>
      <c r="N1513" s="163"/>
      <c r="O1513" s="163"/>
      <c r="P1513" s="163"/>
      <c r="Q1513" s="163"/>
      <c r="R1513" s="226"/>
      <c r="S1513" s="30">
        <f t="shared" si="8"/>
        <v>0</v>
      </c>
      <c r="T1513" s="240"/>
      <c r="U1513" s="163"/>
      <c r="V1513" s="30"/>
      <c r="W1513" s="163"/>
      <c r="X1513" s="163"/>
      <c r="Y1513" s="239"/>
      <c r="Z1513" s="163"/>
      <c r="AA1513" s="20"/>
      <c r="AB1513" s="239"/>
      <c r="AC1513" s="163"/>
      <c r="AD1513" s="163"/>
      <c r="AE1513" s="163"/>
      <c r="AF1513" s="163"/>
      <c r="AG1513" s="163"/>
      <c r="AH1513" s="163"/>
      <c r="AI1513" s="163"/>
      <c r="AJ1513" s="163"/>
      <c r="AK1513" s="163"/>
      <c r="AL1513" s="163"/>
      <c r="AM1513" s="163"/>
      <c r="AN1513" s="163"/>
      <c r="AO1513" s="163"/>
      <c r="AP1513" s="163"/>
      <c r="AQ1513" s="163"/>
      <c r="AR1513" s="163"/>
      <c r="AS1513" s="163"/>
      <c r="AT1513" s="163"/>
    </row>
    <row r="1514" spans="1:46" ht="45" customHeight="1">
      <c r="A1514" s="21" t="s">
        <v>13057</v>
      </c>
      <c r="B1514" s="239"/>
      <c r="C1514" s="66"/>
      <c r="D1514" s="15"/>
      <c r="E1514" s="15"/>
      <c r="F1514" s="163"/>
      <c r="G1514" s="163"/>
      <c r="H1514" s="163"/>
      <c r="I1514" s="163"/>
      <c r="J1514" s="163"/>
      <c r="K1514" s="163"/>
      <c r="L1514" s="163"/>
      <c r="M1514" s="163"/>
      <c r="N1514" s="163"/>
      <c r="O1514" s="163"/>
      <c r="P1514" s="163"/>
      <c r="Q1514" s="163"/>
      <c r="R1514" s="226"/>
      <c r="S1514" s="30">
        <f t="shared" si="8"/>
        <v>0</v>
      </c>
      <c r="T1514" s="240"/>
      <c r="U1514" s="163"/>
      <c r="V1514" s="30"/>
      <c r="W1514" s="163"/>
      <c r="X1514" s="163"/>
      <c r="Y1514" s="239"/>
      <c r="Z1514" s="163"/>
      <c r="AA1514" s="20"/>
      <c r="AB1514" s="239"/>
      <c r="AC1514" s="163"/>
      <c r="AD1514" s="163"/>
      <c r="AE1514" s="163"/>
      <c r="AF1514" s="163"/>
      <c r="AG1514" s="163"/>
      <c r="AH1514" s="163"/>
      <c r="AI1514" s="163"/>
      <c r="AJ1514" s="163"/>
      <c r="AK1514" s="163"/>
      <c r="AL1514" s="163"/>
      <c r="AM1514" s="163"/>
      <c r="AN1514" s="163"/>
      <c r="AO1514" s="163"/>
      <c r="AP1514" s="163"/>
      <c r="AQ1514" s="163"/>
      <c r="AR1514" s="163"/>
      <c r="AS1514" s="163"/>
      <c r="AT1514" s="163"/>
    </row>
    <row r="1515" spans="1:46" ht="45" customHeight="1">
      <c r="A1515" s="21" t="s">
        <v>13058</v>
      </c>
      <c r="B1515" s="239"/>
      <c r="C1515" s="66"/>
      <c r="D1515" s="15"/>
      <c r="E1515" s="15"/>
      <c r="F1515" s="163"/>
      <c r="G1515" s="163"/>
      <c r="H1515" s="163"/>
      <c r="I1515" s="163"/>
      <c r="J1515" s="163"/>
      <c r="K1515" s="163"/>
      <c r="L1515" s="163"/>
      <c r="M1515" s="163"/>
      <c r="N1515" s="163"/>
      <c r="O1515" s="163"/>
      <c r="P1515" s="163"/>
      <c r="Q1515" s="163"/>
      <c r="R1515" s="226"/>
      <c r="S1515" s="30">
        <f t="shared" si="8"/>
        <v>0</v>
      </c>
      <c r="T1515" s="240"/>
      <c r="U1515" s="163"/>
      <c r="V1515" s="30"/>
      <c r="W1515" s="163"/>
      <c r="X1515" s="163"/>
      <c r="Y1515" s="239"/>
      <c r="Z1515" s="163"/>
      <c r="AA1515" s="20"/>
      <c r="AB1515" s="239"/>
      <c r="AC1515" s="163"/>
      <c r="AD1515" s="163"/>
      <c r="AE1515" s="163"/>
      <c r="AF1515" s="163"/>
      <c r="AG1515" s="163"/>
      <c r="AH1515" s="163"/>
      <c r="AI1515" s="163"/>
      <c r="AJ1515" s="163"/>
      <c r="AK1515" s="163"/>
      <c r="AL1515" s="163"/>
      <c r="AM1515" s="163"/>
      <c r="AN1515" s="163"/>
      <c r="AO1515" s="163"/>
      <c r="AP1515" s="163"/>
      <c r="AQ1515" s="163"/>
      <c r="AR1515" s="163"/>
      <c r="AS1515" s="163"/>
      <c r="AT1515" s="163"/>
    </row>
    <row r="1516" spans="1:46" ht="45" customHeight="1">
      <c r="A1516" s="21" t="s">
        <v>13059</v>
      </c>
      <c r="B1516" s="239"/>
      <c r="C1516" s="66"/>
      <c r="D1516" s="15"/>
      <c r="E1516" s="15"/>
      <c r="F1516" s="163"/>
      <c r="G1516" s="163"/>
      <c r="H1516" s="163"/>
      <c r="I1516" s="163"/>
      <c r="J1516" s="163"/>
      <c r="K1516" s="163"/>
      <c r="L1516" s="163"/>
      <c r="M1516" s="163"/>
      <c r="N1516" s="163"/>
      <c r="O1516" s="163"/>
      <c r="P1516" s="163"/>
      <c r="Q1516" s="163"/>
      <c r="R1516" s="226"/>
      <c r="S1516" s="30">
        <f t="shared" si="8"/>
        <v>0</v>
      </c>
      <c r="T1516" s="240"/>
      <c r="U1516" s="163"/>
      <c r="V1516" s="30"/>
      <c r="W1516" s="163"/>
      <c r="X1516" s="163"/>
      <c r="Y1516" s="239"/>
      <c r="Z1516" s="163"/>
      <c r="AA1516" s="20"/>
      <c r="AB1516" s="239"/>
      <c r="AC1516" s="163"/>
      <c r="AD1516" s="163"/>
      <c r="AE1516" s="163"/>
      <c r="AF1516" s="163"/>
      <c r="AG1516" s="163"/>
      <c r="AH1516" s="163"/>
      <c r="AI1516" s="163"/>
      <c r="AJ1516" s="163"/>
      <c r="AK1516" s="163"/>
      <c r="AL1516" s="163"/>
      <c r="AM1516" s="163"/>
      <c r="AN1516" s="163"/>
      <c r="AO1516" s="163"/>
      <c r="AP1516" s="163"/>
      <c r="AQ1516" s="163"/>
      <c r="AR1516" s="163"/>
      <c r="AS1516" s="163"/>
      <c r="AT1516" s="163"/>
    </row>
    <row r="1517" spans="1:46" ht="45" customHeight="1">
      <c r="A1517" s="21" t="s">
        <v>13060</v>
      </c>
      <c r="B1517" s="239"/>
      <c r="C1517" s="66"/>
      <c r="D1517" s="15"/>
      <c r="E1517" s="15"/>
      <c r="F1517" s="163"/>
      <c r="G1517" s="163"/>
      <c r="H1517" s="163"/>
      <c r="I1517" s="163"/>
      <c r="J1517" s="163"/>
      <c r="K1517" s="163"/>
      <c r="L1517" s="163"/>
      <c r="M1517" s="163"/>
      <c r="N1517" s="163"/>
      <c r="O1517" s="163"/>
      <c r="P1517" s="163"/>
      <c r="Q1517" s="163"/>
      <c r="R1517" s="226"/>
      <c r="S1517" s="30">
        <f t="shared" si="8"/>
        <v>0</v>
      </c>
      <c r="T1517" s="240"/>
      <c r="U1517" s="163"/>
      <c r="V1517" s="30"/>
      <c r="W1517" s="163"/>
      <c r="X1517" s="163"/>
      <c r="Y1517" s="239"/>
      <c r="Z1517" s="163"/>
      <c r="AA1517" s="20"/>
      <c r="AB1517" s="239"/>
      <c r="AC1517" s="163"/>
      <c r="AD1517" s="163"/>
      <c r="AE1517" s="163"/>
      <c r="AF1517" s="163"/>
      <c r="AG1517" s="163"/>
      <c r="AH1517" s="163"/>
      <c r="AI1517" s="163"/>
      <c r="AJ1517" s="163"/>
      <c r="AK1517" s="163"/>
      <c r="AL1517" s="163"/>
      <c r="AM1517" s="163"/>
      <c r="AN1517" s="163"/>
      <c r="AO1517" s="163"/>
      <c r="AP1517" s="163"/>
      <c r="AQ1517" s="163"/>
      <c r="AR1517" s="163"/>
      <c r="AS1517" s="163"/>
      <c r="AT1517" s="163"/>
    </row>
    <row r="1518" spans="1:46" ht="45" customHeight="1">
      <c r="A1518" s="21" t="s">
        <v>13061</v>
      </c>
      <c r="B1518" s="239"/>
      <c r="C1518" s="66"/>
      <c r="D1518" s="15"/>
      <c r="E1518" s="15"/>
      <c r="F1518" s="163"/>
      <c r="G1518" s="163"/>
      <c r="H1518" s="163"/>
      <c r="I1518" s="163"/>
      <c r="J1518" s="163"/>
      <c r="K1518" s="163"/>
      <c r="L1518" s="163"/>
      <c r="M1518" s="163"/>
      <c r="N1518" s="163"/>
      <c r="O1518" s="163"/>
      <c r="P1518" s="163"/>
      <c r="Q1518" s="163"/>
      <c r="R1518" s="226"/>
      <c r="S1518" s="30">
        <f t="shared" si="8"/>
        <v>0</v>
      </c>
      <c r="T1518" s="240"/>
      <c r="U1518" s="163"/>
      <c r="V1518" s="30"/>
      <c r="W1518" s="163"/>
      <c r="X1518" s="163"/>
      <c r="Y1518" s="239"/>
      <c r="Z1518" s="163"/>
      <c r="AA1518" s="20"/>
      <c r="AB1518" s="239"/>
      <c r="AC1518" s="163"/>
      <c r="AD1518" s="163"/>
      <c r="AE1518" s="163"/>
      <c r="AF1518" s="163"/>
      <c r="AG1518" s="163"/>
      <c r="AH1518" s="163"/>
      <c r="AI1518" s="163"/>
      <c r="AJ1518" s="163"/>
      <c r="AK1518" s="163"/>
      <c r="AL1518" s="163"/>
      <c r="AM1518" s="163"/>
      <c r="AN1518" s="163"/>
      <c r="AO1518" s="163"/>
      <c r="AP1518" s="163"/>
      <c r="AQ1518" s="163"/>
      <c r="AR1518" s="163"/>
      <c r="AS1518" s="163"/>
      <c r="AT1518" s="163"/>
    </row>
    <row r="1519" spans="1:46" ht="45" customHeight="1">
      <c r="A1519" s="21" t="s">
        <v>13062</v>
      </c>
      <c r="B1519" s="239"/>
      <c r="C1519" s="66"/>
      <c r="D1519" s="15"/>
      <c r="E1519" s="15"/>
      <c r="F1519" s="163"/>
      <c r="G1519" s="163"/>
      <c r="H1519" s="163"/>
      <c r="I1519" s="163"/>
      <c r="J1519" s="163"/>
      <c r="K1519" s="163"/>
      <c r="L1519" s="163"/>
      <c r="M1519" s="163"/>
      <c r="N1519" s="163"/>
      <c r="O1519" s="163"/>
      <c r="P1519" s="163"/>
      <c r="Q1519" s="163"/>
      <c r="R1519" s="226"/>
      <c r="S1519" s="30">
        <f t="shared" si="8"/>
        <v>0</v>
      </c>
      <c r="T1519" s="240"/>
      <c r="U1519" s="163"/>
      <c r="V1519" s="30"/>
      <c r="W1519" s="163"/>
      <c r="X1519" s="163"/>
      <c r="Y1519" s="239"/>
      <c r="Z1519" s="163"/>
      <c r="AA1519" s="20"/>
      <c r="AB1519" s="239"/>
      <c r="AC1519" s="163"/>
      <c r="AD1519" s="163"/>
      <c r="AE1519" s="163"/>
      <c r="AF1519" s="163"/>
      <c r="AG1519" s="163"/>
      <c r="AH1519" s="163"/>
      <c r="AI1519" s="163"/>
      <c r="AJ1519" s="163"/>
      <c r="AK1519" s="163"/>
      <c r="AL1519" s="163"/>
      <c r="AM1519" s="163"/>
      <c r="AN1519" s="163"/>
      <c r="AO1519" s="163"/>
      <c r="AP1519" s="163"/>
      <c r="AQ1519" s="163"/>
      <c r="AR1519" s="163"/>
      <c r="AS1519" s="163"/>
      <c r="AT1519" s="163"/>
    </row>
    <row r="1520" spans="1:46" ht="45" customHeight="1">
      <c r="A1520" s="21" t="s">
        <v>13063</v>
      </c>
      <c r="B1520" s="239"/>
      <c r="C1520" s="66"/>
      <c r="D1520" s="15"/>
      <c r="E1520" s="15"/>
      <c r="F1520" s="163"/>
      <c r="G1520" s="163"/>
      <c r="H1520" s="163"/>
      <c r="I1520" s="163"/>
      <c r="J1520" s="163"/>
      <c r="K1520" s="163"/>
      <c r="L1520" s="163"/>
      <c r="M1520" s="163"/>
      <c r="N1520" s="163"/>
      <c r="O1520" s="163"/>
      <c r="P1520" s="163"/>
      <c r="Q1520" s="163"/>
      <c r="R1520" s="226"/>
      <c r="S1520" s="30">
        <f t="shared" si="8"/>
        <v>0</v>
      </c>
      <c r="T1520" s="240"/>
      <c r="U1520" s="163"/>
      <c r="V1520" s="163"/>
      <c r="W1520" s="163"/>
      <c r="X1520" s="163"/>
      <c r="Y1520" s="239"/>
      <c r="Z1520" s="163"/>
      <c r="AA1520" s="20"/>
      <c r="AB1520" s="239"/>
      <c r="AC1520" s="163"/>
      <c r="AD1520" s="163"/>
      <c r="AE1520" s="163"/>
      <c r="AF1520" s="163"/>
      <c r="AG1520" s="163"/>
      <c r="AH1520" s="163"/>
      <c r="AI1520" s="163"/>
      <c r="AJ1520" s="163"/>
      <c r="AK1520" s="163"/>
      <c r="AL1520" s="163"/>
      <c r="AM1520" s="163"/>
      <c r="AN1520" s="163"/>
      <c r="AO1520" s="163"/>
      <c r="AP1520" s="163"/>
      <c r="AQ1520" s="163"/>
      <c r="AR1520" s="163"/>
      <c r="AS1520" s="163"/>
      <c r="AT1520" s="163"/>
    </row>
    <row r="1521" spans="1:46" ht="45" customHeight="1">
      <c r="A1521" s="21" t="s">
        <v>13064</v>
      </c>
      <c r="B1521" s="239"/>
      <c r="C1521" s="66"/>
      <c r="D1521" s="15"/>
      <c r="E1521" s="15"/>
      <c r="F1521" s="163"/>
      <c r="G1521" s="163"/>
      <c r="H1521" s="163"/>
      <c r="I1521" s="163"/>
      <c r="J1521" s="163"/>
      <c r="K1521" s="163"/>
      <c r="L1521" s="163"/>
      <c r="M1521" s="163"/>
      <c r="N1521" s="163"/>
      <c r="O1521" s="163"/>
      <c r="P1521" s="163"/>
      <c r="Q1521" s="163"/>
      <c r="R1521" s="226"/>
      <c r="S1521" s="30">
        <f t="shared" si="8"/>
        <v>0</v>
      </c>
      <c r="T1521" s="240"/>
      <c r="U1521" s="163"/>
      <c r="V1521" s="163"/>
      <c r="W1521" s="163"/>
      <c r="X1521" s="163"/>
      <c r="Y1521" s="239"/>
      <c r="Z1521" s="163"/>
      <c r="AA1521" s="20"/>
      <c r="AB1521" s="239"/>
      <c r="AC1521" s="163"/>
      <c r="AD1521" s="163"/>
      <c r="AE1521" s="163"/>
      <c r="AF1521" s="163"/>
      <c r="AG1521" s="163"/>
      <c r="AH1521" s="163"/>
      <c r="AI1521" s="163"/>
      <c r="AJ1521" s="163"/>
      <c r="AK1521" s="163"/>
      <c r="AL1521" s="163"/>
      <c r="AM1521" s="163"/>
      <c r="AN1521" s="163"/>
      <c r="AO1521" s="163"/>
      <c r="AP1521" s="163"/>
      <c r="AQ1521" s="163"/>
      <c r="AR1521" s="163"/>
      <c r="AS1521" s="163"/>
      <c r="AT1521" s="163"/>
    </row>
    <row r="1522" spans="1:46" ht="45" customHeight="1">
      <c r="A1522" s="21" t="s">
        <v>13065</v>
      </c>
      <c r="B1522" s="239"/>
      <c r="C1522" s="66"/>
      <c r="D1522" s="15"/>
      <c r="E1522" s="15"/>
      <c r="F1522" s="163"/>
      <c r="G1522" s="163"/>
      <c r="H1522" s="163"/>
      <c r="I1522" s="163"/>
      <c r="J1522" s="163"/>
      <c r="K1522" s="163"/>
      <c r="L1522" s="163"/>
      <c r="M1522" s="163"/>
      <c r="N1522" s="163"/>
      <c r="O1522" s="163"/>
      <c r="P1522" s="163"/>
      <c r="Q1522" s="163"/>
      <c r="R1522" s="226"/>
      <c r="S1522" s="30">
        <f t="shared" si="8"/>
        <v>0</v>
      </c>
      <c r="T1522" s="240"/>
      <c r="U1522" s="163"/>
      <c r="V1522" s="163"/>
      <c r="W1522" s="163"/>
      <c r="X1522" s="163"/>
      <c r="Y1522" s="239"/>
      <c r="Z1522" s="163"/>
      <c r="AA1522" s="20"/>
      <c r="AB1522" s="239"/>
      <c r="AC1522" s="163"/>
      <c r="AD1522" s="163"/>
      <c r="AE1522" s="163"/>
      <c r="AF1522" s="163"/>
      <c r="AG1522" s="163"/>
      <c r="AH1522" s="163"/>
      <c r="AI1522" s="163"/>
      <c r="AJ1522" s="163"/>
      <c r="AK1522" s="163"/>
      <c r="AL1522" s="163"/>
      <c r="AM1522" s="163"/>
      <c r="AN1522" s="163"/>
      <c r="AO1522" s="163"/>
      <c r="AP1522" s="163"/>
      <c r="AQ1522" s="163"/>
      <c r="AR1522" s="163"/>
      <c r="AS1522" s="163"/>
      <c r="AT1522" s="163"/>
    </row>
    <row r="1523" spans="1:46" ht="45" customHeight="1">
      <c r="A1523" s="21" t="s">
        <v>13066</v>
      </c>
      <c r="B1523" s="239"/>
      <c r="C1523" s="66"/>
      <c r="D1523" s="15"/>
      <c r="E1523" s="15"/>
      <c r="F1523" s="163"/>
      <c r="G1523" s="163"/>
      <c r="H1523" s="163"/>
      <c r="I1523" s="163"/>
      <c r="J1523" s="163"/>
      <c r="K1523" s="163"/>
      <c r="L1523" s="163"/>
      <c r="M1523" s="163"/>
      <c r="N1523" s="163"/>
      <c r="O1523" s="163"/>
      <c r="P1523" s="163"/>
      <c r="Q1523" s="163"/>
      <c r="R1523" s="226"/>
      <c r="S1523" s="30">
        <f t="shared" si="8"/>
        <v>0</v>
      </c>
      <c r="T1523" s="240"/>
      <c r="U1523" s="163"/>
      <c r="V1523" s="163"/>
      <c r="W1523" s="163"/>
      <c r="X1523" s="163"/>
      <c r="Y1523" s="239"/>
      <c r="Z1523" s="163"/>
      <c r="AA1523" s="20"/>
      <c r="AB1523" s="239"/>
      <c r="AC1523" s="163"/>
      <c r="AD1523" s="163"/>
      <c r="AE1523" s="163"/>
      <c r="AF1523" s="163"/>
      <c r="AG1523" s="163"/>
      <c r="AH1523" s="163"/>
      <c r="AI1523" s="163"/>
      <c r="AJ1523" s="163"/>
      <c r="AK1523" s="163"/>
      <c r="AL1523" s="163"/>
      <c r="AM1523" s="163"/>
      <c r="AN1523" s="163"/>
      <c r="AO1523" s="163"/>
      <c r="AP1523" s="163"/>
      <c r="AQ1523" s="163"/>
      <c r="AR1523" s="163"/>
      <c r="AS1523" s="163"/>
      <c r="AT1523" s="163"/>
    </row>
    <row r="1524" spans="1:46" ht="45" customHeight="1">
      <c r="A1524" s="21" t="s">
        <v>13067</v>
      </c>
      <c r="B1524" s="239"/>
      <c r="C1524" s="66"/>
      <c r="D1524" s="15"/>
      <c r="E1524" s="15"/>
      <c r="F1524" s="163"/>
      <c r="G1524" s="163"/>
      <c r="H1524" s="163"/>
      <c r="I1524" s="163"/>
      <c r="J1524" s="163"/>
      <c r="K1524" s="163"/>
      <c r="L1524" s="163"/>
      <c r="M1524" s="163"/>
      <c r="N1524" s="163"/>
      <c r="O1524" s="163"/>
      <c r="P1524" s="163"/>
      <c r="Q1524" s="163"/>
      <c r="R1524" s="226"/>
      <c r="S1524" s="30">
        <f t="shared" si="8"/>
        <v>0</v>
      </c>
      <c r="T1524" s="240"/>
      <c r="U1524" s="163"/>
      <c r="V1524" s="163"/>
      <c r="W1524" s="163"/>
      <c r="X1524" s="163"/>
      <c r="Y1524" s="239"/>
      <c r="Z1524" s="163"/>
      <c r="AA1524" s="20"/>
      <c r="AB1524" s="239"/>
      <c r="AC1524" s="163"/>
      <c r="AD1524" s="163"/>
      <c r="AE1524" s="163"/>
      <c r="AF1524" s="163"/>
      <c r="AG1524" s="163"/>
      <c r="AH1524" s="163"/>
      <c r="AI1524" s="163"/>
      <c r="AJ1524" s="163"/>
      <c r="AK1524" s="163"/>
      <c r="AL1524" s="163"/>
      <c r="AM1524" s="163"/>
      <c r="AN1524" s="163"/>
      <c r="AO1524" s="163"/>
      <c r="AP1524" s="163"/>
      <c r="AQ1524" s="163"/>
      <c r="AR1524" s="163"/>
      <c r="AS1524" s="163"/>
      <c r="AT1524" s="163"/>
    </row>
    <row r="1525" spans="1:46" ht="45" customHeight="1">
      <c r="A1525" s="21" t="s">
        <v>13068</v>
      </c>
      <c r="B1525" s="239"/>
      <c r="C1525" s="66"/>
      <c r="D1525" s="15"/>
      <c r="E1525" s="15"/>
      <c r="F1525" s="163"/>
      <c r="G1525" s="163"/>
      <c r="H1525" s="163"/>
      <c r="I1525" s="163"/>
      <c r="J1525" s="163"/>
      <c r="K1525" s="163"/>
      <c r="L1525" s="163"/>
      <c r="M1525" s="163"/>
      <c r="N1525" s="163"/>
      <c r="O1525" s="163"/>
      <c r="P1525" s="163"/>
      <c r="Q1525" s="163"/>
      <c r="R1525" s="226"/>
      <c r="S1525" s="30">
        <f t="shared" si="8"/>
        <v>0</v>
      </c>
      <c r="T1525" s="240"/>
      <c r="U1525" s="163"/>
      <c r="V1525" s="163"/>
      <c r="W1525" s="163"/>
      <c r="X1525" s="163"/>
      <c r="Y1525" s="239"/>
      <c r="Z1525" s="163"/>
      <c r="AA1525" s="20"/>
      <c r="AB1525" s="239"/>
      <c r="AC1525" s="163"/>
      <c r="AD1525" s="163"/>
      <c r="AE1525" s="163"/>
      <c r="AF1525" s="163"/>
      <c r="AG1525" s="163"/>
      <c r="AH1525" s="163"/>
      <c r="AI1525" s="163"/>
      <c r="AJ1525" s="163"/>
      <c r="AK1525" s="163"/>
      <c r="AL1525" s="163"/>
      <c r="AM1525" s="163"/>
      <c r="AN1525" s="163"/>
      <c r="AO1525" s="163"/>
      <c r="AP1525" s="163"/>
      <c r="AQ1525" s="163"/>
      <c r="AR1525" s="163"/>
      <c r="AS1525" s="163"/>
      <c r="AT1525" s="163"/>
    </row>
    <row r="1526" spans="1:46" ht="45" customHeight="1">
      <c r="A1526" s="21" t="s">
        <v>13069</v>
      </c>
      <c r="B1526" s="239"/>
      <c r="C1526" s="66"/>
      <c r="D1526" s="15"/>
      <c r="E1526" s="15"/>
      <c r="F1526" s="163"/>
      <c r="G1526" s="163"/>
      <c r="H1526" s="163"/>
      <c r="I1526" s="163"/>
      <c r="J1526" s="163"/>
      <c r="K1526" s="163"/>
      <c r="L1526" s="163"/>
      <c r="M1526" s="163"/>
      <c r="N1526" s="163"/>
      <c r="O1526" s="163"/>
      <c r="P1526" s="163"/>
      <c r="Q1526" s="163"/>
      <c r="R1526" s="226"/>
      <c r="S1526" s="30">
        <f t="shared" si="8"/>
        <v>0</v>
      </c>
      <c r="T1526" s="240"/>
      <c r="U1526" s="163"/>
      <c r="V1526" s="163"/>
      <c r="W1526" s="163"/>
      <c r="X1526" s="163"/>
      <c r="Y1526" s="239"/>
      <c r="Z1526" s="163"/>
      <c r="AA1526" s="20"/>
      <c r="AB1526" s="239"/>
      <c r="AC1526" s="163"/>
      <c r="AD1526" s="163"/>
      <c r="AE1526" s="163"/>
      <c r="AF1526" s="163"/>
      <c r="AG1526" s="163"/>
      <c r="AH1526" s="163"/>
      <c r="AI1526" s="163"/>
      <c r="AJ1526" s="163"/>
      <c r="AK1526" s="163"/>
      <c r="AL1526" s="163"/>
      <c r="AM1526" s="163"/>
      <c r="AN1526" s="163"/>
      <c r="AO1526" s="163"/>
      <c r="AP1526" s="163"/>
      <c r="AQ1526" s="163"/>
      <c r="AR1526" s="163"/>
      <c r="AS1526" s="163"/>
      <c r="AT1526" s="163"/>
    </row>
    <row r="1527" spans="1:46" ht="45" customHeight="1">
      <c r="A1527" s="21" t="s">
        <v>13070</v>
      </c>
      <c r="B1527" s="239"/>
      <c r="C1527" s="66"/>
      <c r="D1527" s="15"/>
      <c r="E1527" s="15"/>
      <c r="F1527" s="163"/>
      <c r="G1527" s="163"/>
      <c r="H1527" s="163"/>
      <c r="I1527" s="163"/>
      <c r="J1527" s="163"/>
      <c r="K1527" s="163"/>
      <c r="L1527" s="163"/>
      <c r="M1527" s="163"/>
      <c r="N1527" s="163"/>
      <c r="O1527" s="163"/>
      <c r="P1527" s="163"/>
      <c r="Q1527" s="163"/>
      <c r="R1527" s="226"/>
      <c r="S1527" s="30">
        <f t="shared" si="8"/>
        <v>0</v>
      </c>
      <c r="T1527" s="240"/>
      <c r="U1527" s="163"/>
      <c r="V1527" s="163"/>
      <c r="W1527" s="163"/>
      <c r="X1527" s="163"/>
      <c r="Y1527" s="239"/>
      <c r="Z1527" s="163"/>
      <c r="AA1527" s="20"/>
      <c r="AB1527" s="239"/>
      <c r="AC1527" s="163"/>
      <c r="AD1527" s="163"/>
      <c r="AE1527" s="163"/>
      <c r="AF1527" s="163"/>
      <c r="AG1527" s="163"/>
      <c r="AH1527" s="163"/>
      <c r="AI1527" s="163"/>
      <c r="AJ1527" s="163"/>
      <c r="AK1527" s="163"/>
      <c r="AL1527" s="163"/>
      <c r="AM1527" s="163"/>
      <c r="AN1527" s="163"/>
      <c r="AO1527" s="163"/>
      <c r="AP1527" s="163"/>
      <c r="AQ1527" s="163"/>
      <c r="AR1527" s="163"/>
      <c r="AS1527" s="163"/>
      <c r="AT1527" s="163"/>
    </row>
    <row r="1528" spans="1:46" ht="45" customHeight="1">
      <c r="A1528" s="21" t="s">
        <v>13071</v>
      </c>
      <c r="B1528" s="239"/>
      <c r="C1528" s="66"/>
      <c r="D1528" s="15"/>
      <c r="E1528" s="15"/>
      <c r="F1528" s="163"/>
      <c r="G1528" s="163"/>
      <c r="H1528" s="163"/>
      <c r="I1528" s="163"/>
      <c r="J1528" s="163"/>
      <c r="K1528" s="163"/>
      <c r="L1528" s="163"/>
      <c r="M1528" s="163"/>
      <c r="N1528" s="163"/>
      <c r="O1528" s="163"/>
      <c r="P1528" s="163"/>
      <c r="Q1528" s="163"/>
      <c r="R1528" s="226"/>
      <c r="S1528" s="30">
        <f t="shared" si="8"/>
        <v>0</v>
      </c>
      <c r="T1528" s="240"/>
      <c r="U1528" s="163"/>
      <c r="V1528" s="163"/>
      <c r="W1528" s="163"/>
      <c r="X1528" s="163"/>
      <c r="Y1528" s="239"/>
      <c r="Z1528" s="163"/>
      <c r="AA1528" s="20"/>
      <c r="AB1528" s="239"/>
      <c r="AC1528" s="163"/>
      <c r="AD1528" s="163"/>
      <c r="AE1528" s="163"/>
      <c r="AF1528" s="163"/>
      <c r="AG1528" s="163"/>
      <c r="AH1528" s="163"/>
      <c r="AI1528" s="163"/>
      <c r="AJ1528" s="163"/>
      <c r="AK1528" s="163"/>
      <c r="AL1528" s="163"/>
      <c r="AM1528" s="163"/>
      <c r="AN1528" s="163"/>
      <c r="AO1528" s="163"/>
      <c r="AP1528" s="163"/>
      <c r="AQ1528" s="163"/>
      <c r="AR1528" s="163"/>
      <c r="AS1528" s="163"/>
      <c r="AT1528" s="163"/>
    </row>
    <row r="1529" spans="1:46" ht="45" customHeight="1">
      <c r="A1529" s="21" t="s">
        <v>13072</v>
      </c>
      <c r="B1529" s="239"/>
      <c r="C1529" s="66"/>
      <c r="D1529" s="15"/>
      <c r="E1529" s="15"/>
      <c r="F1529" s="163"/>
      <c r="G1529" s="163"/>
      <c r="H1529" s="163"/>
      <c r="I1529" s="163"/>
      <c r="J1529" s="163"/>
      <c r="K1529" s="163"/>
      <c r="L1529" s="163"/>
      <c r="M1529" s="163"/>
      <c r="N1529" s="163"/>
      <c r="O1529" s="163"/>
      <c r="P1529" s="163"/>
      <c r="Q1529" s="163"/>
      <c r="R1529" s="226"/>
      <c r="S1529" s="30">
        <f t="shared" si="8"/>
        <v>0</v>
      </c>
      <c r="T1529" s="240"/>
      <c r="U1529" s="163"/>
      <c r="V1529" s="163"/>
      <c r="W1529" s="163"/>
      <c r="X1529" s="163"/>
      <c r="Y1529" s="239"/>
      <c r="Z1529" s="163"/>
      <c r="AA1529" s="20"/>
      <c r="AB1529" s="239"/>
      <c r="AC1529" s="163"/>
      <c r="AD1529" s="163"/>
      <c r="AE1529" s="163"/>
      <c r="AF1529" s="163"/>
      <c r="AG1529" s="163"/>
      <c r="AH1529" s="163"/>
      <c r="AI1529" s="163"/>
      <c r="AJ1529" s="163"/>
      <c r="AK1529" s="163"/>
      <c r="AL1529" s="163"/>
      <c r="AM1529" s="163"/>
      <c r="AN1529" s="163"/>
      <c r="AO1529" s="163"/>
      <c r="AP1529" s="163"/>
      <c r="AQ1529" s="163"/>
      <c r="AR1529" s="163"/>
      <c r="AS1529" s="163"/>
      <c r="AT1529" s="163"/>
    </row>
    <row r="1530" spans="1:46" ht="45" customHeight="1">
      <c r="A1530" s="21" t="s">
        <v>13073</v>
      </c>
      <c r="B1530" s="239"/>
      <c r="C1530" s="66"/>
      <c r="D1530" s="15"/>
      <c r="E1530" s="15"/>
      <c r="F1530" s="163"/>
      <c r="G1530" s="163"/>
      <c r="H1530" s="163"/>
      <c r="I1530" s="163"/>
      <c r="J1530" s="163"/>
      <c r="K1530" s="163"/>
      <c r="L1530" s="163"/>
      <c r="M1530" s="163"/>
      <c r="N1530" s="163"/>
      <c r="O1530" s="163"/>
      <c r="P1530" s="163"/>
      <c r="Q1530" s="163"/>
      <c r="R1530" s="226"/>
      <c r="S1530" s="30">
        <f t="shared" si="8"/>
        <v>0</v>
      </c>
      <c r="T1530" s="240"/>
      <c r="U1530" s="163"/>
      <c r="V1530" s="163"/>
      <c r="W1530" s="163"/>
      <c r="X1530" s="163"/>
      <c r="Y1530" s="239"/>
      <c r="Z1530" s="163"/>
      <c r="AA1530" s="20"/>
      <c r="AB1530" s="239"/>
      <c r="AC1530" s="163"/>
      <c r="AD1530" s="163"/>
      <c r="AE1530" s="163"/>
      <c r="AF1530" s="163"/>
      <c r="AG1530" s="163"/>
      <c r="AH1530" s="163"/>
      <c r="AI1530" s="163"/>
      <c r="AJ1530" s="163"/>
      <c r="AK1530" s="163"/>
      <c r="AL1530" s="163"/>
      <c r="AM1530" s="163"/>
      <c r="AN1530" s="163"/>
      <c r="AO1530" s="163"/>
      <c r="AP1530" s="163"/>
      <c r="AQ1530" s="163"/>
      <c r="AR1530" s="163"/>
      <c r="AS1530" s="163"/>
      <c r="AT1530" s="163"/>
    </row>
    <row r="1531" spans="1:46" ht="45" customHeight="1">
      <c r="A1531" s="21" t="s">
        <v>13074</v>
      </c>
      <c r="B1531" s="239"/>
      <c r="C1531" s="66"/>
      <c r="D1531" s="15"/>
      <c r="E1531" s="15"/>
      <c r="F1531" s="163"/>
      <c r="G1531" s="163"/>
      <c r="H1531" s="163"/>
      <c r="I1531" s="163"/>
      <c r="J1531" s="163"/>
      <c r="K1531" s="163"/>
      <c r="L1531" s="163"/>
      <c r="M1531" s="163"/>
      <c r="N1531" s="163"/>
      <c r="O1531" s="163"/>
      <c r="P1531" s="163"/>
      <c r="Q1531" s="163"/>
      <c r="R1531" s="226"/>
      <c r="S1531" s="30">
        <f t="shared" si="8"/>
        <v>0</v>
      </c>
      <c r="T1531" s="240"/>
      <c r="U1531" s="163"/>
      <c r="V1531" s="163"/>
      <c r="W1531" s="163"/>
      <c r="X1531" s="163"/>
      <c r="Y1531" s="239"/>
      <c r="Z1531" s="163"/>
      <c r="AA1531" s="20"/>
      <c r="AB1531" s="239"/>
      <c r="AC1531" s="163"/>
      <c r="AD1531" s="163"/>
      <c r="AE1531" s="163"/>
      <c r="AF1531" s="163"/>
      <c r="AG1531" s="163"/>
      <c r="AH1531" s="163"/>
      <c r="AI1531" s="163"/>
      <c r="AJ1531" s="163"/>
      <c r="AK1531" s="163"/>
      <c r="AL1531" s="163"/>
      <c r="AM1531" s="163"/>
      <c r="AN1531" s="163"/>
      <c r="AO1531" s="163"/>
      <c r="AP1531" s="163"/>
      <c r="AQ1531" s="163"/>
      <c r="AR1531" s="163"/>
      <c r="AS1531" s="163"/>
      <c r="AT1531" s="163"/>
    </row>
    <row r="1532" spans="1:46" ht="45" customHeight="1">
      <c r="A1532" s="21" t="s">
        <v>13075</v>
      </c>
      <c r="B1532" s="239"/>
      <c r="C1532" s="66"/>
      <c r="D1532" s="15"/>
      <c r="E1532" s="15"/>
      <c r="F1532" s="163"/>
      <c r="G1532" s="163"/>
      <c r="H1532" s="163"/>
      <c r="I1532" s="163"/>
      <c r="J1532" s="163"/>
      <c r="K1532" s="163"/>
      <c r="L1532" s="163"/>
      <c r="M1532" s="163"/>
      <c r="N1532" s="163"/>
      <c r="O1532" s="163"/>
      <c r="P1532" s="163"/>
      <c r="Q1532" s="163"/>
      <c r="R1532" s="226"/>
      <c r="S1532" s="30">
        <f t="shared" si="8"/>
        <v>0</v>
      </c>
      <c r="T1532" s="240"/>
      <c r="U1532" s="163"/>
      <c r="V1532" s="163"/>
      <c r="W1532" s="163"/>
      <c r="X1532" s="163"/>
      <c r="Y1532" s="239"/>
      <c r="Z1532" s="163"/>
      <c r="AA1532" s="20"/>
      <c r="AB1532" s="239"/>
      <c r="AC1532" s="163"/>
      <c r="AD1532" s="163"/>
      <c r="AE1532" s="163"/>
      <c r="AF1532" s="163"/>
      <c r="AG1532" s="163"/>
      <c r="AH1532" s="163"/>
      <c r="AI1532" s="163"/>
      <c r="AJ1532" s="163"/>
      <c r="AK1532" s="163"/>
      <c r="AL1532" s="163"/>
      <c r="AM1532" s="163"/>
      <c r="AN1532" s="163"/>
      <c r="AO1532" s="163"/>
      <c r="AP1532" s="163"/>
      <c r="AQ1532" s="163"/>
      <c r="AR1532" s="163"/>
      <c r="AS1532" s="163"/>
      <c r="AT1532" s="163"/>
    </row>
    <row r="1533" spans="1:46" ht="45" customHeight="1">
      <c r="A1533" s="21" t="s">
        <v>13076</v>
      </c>
      <c r="B1533" s="239"/>
      <c r="C1533" s="66"/>
      <c r="D1533" s="15"/>
      <c r="E1533" s="15"/>
      <c r="F1533" s="163"/>
      <c r="G1533" s="163"/>
      <c r="H1533" s="163"/>
      <c r="I1533" s="163"/>
      <c r="J1533" s="163"/>
      <c r="K1533" s="163"/>
      <c r="L1533" s="163"/>
      <c r="M1533" s="163"/>
      <c r="N1533" s="163"/>
      <c r="O1533" s="163"/>
      <c r="P1533" s="163"/>
      <c r="Q1533" s="163"/>
      <c r="R1533" s="226"/>
      <c r="S1533" s="30">
        <f t="shared" si="8"/>
        <v>0</v>
      </c>
      <c r="T1533" s="240"/>
      <c r="U1533" s="163"/>
      <c r="V1533" s="163"/>
      <c r="W1533" s="163"/>
      <c r="X1533" s="163"/>
      <c r="Y1533" s="239"/>
      <c r="Z1533" s="163"/>
      <c r="AA1533" s="20"/>
      <c r="AB1533" s="239"/>
      <c r="AC1533" s="163"/>
      <c r="AD1533" s="163"/>
      <c r="AE1533" s="163"/>
      <c r="AF1533" s="163"/>
      <c r="AG1533" s="163"/>
      <c r="AH1533" s="163"/>
      <c r="AI1533" s="163"/>
      <c r="AJ1533" s="163"/>
      <c r="AK1533" s="163"/>
      <c r="AL1533" s="163"/>
      <c r="AM1533" s="163"/>
      <c r="AN1533" s="163"/>
      <c r="AO1533" s="163"/>
      <c r="AP1533" s="163"/>
      <c r="AQ1533" s="163"/>
      <c r="AR1533" s="163"/>
      <c r="AS1533" s="163"/>
      <c r="AT1533" s="163"/>
    </row>
    <row r="1534" spans="1:46" ht="45" customHeight="1">
      <c r="A1534" s="21" t="s">
        <v>13077</v>
      </c>
      <c r="B1534" s="239"/>
      <c r="C1534" s="66"/>
      <c r="D1534" s="15"/>
      <c r="E1534" s="15"/>
      <c r="F1534" s="163"/>
      <c r="G1534" s="163"/>
      <c r="H1534" s="163"/>
      <c r="I1534" s="163"/>
      <c r="J1534" s="163"/>
      <c r="K1534" s="163"/>
      <c r="L1534" s="163"/>
      <c r="M1534" s="163"/>
      <c r="N1534" s="163"/>
      <c r="O1534" s="163"/>
      <c r="P1534" s="163"/>
      <c r="Q1534" s="163"/>
      <c r="R1534" s="226"/>
      <c r="S1534" s="30">
        <f t="shared" si="8"/>
        <v>0</v>
      </c>
      <c r="T1534" s="240"/>
      <c r="U1534" s="163"/>
      <c r="V1534" s="163"/>
      <c r="W1534" s="163"/>
      <c r="X1534" s="163"/>
      <c r="Y1534" s="239"/>
      <c r="Z1534" s="163"/>
      <c r="AA1534" s="20"/>
      <c r="AB1534" s="239"/>
      <c r="AC1534" s="163"/>
      <c r="AD1534" s="163"/>
      <c r="AE1534" s="163"/>
      <c r="AF1534" s="163"/>
      <c r="AG1534" s="163"/>
      <c r="AH1534" s="163"/>
      <c r="AI1534" s="163"/>
      <c r="AJ1534" s="163"/>
      <c r="AK1534" s="163"/>
      <c r="AL1534" s="163"/>
      <c r="AM1534" s="163"/>
      <c r="AN1534" s="163"/>
      <c r="AO1534" s="163"/>
      <c r="AP1534" s="163"/>
      <c r="AQ1534" s="163"/>
      <c r="AR1534" s="163"/>
      <c r="AS1534" s="163"/>
      <c r="AT1534" s="163"/>
    </row>
    <row r="1535" spans="1:46" ht="45" customHeight="1">
      <c r="A1535" s="21" t="s">
        <v>13078</v>
      </c>
      <c r="B1535" s="239"/>
      <c r="C1535" s="66"/>
      <c r="D1535" s="15"/>
      <c r="E1535" s="15"/>
      <c r="F1535" s="163"/>
      <c r="G1535" s="163"/>
      <c r="H1535" s="163"/>
      <c r="I1535" s="163"/>
      <c r="J1535" s="163"/>
      <c r="K1535" s="163"/>
      <c r="L1535" s="163"/>
      <c r="M1535" s="163"/>
      <c r="N1535" s="163"/>
      <c r="O1535" s="163"/>
      <c r="P1535" s="163"/>
      <c r="Q1535" s="163"/>
      <c r="R1535" s="226"/>
      <c r="S1535" s="30">
        <f t="shared" si="8"/>
        <v>0</v>
      </c>
      <c r="T1535" s="240"/>
      <c r="U1535" s="163"/>
      <c r="V1535" s="163"/>
      <c r="W1535" s="163"/>
      <c r="X1535" s="163"/>
      <c r="Y1535" s="239"/>
      <c r="Z1535" s="163"/>
      <c r="AA1535" s="20"/>
      <c r="AB1535" s="239"/>
      <c r="AC1535" s="163"/>
      <c r="AD1535" s="163"/>
      <c r="AE1535" s="163"/>
      <c r="AF1535" s="163"/>
      <c r="AG1535" s="163"/>
      <c r="AH1535" s="163"/>
      <c r="AI1535" s="163"/>
      <c r="AJ1535" s="163"/>
      <c r="AK1535" s="163"/>
      <c r="AL1535" s="163"/>
      <c r="AM1535" s="163"/>
      <c r="AN1535" s="163"/>
      <c r="AO1535" s="163"/>
      <c r="AP1535" s="163"/>
      <c r="AQ1535" s="163"/>
      <c r="AR1535" s="163"/>
      <c r="AS1535" s="163"/>
      <c r="AT1535" s="163"/>
    </row>
    <row r="1536" spans="1:46" ht="45" customHeight="1">
      <c r="A1536" s="21" t="s">
        <v>13079</v>
      </c>
      <c r="B1536" s="239"/>
      <c r="C1536" s="66"/>
      <c r="D1536" s="15"/>
      <c r="E1536" s="15"/>
      <c r="F1536" s="163"/>
      <c r="G1536" s="163"/>
      <c r="H1536" s="163"/>
      <c r="I1536" s="163"/>
      <c r="J1536" s="163"/>
      <c r="K1536" s="163"/>
      <c r="L1536" s="163"/>
      <c r="M1536" s="163"/>
      <c r="N1536" s="163"/>
      <c r="O1536" s="163"/>
      <c r="P1536" s="163"/>
      <c r="Q1536" s="163"/>
      <c r="R1536" s="226"/>
      <c r="S1536" s="30">
        <f t="shared" si="8"/>
        <v>0</v>
      </c>
      <c r="T1536" s="240"/>
      <c r="U1536" s="163"/>
      <c r="V1536" s="163"/>
      <c r="W1536" s="163"/>
      <c r="X1536" s="163"/>
      <c r="Y1536" s="239"/>
      <c r="Z1536" s="163"/>
      <c r="AA1536" s="20"/>
      <c r="AB1536" s="239"/>
      <c r="AC1536" s="163"/>
      <c r="AD1536" s="163"/>
      <c r="AE1536" s="163"/>
      <c r="AF1536" s="163"/>
      <c r="AG1536" s="163"/>
      <c r="AH1536" s="163"/>
      <c r="AI1536" s="163"/>
      <c r="AJ1536" s="163"/>
      <c r="AK1536" s="163"/>
      <c r="AL1536" s="163"/>
      <c r="AM1536" s="163"/>
      <c r="AN1536" s="163"/>
      <c r="AO1536" s="163"/>
      <c r="AP1536" s="163"/>
      <c r="AQ1536" s="163"/>
      <c r="AR1536" s="163"/>
      <c r="AS1536" s="163"/>
      <c r="AT1536" s="163"/>
    </row>
    <row r="1537" spans="1:46" ht="45" customHeight="1">
      <c r="A1537" s="21" t="s">
        <v>13080</v>
      </c>
      <c r="B1537" s="239"/>
      <c r="C1537" s="66"/>
      <c r="D1537" s="15"/>
      <c r="E1537" s="15"/>
      <c r="F1537" s="163"/>
      <c r="G1537" s="163"/>
      <c r="H1537" s="163"/>
      <c r="I1537" s="163"/>
      <c r="J1537" s="163"/>
      <c r="K1537" s="163"/>
      <c r="L1537" s="163"/>
      <c r="M1537" s="163"/>
      <c r="N1537" s="163"/>
      <c r="O1537" s="163"/>
      <c r="P1537" s="163"/>
      <c r="Q1537" s="163"/>
      <c r="R1537" s="226"/>
      <c r="S1537" s="30">
        <f t="shared" si="8"/>
        <v>0</v>
      </c>
      <c r="T1537" s="240"/>
      <c r="U1537" s="163"/>
      <c r="V1537" s="163"/>
      <c r="W1537" s="163"/>
      <c r="X1537" s="163"/>
      <c r="Y1537" s="239"/>
      <c r="Z1537" s="163"/>
      <c r="AA1537" s="20"/>
      <c r="AB1537" s="239"/>
      <c r="AC1537" s="163"/>
      <c r="AD1537" s="163"/>
      <c r="AE1537" s="163"/>
      <c r="AF1537" s="163"/>
      <c r="AG1537" s="163"/>
      <c r="AH1537" s="163"/>
      <c r="AI1537" s="163"/>
      <c r="AJ1537" s="163"/>
      <c r="AK1537" s="163"/>
      <c r="AL1537" s="163"/>
      <c r="AM1537" s="163"/>
      <c r="AN1537" s="163"/>
      <c r="AO1537" s="163"/>
      <c r="AP1537" s="163"/>
      <c r="AQ1537" s="163"/>
      <c r="AR1537" s="163"/>
      <c r="AS1537" s="163"/>
      <c r="AT1537" s="163"/>
    </row>
    <row r="1538" spans="1:46" ht="45" customHeight="1">
      <c r="A1538" s="21" t="s">
        <v>13081</v>
      </c>
      <c r="B1538" s="239"/>
      <c r="C1538" s="66"/>
      <c r="D1538" s="15"/>
      <c r="E1538" s="15"/>
      <c r="F1538" s="163"/>
      <c r="G1538" s="163"/>
      <c r="H1538" s="163"/>
      <c r="I1538" s="163"/>
      <c r="J1538" s="163"/>
      <c r="K1538" s="163"/>
      <c r="L1538" s="163"/>
      <c r="M1538" s="163"/>
      <c r="N1538" s="163"/>
      <c r="O1538" s="163"/>
      <c r="P1538" s="163"/>
      <c r="Q1538" s="163"/>
      <c r="R1538" s="226"/>
      <c r="S1538" s="30">
        <f t="shared" si="8"/>
        <v>0</v>
      </c>
      <c r="T1538" s="240"/>
      <c r="U1538" s="163"/>
      <c r="V1538" s="163"/>
      <c r="W1538" s="163"/>
      <c r="X1538" s="163"/>
      <c r="Y1538" s="239"/>
      <c r="Z1538" s="163"/>
      <c r="AA1538" s="20"/>
      <c r="AB1538" s="239"/>
      <c r="AC1538" s="163"/>
      <c r="AD1538" s="163"/>
      <c r="AE1538" s="163"/>
      <c r="AF1538" s="163"/>
      <c r="AG1538" s="163"/>
      <c r="AH1538" s="163"/>
      <c r="AI1538" s="163"/>
      <c r="AJ1538" s="163"/>
      <c r="AK1538" s="163"/>
      <c r="AL1538" s="163"/>
      <c r="AM1538" s="163"/>
      <c r="AN1538" s="163"/>
      <c r="AO1538" s="163"/>
      <c r="AP1538" s="163"/>
      <c r="AQ1538" s="163"/>
      <c r="AR1538" s="163"/>
      <c r="AS1538" s="163"/>
      <c r="AT1538" s="163"/>
    </row>
    <row r="1539" spans="1:46" ht="45" customHeight="1">
      <c r="A1539" s="21" t="s">
        <v>13082</v>
      </c>
      <c r="B1539" s="239"/>
      <c r="C1539" s="66"/>
      <c r="D1539" s="15"/>
      <c r="E1539" s="15"/>
      <c r="F1539" s="163"/>
      <c r="G1539" s="163"/>
      <c r="H1539" s="163"/>
      <c r="I1539" s="163"/>
      <c r="J1539" s="163"/>
      <c r="K1539" s="163"/>
      <c r="L1539" s="163"/>
      <c r="M1539" s="163"/>
      <c r="N1539" s="163"/>
      <c r="O1539" s="163"/>
      <c r="P1539" s="163"/>
      <c r="Q1539" s="163"/>
      <c r="R1539" s="226"/>
      <c r="S1539" s="30">
        <f t="shared" si="8"/>
        <v>0</v>
      </c>
      <c r="T1539" s="240"/>
      <c r="U1539" s="163"/>
      <c r="V1539" s="163"/>
      <c r="W1539" s="163"/>
      <c r="X1539" s="163"/>
      <c r="Y1539" s="239"/>
      <c r="Z1539" s="163"/>
      <c r="AA1539" s="20"/>
      <c r="AB1539" s="239"/>
      <c r="AC1539" s="163"/>
      <c r="AD1539" s="163"/>
      <c r="AE1539" s="163"/>
      <c r="AF1539" s="163"/>
      <c r="AG1539" s="163"/>
      <c r="AH1539" s="163"/>
      <c r="AI1539" s="163"/>
      <c r="AJ1539" s="163"/>
      <c r="AK1539" s="163"/>
      <c r="AL1539" s="163"/>
      <c r="AM1539" s="163"/>
      <c r="AN1539" s="163"/>
      <c r="AO1539" s="163"/>
      <c r="AP1539" s="163"/>
      <c r="AQ1539" s="163"/>
      <c r="AR1539" s="163"/>
      <c r="AS1539" s="163"/>
      <c r="AT1539" s="163"/>
    </row>
    <row r="1540" spans="1:46" ht="45" customHeight="1">
      <c r="A1540" s="21" t="s">
        <v>13083</v>
      </c>
      <c r="B1540" s="241"/>
      <c r="C1540" s="66"/>
      <c r="D1540" s="15"/>
      <c r="E1540" s="15"/>
      <c r="F1540" s="242"/>
      <c r="G1540" s="242"/>
      <c r="H1540" s="242"/>
      <c r="I1540" s="242"/>
      <c r="J1540" s="242"/>
      <c r="K1540" s="242"/>
      <c r="L1540" s="242"/>
      <c r="M1540" s="242"/>
      <c r="N1540" s="242"/>
      <c r="O1540" s="242"/>
      <c r="P1540" s="242"/>
      <c r="Q1540" s="242"/>
      <c r="R1540" s="226"/>
      <c r="S1540" s="30">
        <f t="shared" si="8"/>
        <v>0</v>
      </c>
      <c r="T1540" s="243"/>
      <c r="U1540" s="242"/>
      <c r="V1540" s="242"/>
      <c r="W1540" s="242"/>
      <c r="X1540" s="242"/>
      <c r="Y1540" s="241"/>
      <c r="Z1540" s="242"/>
      <c r="AA1540" s="135"/>
      <c r="AB1540" s="241"/>
      <c r="AC1540" s="242"/>
      <c r="AD1540" s="242"/>
      <c r="AE1540" s="242"/>
      <c r="AF1540" s="242"/>
      <c r="AG1540" s="242"/>
      <c r="AH1540" s="242"/>
      <c r="AI1540" s="242"/>
      <c r="AJ1540" s="242"/>
      <c r="AK1540" s="242"/>
      <c r="AL1540" s="242"/>
      <c r="AM1540" s="242"/>
      <c r="AN1540" s="242"/>
      <c r="AO1540" s="242"/>
      <c r="AP1540" s="242"/>
      <c r="AQ1540" s="242"/>
      <c r="AR1540" s="242"/>
      <c r="AS1540" s="242"/>
      <c r="AT1540" s="242"/>
    </row>
    <row r="1541" spans="1:46" ht="45" customHeight="1">
      <c r="A1541" s="21" t="s">
        <v>13084</v>
      </c>
      <c r="B1541" s="241"/>
      <c r="C1541" s="66"/>
      <c r="D1541" s="15"/>
      <c r="E1541" s="15"/>
      <c r="F1541" s="242"/>
      <c r="G1541" s="242"/>
      <c r="H1541" s="242"/>
      <c r="I1541" s="242"/>
      <c r="J1541" s="242"/>
      <c r="K1541" s="242"/>
      <c r="L1541" s="242"/>
      <c r="M1541" s="242"/>
      <c r="N1541" s="242"/>
      <c r="O1541" s="242"/>
      <c r="P1541" s="242"/>
      <c r="Q1541" s="242"/>
      <c r="R1541" s="226"/>
      <c r="S1541" s="30">
        <f t="shared" si="8"/>
        <v>0</v>
      </c>
      <c r="T1541" s="243"/>
      <c r="U1541" s="242"/>
      <c r="V1541" s="242"/>
      <c r="W1541" s="242"/>
      <c r="X1541" s="242"/>
      <c r="Y1541" s="241"/>
      <c r="Z1541" s="242"/>
      <c r="AA1541" s="135"/>
      <c r="AB1541" s="241"/>
      <c r="AC1541" s="242"/>
      <c r="AD1541" s="242"/>
      <c r="AE1541" s="242"/>
      <c r="AF1541" s="242"/>
      <c r="AG1541" s="242"/>
      <c r="AH1541" s="242"/>
      <c r="AI1541" s="242"/>
      <c r="AJ1541" s="242"/>
      <c r="AK1541" s="242"/>
      <c r="AL1541" s="242"/>
      <c r="AM1541" s="242"/>
      <c r="AN1541" s="242"/>
      <c r="AO1541" s="242"/>
      <c r="AP1541" s="242"/>
      <c r="AQ1541" s="242"/>
      <c r="AR1541" s="242"/>
      <c r="AS1541" s="242"/>
      <c r="AT1541" s="242"/>
    </row>
    <row r="1542" spans="1:46" ht="45" customHeight="1">
      <c r="A1542" s="21" t="s">
        <v>13085</v>
      </c>
      <c r="B1542" s="241"/>
      <c r="C1542" s="66"/>
      <c r="D1542" s="15"/>
      <c r="E1542" s="15"/>
      <c r="F1542" s="242"/>
      <c r="G1542" s="242"/>
      <c r="H1542" s="242"/>
      <c r="I1542" s="242"/>
      <c r="J1542" s="242"/>
      <c r="K1542" s="242"/>
      <c r="L1542" s="242"/>
      <c r="M1542" s="242"/>
      <c r="N1542" s="242"/>
      <c r="O1542" s="242"/>
      <c r="P1542" s="242"/>
      <c r="Q1542" s="242"/>
      <c r="R1542" s="226"/>
      <c r="S1542" s="30">
        <f t="shared" si="8"/>
        <v>0</v>
      </c>
      <c r="T1542" s="243"/>
      <c r="U1542" s="242"/>
      <c r="V1542" s="242"/>
      <c r="W1542" s="242"/>
      <c r="X1542" s="242"/>
      <c r="Y1542" s="241"/>
      <c r="Z1542" s="242"/>
      <c r="AA1542" s="135"/>
      <c r="AB1542" s="241"/>
      <c r="AC1542" s="242"/>
      <c r="AD1542" s="242"/>
      <c r="AE1542" s="242"/>
      <c r="AF1542" s="242"/>
      <c r="AG1542" s="242"/>
      <c r="AH1542" s="242"/>
      <c r="AI1542" s="242"/>
      <c r="AJ1542" s="242"/>
      <c r="AK1542" s="242"/>
      <c r="AL1542" s="242"/>
      <c r="AM1542" s="242"/>
      <c r="AN1542" s="242"/>
      <c r="AO1542" s="242"/>
      <c r="AP1542" s="242"/>
      <c r="AQ1542" s="242"/>
      <c r="AR1542" s="242"/>
      <c r="AS1542" s="242"/>
      <c r="AT1542" s="242"/>
    </row>
    <row r="1543" spans="1:46" ht="45" customHeight="1">
      <c r="A1543" s="21" t="s">
        <v>13086</v>
      </c>
      <c r="B1543" s="241"/>
      <c r="C1543" s="66"/>
      <c r="D1543" s="15"/>
      <c r="E1543" s="15"/>
      <c r="F1543" s="242"/>
      <c r="G1543" s="242"/>
      <c r="H1543" s="242"/>
      <c r="I1543" s="242"/>
      <c r="J1543" s="242"/>
      <c r="K1543" s="242"/>
      <c r="L1543" s="242"/>
      <c r="M1543" s="242"/>
      <c r="N1543" s="242"/>
      <c r="O1543" s="242"/>
      <c r="P1543" s="242"/>
      <c r="Q1543" s="242"/>
      <c r="R1543" s="226"/>
      <c r="S1543" s="30">
        <f t="shared" si="8"/>
        <v>0</v>
      </c>
      <c r="T1543" s="243"/>
      <c r="U1543" s="242"/>
      <c r="V1543" s="242"/>
      <c r="W1543" s="242"/>
      <c r="X1543" s="242"/>
      <c r="Y1543" s="241"/>
      <c r="Z1543" s="242"/>
      <c r="AA1543" s="135"/>
      <c r="AB1543" s="241"/>
      <c r="AC1543" s="242"/>
      <c r="AD1543" s="242"/>
      <c r="AE1543" s="242"/>
      <c r="AF1543" s="242"/>
      <c r="AG1543" s="242"/>
      <c r="AH1543" s="242"/>
      <c r="AI1543" s="242"/>
      <c r="AJ1543" s="242"/>
      <c r="AK1543" s="242"/>
      <c r="AL1543" s="242"/>
      <c r="AM1543" s="242"/>
      <c r="AN1543" s="242"/>
      <c r="AO1543" s="242"/>
      <c r="AP1543" s="242"/>
      <c r="AQ1543" s="242"/>
      <c r="AR1543" s="242"/>
      <c r="AS1543" s="242"/>
      <c r="AT1543" s="242"/>
    </row>
    <row r="1544" spans="1:46" ht="45" customHeight="1">
      <c r="A1544" s="21" t="s">
        <v>13087</v>
      </c>
      <c r="B1544" s="241"/>
      <c r="C1544" s="66"/>
      <c r="D1544" s="15"/>
      <c r="E1544" s="15"/>
      <c r="F1544" s="242"/>
      <c r="G1544" s="242"/>
      <c r="H1544" s="242"/>
      <c r="I1544" s="242"/>
      <c r="J1544" s="242"/>
      <c r="K1544" s="242"/>
      <c r="L1544" s="242"/>
      <c r="M1544" s="242"/>
      <c r="N1544" s="242"/>
      <c r="O1544" s="242"/>
      <c r="P1544" s="242"/>
      <c r="Q1544" s="242"/>
      <c r="R1544" s="226"/>
      <c r="S1544" s="30">
        <f t="shared" si="8"/>
        <v>0</v>
      </c>
      <c r="T1544" s="243"/>
      <c r="U1544" s="242"/>
      <c r="V1544" s="242"/>
      <c r="W1544" s="242"/>
      <c r="X1544" s="242"/>
      <c r="Y1544" s="241"/>
      <c r="Z1544" s="242"/>
      <c r="AA1544" s="135"/>
      <c r="AB1544" s="241"/>
      <c r="AC1544" s="242"/>
      <c r="AD1544" s="242"/>
      <c r="AE1544" s="242"/>
      <c r="AF1544" s="242"/>
      <c r="AG1544" s="242"/>
      <c r="AH1544" s="242"/>
      <c r="AI1544" s="242"/>
      <c r="AJ1544" s="242"/>
      <c r="AK1544" s="242"/>
      <c r="AL1544" s="242"/>
      <c r="AM1544" s="242"/>
      <c r="AN1544" s="242"/>
      <c r="AO1544" s="242"/>
      <c r="AP1544" s="242"/>
      <c r="AQ1544" s="242"/>
      <c r="AR1544" s="242"/>
      <c r="AS1544" s="242"/>
      <c r="AT1544" s="242"/>
    </row>
    <row r="1545" spans="1:46" ht="45" customHeight="1">
      <c r="A1545" s="21" t="s">
        <v>13088</v>
      </c>
      <c r="B1545" s="241"/>
      <c r="C1545" s="66"/>
      <c r="D1545" s="15"/>
      <c r="E1545" s="15"/>
      <c r="F1545" s="242"/>
      <c r="G1545" s="242"/>
      <c r="H1545" s="242"/>
      <c r="I1545" s="242"/>
      <c r="J1545" s="242"/>
      <c r="K1545" s="242"/>
      <c r="L1545" s="242"/>
      <c r="M1545" s="242"/>
      <c r="N1545" s="242"/>
      <c r="O1545" s="242"/>
      <c r="P1545" s="242"/>
      <c r="Q1545" s="242"/>
      <c r="R1545" s="226"/>
      <c r="S1545" s="30">
        <f t="shared" si="8"/>
        <v>0</v>
      </c>
      <c r="T1545" s="243"/>
      <c r="U1545" s="242"/>
      <c r="V1545" s="242"/>
      <c r="W1545" s="242"/>
      <c r="X1545" s="242"/>
      <c r="Y1545" s="241"/>
      <c r="Z1545" s="242"/>
      <c r="AA1545" s="135"/>
      <c r="AB1545" s="241"/>
      <c r="AC1545" s="242"/>
      <c r="AD1545" s="242"/>
      <c r="AE1545" s="242"/>
      <c r="AF1545" s="242"/>
      <c r="AG1545" s="242"/>
      <c r="AH1545" s="242"/>
      <c r="AI1545" s="242"/>
      <c r="AJ1545" s="242"/>
      <c r="AK1545" s="242"/>
      <c r="AL1545" s="242"/>
      <c r="AM1545" s="242"/>
      <c r="AN1545" s="242"/>
      <c r="AO1545" s="242"/>
      <c r="AP1545" s="242"/>
      <c r="AQ1545" s="242"/>
      <c r="AR1545" s="242"/>
      <c r="AS1545" s="242"/>
      <c r="AT1545" s="242"/>
    </row>
    <row r="1546" spans="1:46" ht="45" customHeight="1">
      <c r="A1546" s="21" t="s">
        <v>13089</v>
      </c>
      <c r="B1546" s="241"/>
      <c r="C1546" s="66"/>
      <c r="D1546" s="15"/>
      <c r="E1546" s="15"/>
      <c r="F1546" s="242"/>
      <c r="G1546" s="242"/>
      <c r="H1546" s="242"/>
      <c r="I1546" s="242"/>
      <c r="J1546" s="242"/>
      <c r="K1546" s="242"/>
      <c r="L1546" s="242"/>
      <c r="M1546" s="242"/>
      <c r="N1546" s="242"/>
      <c r="O1546" s="242"/>
      <c r="P1546" s="242"/>
      <c r="Q1546" s="242"/>
      <c r="R1546" s="226"/>
      <c r="S1546" s="30">
        <f t="shared" si="8"/>
        <v>0</v>
      </c>
      <c r="T1546" s="243"/>
      <c r="U1546" s="242"/>
      <c r="V1546" s="242"/>
      <c r="W1546" s="242"/>
      <c r="X1546" s="242"/>
      <c r="Y1546" s="241"/>
      <c r="Z1546" s="242"/>
      <c r="AA1546" s="135"/>
      <c r="AB1546" s="241"/>
      <c r="AC1546" s="242"/>
      <c r="AD1546" s="242"/>
      <c r="AE1546" s="242"/>
      <c r="AF1546" s="242"/>
      <c r="AG1546" s="242"/>
      <c r="AH1546" s="242"/>
      <c r="AI1546" s="242"/>
      <c r="AJ1546" s="242"/>
      <c r="AK1546" s="242"/>
      <c r="AL1546" s="242"/>
      <c r="AM1546" s="242"/>
      <c r="AN1546" s="242"/>
      <c r="AO1546" s="242"/>
      <c r="AP1546" s="242"/>
      <c r="AQ1546" s="242"/>
      <c r="AR1546" s="242"/>
      <c r="AS1546" s="242"/>
      <c r="AT1546" s="242"/>
    </row>
    <row r="1547" spans="1:46" ht="45" customHeight="1">
      <c r="A1547" s="21" t="s">
        <v>13090</v>
      </c>
      <c r="B1547" s="241"/>
      <c r="C1547" s="66"/>
      <c r="D1547" s="15"/>
      <c r="E1547" s="15"/>
      <c r="F1547" s="242"/>
      <c r="G1547" s="242"/>
      <c r="H1547" s="242"/>
      <c r="I1547" s="242"/>
      <c r="J1547" s="242"/>
      <c r="K1547" s="242"/>
      <c r="L1547" s="242"/>
      <c r="M1547" s="242"/>
      <c r="N1547" s="242"/>
      <c r="O1547" s="242"/>
      <c r="P1547" s="242"/>
      <c r="Q1547" s="242"/>
      <c r="R1547" s="226"/>
      <c r="S1547" s="30">
        <f t="shared" si="8"/>
        <v>0</v>
      </c>
      <c r="T1547" s="243"/>
      <c r="U1547" s="242"/>
      <c r="V1547" s="242"/>
      <c r="W1547" s="242"/>
      <c r="X1547" s="242"/>
      <c r="Y1547" s="241"/>
      <c r="Z1547" s="242"/>
      <c r="AA1547" s="135"/>
      <c r="AB1547" s="241"/>
      <c r="AC1547" s="242"/>
      <c r="AD1547" s="242"/>
      <c r="AE1547" s="242"/>
      <c r="AF1547" s="242"/>
      <c r="AG1547" s="242"/>
      <c r="AH1547" s="242"/>
      <c r="AI1547" s="242"/>
      <c r="AJ1547" s="242"/>
      <c r="AK1547" s="242"/>
      <c r="AL1547" s="242"/>
      <c r="AM1547" s="242"/>
      <c r="AN1547" s="242"/>
      <c r="AO1547" s="242"/>
      <c r="AP1547" s="242"/>
      <c r="AQ1547" s="242"/>
      <c r="AR1547" s="242"/>
      <c r="AS1547" s="242"/>
      <c r="AT1547" s="242"/>
    </row>
    <row r="1548" spans="1:46" ht="45" customHeight="1">
      <c r="A1548" s="243"/>
      <c r="B1548" s="241"/>
      <c r="C1548" s="66"/>
      <c r="D1548" s="15"/>
      <c r="E1548" s="15"/>
      <c r="F1548" s="242"/>
      <c r="G1548" s="242"/>
      <c r="H1548" s="242"/>
      <c r="I1548" s="242"/>
      <c r="J1548" s="242"/>
      <c r="K1548" s="242"/>
      <c r="L1548" s="242"/>
      <c r="M1548" s="242"/>
      <c r="N1548" s="242"/>
      <c r="O1548" s="242"/>
      <c r="P1548" s="242"/>
      <c r="Q1548" s="242"/>
      <c r="R1548" s="226"/>
      <c r="S1548" s="30">
        <f t="shared" si="8"/>
        <v>0</v>
      </c>
      <c r="T1548" s="243"/>
      <c r="U1548" s="242"/>
      <c r="V1548" s="242"/>
      <c r="W1548" s="242"/>
      <c r="X1548" s="242"/>
      <c r="Y1548" s="241"/>
      <c r="Z1548" s="242"/>
      <c r="AA1548" s="135"/>
      <c r="AB1548" s="241"/>
      <c r="AC1548" s="242"/>
      <c r="AD1548" s="242"/>
      <c r="AE1548" s="242"/>
      <c r="AF1548" s="242"/>
      <c r="AG1548" s="242"/>
      <c r="AH1548" s="242"/>
      <c r="AI1548" s="242"/>
      <c r="AJ1548" s="242"/>
      <c r="AK1548" s="242"/>
      <c r="AL1548" s="242"/>
      <c r="AM1548" s="242"/>
      <c r="AN1548" s="242"/>
      <c r="AO1548" s="242"/>
      <c r="AP1548" s="242"/>
      <c r="AQ1548" s="242"/>
      <c r="AR1548" s="242"/>
      <c r="AS1548" s="242"/>
      <c r="AT1548" s="242"/>
    </row>
    <row r="1549" spans="1:46" ht="45" customHeight="1">
      <c r="A1549" s="243"/>
      <c r="B1549" s="241"/>
      <c r="C1549" s="66"/>
      <c r="D1549" s="15"/>
      <c r="E1549" s="15"/>
      <c r="F1549" s="242"/>
      <c r="G1549" s="242"/>
      <c r="H1549" s="242"/>
      <c r="I1549" s="242"/>
      <c r="J1549" s="242"/>
      <c r="K1549" s="242"/>
      <c r="L1549" s="242"/>
      <c r="M1549" s="242"/>
      <c r="N1549" s="242"/>
      <c r="O1549" s="242"/>
      <c r="P1549" s="242"/>
      <c r="Q1549" s="242"/>
      <c r="R1549" s="226"/>
      <c r="S1549" s="30">
        <f t="shared" si="8"/>
        <v>0</v>
      </c>
      <c r="T1549" s="243"/>
      <c r="U1549" s="242"/>
      <c r="V1549" s="242"/>
      <c r="W1549" s="242"/>
      <c r="X1549" s="242"/>
      <c r="Y1549" s="241"/>
      <c r="Z1549" s="242"/>
      <c r="AA1549" s="135"/>
      <c r="AB1549" s="241"/>
      <c r="AC1549" s="242"/>
      <c r="AD1549" s="242"/>
      <c r="AE1549" s="242"/>
      <c r="AF1549" s="242"/>
      <c r="AG1549" s="242"/>
      <c r="AH1549" s="242"/>
      <c r="AI1549" s="242"/>
      <c r="AJ1549" s="242"/>
      <c r="AK1549" s="242"/>
      <c r="AL1549" s="242"/>
      <c r="AM1549" s="242"/>
      <c r="AN1549" s="242"/>
      <c r="AO1549" s="242"/>
      <c r="AP1549" s="242"/>
      <c r="AQ1549" s="242"/>
      <c r="AR1549" s="242"/>
      <c r="AS1549" s="242"/>
      <c r="AT1549" s="242"/>
    </row>
    <row r="1550" spans="1:46" ht="45" customHeight="1">
      <c r="A1550" s="243"/>
      <c r="B1550" s="241"/>
      <c r="C1550" s="66"/>
      <c r="D1550" s="15"/>
      <c r="E1550" s="15"/>
      <c r="F1550" s="242"/>
      <c r="G1550" s="242"/>
      <c r="H1550" s="242"/>
      <c r="I1550" s="242"/>
      <c r="J1550" s="242"/>
      <c r="K1550" s="242"/>
      <c r="L1550" s="242"/>
      <c r="M1550" s="242"/>
      <c r="N1550" s="242"/>
      <c r="O1550" s="242"/>
      <c r="P1550" s="242"/>
      <c r="Q1550" s="242"/>
      <c r="R1550" s="226"/>
      <c r="S1550" s="30">
        <f t="shared" si="8"/>
        <v>0</v>
      </c>
      <c r="T1550" s="243"/>
      <c r="U1550" s="242"/>
      <c r="V1550" s="242"/>
      <c r="W1550" s="242"/>
      <c r="X1550" s="242"/>
      <c r="Y1550" s="241"/>
      <c r="Z1550" s="242"/>
      <c r="AA1550" s="135"/>
      <c r="AB1550" s="241"/>
      <c r="AC1550" s="242"/>
      <c r="AD1550" s="242"/>
      <c r="AE1550" s="242"/>
      <c r="AF1550" s="242"/>
      <c r="AG1550" s="242"/>
      <c r="AH1550" s="242"/>
      <c r="AI1550" s="242"/>
      <c r="AJ1550" s="242"/>
      <c r="AK1550" s="242"/>
      <c r="AL1550" s="242"/>
      <c r="AM1550" s="242"/>
      <c r="AN1550" s="242"/>
      <c r="AO1550" s="242"/>
      <c r="AP1550" s="242"/>
      <c r="AQ1550" s="242"/>
      <c r="AR1550" s="242"/>
      <c r="AS1550" s="242"/>
      <c r="AT1550" s="242"/>
    </row>
    <row r="1551" spans="1:46" ht="45" customHeight="1">
      <c r="A1551" s="243"/>
      <c r="B1551" s="241"/>
      <c r="C1551" s="66"/>
      <c r="D1551" s="15"/>
      <c r="E1551" s="15"/>
      <c r="F1551" s="242"/>
      <c r="G1551" s="242"/>
      <c r="H1551" s="242"/>
      <c r="I1551" s="242"/>
      <c r="J1551" s="242"/>
      <c r="K1551" s="242"/>
      <c r="L1551" s="242"/>
      <c r="M1551" s="242"/>
      <c r="N1551" s="242"/>
      <c r="O1551" s="242"/>
      <c r="P1551" s="242"/>
      <c r="Q1551" s="242"/>
      <c r="R1551" s="226"/>
      <c r="S1551" s="30">
        <f t="shared" si="8"/>
        <v>0</v>
      </c>
      <c r="T1551" s="243"/>
      <c r="U1551" s="242"/>
      <c r="V1551" s="242"/>
      <c r="W1551" s="242"/>
      <c r="X1551" s="242"/>
      <c r="Y1551" s="241"/>
      <c r="Z1551" s="242"/>
      <c r="AA1551" s="135"/>
      <c r="AB1551" s="241"/>
      <c r="AC1551" s="242"/>
      <c r="AD1551" s="242"/>
      <c r="AE1551" s="242"/>
      <c r="AF1551" s="242"/>
      <c r="AG1551" s="242"/>
      <c r="AH1551" s="242"/>
      <c r="AI1551" s="242"/>
      <c r="AJ1551" s="242"/>
      <c r="AK1551" s="242"/>
      <c r="AL1551" s="242"/>
      <c r="AM1551" s="242"/>
      <c r="AN1551" s="242"/>
      <c r="AO1551" s="242"/>
      <c r="AP1551" s="242"/>
      <c r="AQ1551" s="242"/>
      <c r="AR1551" s="242"/>
      <c r="AS1551" s="242"/>
      <c r="AT1551" s="242"/>
    </row>
    <row r="1552" spans="1:46" ht="45" customHeight="1">
      <c r="A1552" s="243"/>
      <c r="B1552" s="241"/>
      <c r="C1552" s="66"/>
      <c r="D1552" s="15"/>
      <c r="E1552" s="15"/>
      <c r="F1552" s="242"/>
      <c r="G1552" s="242"/>
      <c r="H1552" s="242"/>
      <c r="I1552" s="242"/>
      <c r="J1552" s="242"/>
      <c r="K1552" s="242"/>
      <c r="L1552" s="242"/>
      <c r="M1552" s="242"/>
      <c r="N1552" s="242"/>
      <c r="O1552" s="242"/>
      <c r="P1552" s="242"/>
      <c r="Q1552" s="242"/>
      <c r="R1552" s="226"/>
      <c r="S1552" s="30">
        <f t="shared" si="8"/>
        <v>0</v>
      </c>
      <c r="T1552" s="243"/>
      <c r="U1552" s="242"/>
      <c r="V1552" s="242"/>
      <c r="W1552" s="242"/>
      <c r="X1552" s="242"/>
      <c r="Y1552" s="241"/>
      <c r="Z1552" s="242"/>
      <c r="AA1552" s="135"/>
      <c r="AB1552" s="241"/>
      <c r="AC1552" s="242"/>
      <c r="AD1552" s="242"/>
      <c r="AE1552" s="242"/>
      <c r="AF1552" s="242"/>
      <c r="AG1552" s="242"/>
      <c r="AH1552" s="242"/>
      <c r="AI1552" s="242"/>
      <c r="AJ1552" s="242"/>
      <c r="AK1552" s="242"/>
      <c r="AL1552" s="242"/>
      <c r="AM1552" s="242"/>
      <c r="AN1552" s="242"/>
      <c r="AO1552" s="242"/>
      <c r="AP1552" s="242"/>
      <c r="AQ1552" s="242"/>
      <c r="AR1552" s="242"/>
      <c r="AS1552" s="242"/>
      <c r="AT1552" s="242"/>
    </row>
    <row r="1553" spans="1:46" ht="45" customHeight="1">
      <c r="A1553" s="243"/>
      <c r="B1553" s="241"/>
      <c r="C1553" s="66"/>
      <c r="D1553" s="15"/>
      <c r="E1553" s="15"/>
      <c r="F1553" s="242"/>
      <c r="G1553" s="242"/>
      <c r="H1553" s="242"/>
      <c r="I1553" s="242"/>
      <c r="J1553" s="242"/>
      <c r="K1553" s="242"/>
      <c r="L1553" s="242"/>
      <c r="M1553" s="242"/>
      <c r="N1553" s="242"/>
      <c r="O1553" s="242"/>
      <c r="P1553" s="242"/>
      <c r="Q1553" s="242"/>
      <c r="R1553" s="226"/>
      <c r="S1553" s="30">
        <f t="shared" si="8"/>
        <v>0</v>
      </c>
      <c r="T1553" s="243"/>
      <c r="U1553" s="242"/>
      <c r="V1553" s="242"/>
      <c r="W1553" s="242"/>
      <c r="X1553" s="242"/>
      <c r="Y1553" s="241"/>
      <c r="Z1553" s="242"/>
      <c r="AA1553" s="135"/>
      <c r="AB1553" s="241"/>
      <c r="AC1553" s="242"/>
      <c r="AD1553" s="242"/>
      <c r="AE1553" s="242"/>
      <c r="AF1553" s="242"/>
      <c r="AG1553" s="242"/>
      <c r="AH1553" s="242"/>
      <c r="AI1553" s="242"/>
      <c r="AJ1553" s="242"/>
      <c r="AK1553" s="242"/>
      <c r="AL1553" s="242"/>
      <c r="AM1553" s="242"/>
      <c r="AN1553" s="242"/>
      <c r="AO1553" s="242"/>
      <c r="AP1553" s="242"/>
      <c r="AQ1553" s="242"/>
      <c r="AR1553" s="242"/>
      <c r="AS1553" s="242"/>
      <c r="AT1553" s="242"/>
    </row>
    <row r="1554" spans="1:46" ht="45" customHeight="1">
      <c r="A1554" s="243"/>
      <c r="B1554" s="241"/>
      <c r="C1554" s="66"/>
      <c r="D1554" s="15"/>
      <c r="E1554" s="15"/>
      <c r="F1554" s="242"/>
      <c r="G1554" s="242"/>
      <c r="H1554" s="242"/>
      <c r="I1554" s="242"/>
      <c r="J1554" s="242"/>
      <c r="K1554" s="242"/>
      <c r="L1554" s="242"/>
      <c r="M1554" s="242"/>
      <c r="N1554" s="242"/>
      <c r="O1554" s="242"/>
      <c r="P1554" s="242"/>
      <c r="Q1554" s="242"/>
      <c r="R1554" s="226"/>
      <c r="S1554" s="30">
        <f t="shared" si="8"/>
        <v>0</v>
      </c>
      <c r="T1554" s="243"/>
      <c r="U1554" s="242"/>
      <c r="V1554" s="242"/>
      <c r="W1554" s="242"/>
      <c r="X1554" s="242"/>
      <c r="Y1554" s="241"/>
      <c r="Z1554" s="242"/>
      <c r="AA1554" s="135"/>
      <c r="AB1554" s="241"/>
      <c r="AC1554" s="242"/>
      <c r="AD1554" s="242"/>
      <c r="AE1554" s="242"/>
      <c r="AF1554" s="242"/>
      <c r="AG1554" s="242"/>
      <c r="AH1554" s="242"/>
      <c r="AI1554" s="242"/>
      <c r="AJ1554" s="242"/>
      <c r="AK1554" s="242"/>
      <c r="AL1554" s="242"/>
      <c r="AM1554" s="242"/>
      <c r="AN1554" s="242"/>
      <c r="AO1554" s="242"/>
      <c r="AP1554" s="242"/>
      <c r="AQ1554" s="242"/>
      <c r="AR1554" s="242"/>
      <c r="AS1554" s="242"/>
      <c r="AT1554" s="242"/>
    </row>
    <row r="1555" spans="1:46" ht="45" customHeight="1">
      <c r="A1555" s="243"/>
      <c r="B1555" s="241"/>
      <c r="C1555" s="66"/>
      <c r="D1555" s="15"/>
      <c r="E1555" s="15"/>
      <c r="F1555" s="242"/>
      <c r="G1555" s="242"/>
      <c r="H1555" s="242"/>
      <c r="I1555" s="242"/>
      <c r="J1555" s="242"/>
      <c r="K1555" s="242"/>
      <c r="L1555" s="242"/>
      <c r="M1555" s="242"/>
      <c r="N1555" s="242"/>
      <c r="O1555" s="242"/>
      <c r="P1555" s="242"/>
      <c r="Q1555" s="242"/>
      <c r="R1555" s="226"/>
      <c r="S1555" s="30">
        <f t="shared" si="8"/>
        <v>0</v>
      </c>
      <c r="T1555" s="243"/>
      <c r="U1555" s="242"/>
      <c r="V1555" s="242"/>
      <c r="W1555" s="242"/>
      <c r="X1555" s="242"/>
      <c r="Y1555" s="241"/>
      <c r="Z1555" s="242"/>
      <c r="AA1555" s="135"/>
      <c r="AB1555" s="241"/>
      <c r="AC1555" s="242"/>
      <c r="AD1555" s="242"/>
      <c r="AE1555" s="242"/>
      <c r="AF1555" s="242"/>
      <c r="AG1555" s="242"/>
      <c r="AH1555" s="242"/>
      <c r="AI1555" s="242"/>
      <c r="AJ1555" s="242"/>
      <c r="AK1555" s="242"/>
      <c r="AL1555" s="242"/>
      <c r="AM1555" s="242"/>
      <c r="AN1555" s="242"/>
      <c r="AO1555" s="242"/>
      <c r="AP1555" s="242"/>
      <c r="AQ1555" s="242"/>
      <c r="AR1555" s="242"/>
      <c r="AS1555" s="242"/>
      <c r="AT1555" s="242"/>
    </row>
    <row r="1556" spans="1:46" ht="45" customHeight="1">
      <c r="A1556" s="243"/>
      <c r="B1556" s="241"/>
      <c r="C1556" s="66"/>
      <c r="D1556" s="15"/>
      <c r="E1556" s="15"/>
      <c r="F1556" s="242"/>
      <c r="G1556" s="242"/>
      <c r="H1556" s="242"/>
      <c r="I1556" s="242"/>
      <c r="J1556" s="242"/>
      <c r="K1556" s="242"/>
      <c r="L1556" s="242"/>
      <c r="M1556" s="242"/>
      <c r="N1556" s="242"/>
      <c r="O1556" s="242"/>
      <c r="P1556" s="242"/>
      <c r="Q1556" s="242"/>
      <c r="R1556" s="226"/>
      <c r="S1556" s="30">
        <f t="shared" si="8"/>
        <v>0</v>
      </c>
      <c r="T1556" s="243"/>
      <c r="U1556" s="242"/>
      <c r="V1556" s="242"/>
      <c r="W1556" s="242"/>
      <c r="X1556" s="242"/>
      <c r="Y1556" s="241"/>
      <c r="Z1556" s="242"/>
      <c r="AA1556" s="135"/>
      <c r="AB1556" s="241"/>
      <c r="AC1556" s="242"/>
      <c r="AD1556" s="242"/>
      <c r="AE1556" s="242"/>
      <c r="AF1556" s="242"/>
      <c r="AG1556" s="242"/>
      <c r="AH1556" s="242"/>
      <c r="AI1556" s="242"/>
      <c r="AJ1556" s="242"/>
      <c r="AK1556" s="242"/>
      <c r="AL1556" s="242"/>
      <c r="AM1556" s="242"/>
      <c r="AN1556" s="242"/>
      <c r="AO1556" s="242"/>
      <c r="AP1556" s="242"/>
      <c r="AQ1556" s="242"/>
      <c r="AR1556" s="242"/>
      <c r="AS1556" s="242"/>
      <c r="AT1556" s="242"/>
    </row>
    <row r="1557" spans="1:46" ht="45" customHeight="1">
      <c r="A1557" s="243"/>
      <c r="B1557" s="241"/>
      <c r="C1557" s="66"/>
      <c r="D1557" s="15"/>
      <c r="E1557" s="15"/>
      <c r="F1557" s="242"/>
      <c r="G1557" s="242"/>
      <c r="H1557" s="242"/>
      <c r="I1557" s="242"/>
      <c r="J1557" s="242"/>
      <c r="K1557" s="242"/>
      <c r="L1557" s="242"/>
      <c r="M1557" s="242"/>
      <c r="N1557" s="242"/>
      <c r="O1557" s="242"/>
      <c r="P1557" s="242"/>
      <c r="Q1557" s="242"/>
      <c r="R1557" s="226"/>
      <c r="S1557" s="30">
        <f t="shared" si="8"/>
        <v>0</v>
      </c>
      <c r="T1557" s="243"/>
      <c r="U1557" s="242"/>
      <c r="V1557" s="242"/>
      <c r="W1557" s="242"/>
      <c r="X1557" s="242"/>
      <c r="Y1557" s="241"/>
      <c r="Z1557" s="242"/>
      <c r="AA1557" s="135"/>
      <c r="AB1557" s="241"/>
      <c r="AC1557" s="242"/>
      <c r="AD1557" s="242"/>
      <c r="AE1557" s="242"/>
      <c r="AF1557" s="242"/>
      <c r="AG1557" s="242"/>
      <c r="AH1557" s="242"/>
      <c r="AI1557" s="242"/>
      <c r="AJ1557" s="242"/>
      <c r="AK1557" s="242"/>
      <c r="AL1557" s="242"/>
      <c r="AM1557" s="242"/>
      <c r="AN1557" s="242"/>
      <c r="AO1557" s="242"/>
      <c r="AP1557" s="242"/>
      <c r="AQ1557" s="242"/>
      <c r="AR1557" s="242"/>
      <c r="AS1557" s="242"/>
      <c r="AT1557" s="242"/>
    </row>
    <row r="1558" spans="1:46" ht="45" customHeight="1">
      <c r="A1558" s="243"/>
      <c r="B1558" s="241"/>
      <c r="C1558" s="66"/>
      <c r="D1558" s="15"/>
      <c r="E1558" s="15"/>
      <c r="F1558" s="242"/>
      <c r="G1558" s="242"/>
      <c r="H1558" s="242"/>
      <c r="I1558" s="242"/>
      <c r="J1558" s="242"/>
      <c r="K1558" s="242"/>
      <c r="L1558" s="242"/>
      <c r="M1558" s="242"/>
      <c r="N1558" s="242"/>
      <c r="O1558" s="242"/>
      <c r="P1558" s="242"/>
      <c r="Q1558" s="242"/>
      <c r="R1558" s="226"/>
      <c r="S1558" s="30">
        <f t="shared" si="8"/>
        <v>0</v>
      </c>
      <c r="T1558" s="243"/>
      <c r="U1558" s="242"/>
      <c r="V1558" s="242"/>
      <c r="W1558" s="242"/>
      <c r="X1558" s="242"/>
      <c r="Y1558" s="241"/>
      <c r="Z1558" s="242"/>
      <c r="AA1558" s="135"/>
      <c r="AB1558" s="241"/>
      <c r="AC1558" s="242"/>
      <c r="AD1558" s="242"/>
      <c r="AE1558" s="242"/>
      <c r="AF1558" s="242"/>
      <c r="AG1558" s="242"/>
      <c r="AH1558" s="242"/>
      <c r="AI1558" s="242"/>
      <c r="AJ1558" s="242"/>
      <c r="AK1558" s="242"/>
      <c r="AL1558" s="242"/>
      <c r="AM1558" s="242"/>
      <c r="AN1558" s="242"/>
      <c r="AO1558" s="242"/>
      <c r="AP1558" s="242"/>
      <c r="AQ1558" s="242"/>
      <c r="AR1558" s="242"/>
      <c r="AS1558" s="242"/>
      <c r="AT1558" s="242"/>
    </row>
    <row r="1559" spans="1:46" ht="45" customHeight="1">
      <c r="A1559" s="243"/>
      <c r="B1559" s="241"/>
      <c r="C1559" s="66"/>
      <c r="D1559" s="15"/>
      <c r="E1559" s="15"/>
      <c r="F1559" s="242"/>
      <c r="G1559" s="242"/>
      <c r="H1559" s="242"/>
      <c r="I1559" s="242"/>
      <c r="J1559" s="242"/>
      <c r="K1559" s="242"/>
      <c r="L1559" s="242"/>
      <c r="M1559" s="242"/>
      <c r="N1559" s="242"/>
      <c r="O1559" s="242"/>
      <c r="P1559" s="242"/>
      <c r="Q1559" s="242"/>
      <c r="R1559" s="226"/>
      <c r="S1559" s="30">
        <f t="shared" si="8"/>
        <v>0</v>
      </c>
      <c r="T1559" s="243"/>
      <c r="U1559" s="242"/>
      <c r="V1559" s="242"/>
      <c r="W1559" s="242"/>
      <c r="X1559" s="242"/>
      <c r="Y1559" s="241"/>
      <c r="Z1559" s="242"/>
      <c r="AA1559" s="135"/>
      <c r="AB1559" s="241"/>
      <c r="AC1559" s="242"/>
      <c r="AD1559" s="242"/>
      <c r="AE1559" s="242"/>
      <c r="AF1559" s="242"/>
      <c r="AG1559" s="242"/>
      <c r="AH1559" s="242"/>
      <c r="AI1559" s="242"/>
      <c r="AJ1559" s="242"/>
      <c r="AK1559" s="242"/>
      <c r="AL1559" s="242"/>
      <c r="AM1559" s="242"/>
      <c r="AN1559" s="242"/>
      <c r="AO1559" s="242"/>
      <c r="AP1559" s="242"/>
      <c r="AQ1559" s="242"/>
      <c r="AR1559" s="242"/>
      <c r="AS1559" s="242"/>
      <c r="AT1559" s="242"/>
    </row>
    <row r="1560" spans="1:46" ht="45" customHeight="1">
      <c r="A1560" s="243"/>
      <c r="B1560" s="241"/>
      <c r="C1560" s="66"/>
      <c r="D1560" s="15"/>
      <c r="E1560" s="15"/>
      <c r="F1560" s="242"/>
      <c r="G1560" s="242"/>
      <c r="H1560" s="242"/>
      <c r="I1560" s="242"/>
      <c r="J1560" s="242"/>
      <c r="K1560" s="242"/>
      <c r="L1560" s="242"/>
      <c r="M1560" s="242"/>
      <c r="N1560" s="242"/>
      <c r="O1560" s="242"/>
      <c r="P1560" s="242"/>
      <c r="Q1560" s="242"/>
      <c r="R1560" s="226"/>
      <c r="S1560" s="30">
        <f t="shared" si="8"/>
        <v>0</v>
      </c>
      <c r="T1560" s="243"/>
      <c r="U1560" s="242"/>
      <c r="V1560" s="242"/>
      <c r="W1560" s="242"/>
      <c r="X1560" s="242"/>
      <c r="Y1560" s="241"/>
      <c r="Z1560" s="242"/>
      <c r="AA1560" s="135"/>
      <c r="AB1560" s="241"/>
      <c r="AC1560" s="242"/>
      <c r="AD1560" s="242"/>
      <c r="AE1560" s="242"/>
      <c r="AF1560" s="242"/>
      <c r="AG1560" s="242"/>
      <c r="AH1560" s="242"/>
      <c r="AI1560" s="242"/>
      <c r="AJ1560" s="242"/>
      <c r="AK1560" s="242"/>
      <c r="AL1560" s="242"/>
      <c r="AM1560" s="242"/>
      <c r="AN1560" s="242"/>
      <c r="AO1560" s="242"/>
      <c r="AP1560" s="242"/>
      <c r="AQ1560" s="242"/>
      <c r="AR1560" s="242"/>
      <c r="AS1560" s="242"/>
      <c r="AT1560" s="242"/>
    </row>
    <row r="1561" spans="1:46" ht="45" customHeight="1">
      <c r="A1561" s="243"/>
      <c r="B1561" s="241"/>
      <c r="C1561" s="66"/>
      <c r="D1561" s="15"/>
      <c r="E1561" s="15"/>
      <c r="F1561" s="242"/>
      <c r="G1561" s="242"/>
      <c r="H1561" s="242"/>
      <c r="I1561" s="242"/>
      <c r="J1561" s="242"/>
      <c r="K1561" s="242"/>
      <c r="L1561" s="242"/>
      <c r="M1561" s="242"/>
      <c r="N1561" s="242"/>
      <c r="O1561" s="242"/>
      <c r="P1561" s="242"/>
      <c r="Q1561" s="242"/>
      <c r="R1561" s="226"/>
      <c r="S1561" s="30">
        <f t="shared" si="8"/>
        <v>0</v>
      </c>
      <c r="T1561" s="243"/>
      <c r="U1561" s="242"/>
      <c r="V1561" s="242"/>
      <c r="W1561" s="242"/>
      <c r="X1561" s="242"/>
      <c r="Y1561" s="241"/>
      <c r="Z1561" s="242"/>
      <c r="AA1561" s="135"/>
      <c r="AB1561" s="241"/>
      <c r="AC1561" s="242"/>
      <c r="AD1561" s="242"/>
      <c r="AE1561" s="242"/>
      <c r="AF1561" s="242"/>
      <c r="AG1561" s="242"/>
      <c r="AH1561" s="242"/>
      <c r="AI1561" s="242"/>
      <c r="AJ1561" s="242"/>
      <c r="AK1561" s="242"/>
      <c r="AL1561" s="242"/>
      <c r="AM1561" s="242"/>
      <c r="AN1561" s="242"/>
      <c r="AO1561" s="242"/>
      <c r="AP1561" s="242"/>
      <c r="AQ1561" s="242"/>
      <c r="AR1561" s="242"/>
      <c r="AS1561" s="242"/>
      <c r="AT1561" s="242"/>
    </row>
    <row r="1562" spans="1:46" ht="45" customHeight="1">
      <c r="A1562" s="243"/>
      <c r="B1562" s="241"/>
      <c r="C1562" s="66"/>
      <c r="D1562" s="15"/>
      <c r="E1562" s="15"/>
      <c r="F1562" s="242"/>
      <c r="G1562" s="242"/>
      <c r="H1562" s="242"/>
      <c r="I1562" s="242"/>
      <c r="J1562" s="242"/>
      <c r="K1562" s="242"/>
      <c r="L1562" s="242"/>
      <c r="M1562" s="242"/>
      <c r="N1562" s="242"/>
      <c r="O1562" s="242"/>
      <c r="P1562" s="242"/>
      <c r="Q1562" s="242"/>
      <c r="R1562" s="226"/>
      <c r="S1562" s="30">
        <f t="shared" si="8"/>
        <v>0</v>
      </c>
      <c r="T1562" s="243"/>
      <c r="U1562" s="242"/>
      <c r="V1562" s="242"/>
      <c r="W1562" s="242"/>
      <c r="X1562" s="242"/>
      <c r="Y1562" s="241"/>
      <c r="Z1562" s="242"/>
      <c r="AA1562" s="135"/>
      <c r="AB1562" s="241"/>
      <c r="AC1562" s="242"/>
      <c r="AD1562" s="242"/>
      <c r="AE1562" s="242"/>
      <c r="AF1562" s="242"/>
      <c r="AG1562" s="242"/>
      <c r="AH1562" s="242"/>
      <c r="AI1562" s="242"/>
      <c r="AJ1562" s="242"/>
      <c r="AK1562" s="242"/>
      <c r="AL1562" s="242"/>
      <c r="AM1562" s="242"/>
      <c r="AN1562" s="242"/>
      <c r="AO1562" s="242"/>
      <c r="AP1562" s="242"/>
      <c r="AQ1562" s="242"/>
      <c r="AR1562" s="242"/>
      <c r="AS1562" s="242"/>
      <c r="AT1562" s="242"/>
    </row>
    <row r="1563" spans="1:46" ht="45" customHeight="1">
      <c r="A1563" s="243"/>
      <c r="B1563" s="241"/>
      <c r="C1563" s="66"/>
      <c r="D1563" s="15"/>
      <c r="E1563" s="15"/>
      <c r="F1563" s="242"/>
      <c r="G1563" s="242"/>
      <c r="H1563" s="242"/>
      <c r="I1563" s="242"/>
      <c r="J1563" s="242"/>
      <c r="K1563" s="242"/>
      <c r="L1563" s="242"/>
      <c r="M1563" s="242"/>
      <c r="N1563" s="242"/>
      <c r="O1563" s="242"/>
      <c r="P1563" s="242"/>
      <c r="Q1563" s="242"/>
      <c r="R1563" s="226"/>
      <c r="S1563" s="30">
        <f t="shared" si="8"/>
        <v>0</v>
      </c>
      <c r="T1563" s="243"/>
      <c r="U1563" s="242"/>
      <c r="V1563" s="242"/>
      <c r="W1563" s="242"/>
      <c r="X1563" s="242"/>
      <c r="Y1563" s="241"/>
      <c r="Z1563" s="242"/>
      <c r="AA1563" s="135"/>
      <c r="AB1563" s="241"/>
      <c r="AC1563" s="242"/>
      <c r="AD1563" s="242"/>
      <c r="AE1563" s="242"/>
      <c r="AF1563" s="242"/>
      <c r="AG1563" s="242"/>
      <c r="AH1563" s="242"/>
      <c r="AI1563" s="242"/>
      <c r="AJ1563" s="242"/>
      <c r="AK1563" s="242"/>
      <c r="AL1563" s="242"/>
      <c r="AM1563" s="242"/>
      <c r="AN1563" s="242"/>
      <c r="AO1563" s="242"/>
      <c r="AP1563" s="242"/>
      <c r="AQ1563" s="242"/>
      <c r="AR1563" s="242"/>
      <c r="AS1563" s="242"/>
      <c r="AT1563" s="242"/>
    </row>
    <row r="1564" spans="1:46" ht="45" customHeight="1">
      <c r="A1564" s="243"/>
      <c r="B1564" s="241"/>
      <c r="C1564" s="66"/>
      <c r="D1564" s="15"/>
      <c r="E1564" s="15"/>
      <c r="F1564" s="242"/>
      <c r="G1564" s="242"/>
      <c r="H1564" s="242"/>
      <c r="I1564" s="242"/>
      <c r="J1564" s="242"/>
      <c r="K1564" s="242"/>
      <c r="L1564" s="242"/>
      <c r="M1564" s="242"/>
      <c r="N1564" s="242"/>
      <c r="O1564" s="242"/>
      <c r="P1564" s="242"/>
      <c r="Q1564" s="242"/>
      <c r="R1564" s="226"/>
      <c r="S1564" s="30">
        <f t="shared" si="8"/>
        <v>0</v>
      </c>
      <c r="T1564" s="243"/>
      <c r="U1564" s="242"/>
      <c r="V1564" s="242"/>
      <c r="W1564" s="242"/>
      <c r="X1564" s="242"/>
      <c r="Y1564" s="241"/>
      <c r="Z1564" s="242"/>
      <c r="AA1564" s="135"/>
      <c r="AB1564" s="241"/>
      <c r="AC1564" s="242"/>
      <c r="AD1564" s="242"/>
      <c r="AE1564" s="242"/>
      <c r="AF1564" s="242"/>
      <c r="AG1564" s="242"/>
      <c r="AH1564" s="242"/>
      <c r="AI1564" s="242"/>
      <c r="AJ1564" s="242"/>
      <c r="AK1564" s="242"/>
      <c r="AL1564" s="242"/>
      <c r="AM1564" s="242"/>
      <c r="AN1564" s="242"/>
      <c r="AO1564" s="242"/>
      <c r="AP1564" s="242"/>
      <c r="AQ1564" s="242"/>
      <c r="AR1564" s="242"/>
      <c r="AS1564" s="242"/>
      <c r="AT1564" s="242"/>
    </row>
    <row r="1565" spans="1:46" ht="45" customHeight="1">
      <c r="A1565" s="243"/>
      <c r="B1565" s="241"/>
      <c r="C1565" s="66"/>
      <c r="D1565" s="15"/>
      <c r="E1565" s="15"/>
      <c r="F1565" s="242"/>
      <c r="G1565" s="242"/>
      <c r="H1565" s="242"/>
      <c r="I1565" s="242"/>
      <c r="J1565" s="242"/>
      <c r="K1565" s="242"/>
      <c r="L1565" s="242"/>
      <c r="M1565" s="242"/>
      <c r="N1565" s="242"/>
      <c r="O1565" s="242"/>
      <c r="P1565" s="242"/>
      <c r="Q1565" s="242"/>
      <c r="R1565" s="226"/>
      <c r="S1565" s="30">
        <f t="shared" si="8"/>
        <v>0</v>
      </c>
      <c r="T1565" s="243"/>
      <c r="U1565" s="242"/>
      <c r="V1565" s="242"/>
      <c r="W1565" s="242"/>
      <c r="X1565" s="242"/>
      <c r="Y1565" s="241"/>
      <c r="Z1565" s="242"/>
      <c r="AA1565" s="135"/>
      <c r="AB1565" s="241"/>
      <c r="AC1565" s="242"/>
      <c r="AD1565" s="242"/>
      <c r="AE1565" s="242"/>
      <c r="AF1565" s="242"/>
      <c r="AG1565" s="242"/>
      <c r="AH1565" s="242"/>
      <c r="AI1565" s="242"/>
      <c r="AJ1565" s="242"/>
      <c r="AK1565" s="242"/>
      <c r="AL1565" s="242"/>
      <c r="AM1565" s="242"/>
      <c r="AN1565" s="242"/>
      <c r="AO1565" s="242"/>
      <c r="AP1565" s="242"/>
      <c r="AQ1565" s="242"/>
      <c r="AR1565" s="242"/>
      <c r="AS1565" s="242"/>
      <c r="AT1565" s="242"/>
    </row>
    <row r="1566" spans="1:46" ht="45" customHeight="1">
      <c r="A1566" s="243"/>
      <c r="B1566" s="241"/>
      <c r="C1566" s="66"/>
      <c r="D1566" s="15"/>
      <c r="E1566" s="15"/>
      <c r="F1566" s="242"/>
      <c r="G1566" s="242"/>
      <c r="H1566" s="242"/>
      <c r="I1566" s="242"/>
      <c r="J1566" s="242"/>
      <c r="K1566" s="242"/>
      <c r="L1566" s="242"/>
      <c r="M1566" s="242"/>
      <c r="N1566" s="242"/>
      <c r="O1566" s="242"/>
      <c r="P1566" s="242"/>
      <c r="Q1566" s="242"/>
      <c r="R1566" s="226"/>
      <c r="S1566" s="30">
        <f t="shared" si="8"/>
        <v>0</v>
      </c>
      <c r="T1566" s="243"/>
      <c r="U1566" s="242"/>
      <c r="V1566" s="242"/>
      <c r="W1566" s="242"/>
      <c r="X1566" s="242"/>
      <c r="Y1566" s="241"/>
      <c r="Z1566" s="242"/>
      <c r="AA1566" s="135"/>
      <c r="AB1566" s="241"/>
      <c r="AC1566" s="242"/>
      <c r="AD1566" s="242"/>
      <c r="AE1566" s="242"/>
      <c r="AF1566" s="242"/>
      <c r="AG1566" s="242"/>
      <c r="AH1566" s="242"/>
      <c r="AI1566" s="242"/>
      <c r="AJ1566" s="242"/>
      <c r="AK1566" s="242"/>
      <c r="AL1566" s="242"/>
      <c r="AM1566" s="242"/>
      <c r="AN1566" s="242"/>
      <c r="AO1566" s="242"/>
      <c r="AP1566" s="242"/>
      <c r="AQ1566" s="242"/>
      <c r="AR1566" s="242"/>
      <c r="AS1566" s="242"/>
      <c r="AT1566" s="242"/>
    </row>
    <row r="1567" spans="1:46" ht="45" customHeight="1">
      <c r="A1567" s="243"/>
      <c r="B1567" s="241"/>
      <c r="C1567" s="66"/>
      <c r="D1567" s="15"/>
      <c r="E1567" s="15"/>
      <c r="F1567" s="242"/>
      <c r="G1567" s="242"/>
      <c r="H1567" s="242"/>
      <c r="I1567" s="242"/>
      <c r="J1567" s="242"/>
      <c r="K1567" s="242"/>
      <c r="L1567" s="242"/>
      <c r="M1567" s="242"/>
      <c r="N1567" s="242"/>
      <c r="O1567" s="242"/>
      <c r="P1567" s="242"/>
      <c r="Q1567" s="242"/>
      <c r="R1567" s="226"/>
      <c r="S1567" s="30">
        <f t="shared" si="8"/>
        <v>0</v>
      </c>
      <c r="T1567" s="243"/>
      <c r="U1567" s="242"/>
      <c r="V1567" s="242"/>
      <c r="W1567" s="242"/>
      <c r="X1567" s="242"/>
      <c r="Y1567" s="241"/>
      <c r="Z1567" s="242"/>
      <c r="AA1567" s="135"/>
      <c r="AB1567" s="241"/>
      <c r="AC1567" s="242"/>
      <c r="AD1567" s="242"/>
      <c r="AE1567" s="242"/>
      <c r="AF1567" s="242"/>
      <c r="AG1567" s="242"/>
      <c r="AH1567" s="242"/>
      <c r="AI1567" s="242"/>
      <c r="AJ1567" s="242"/>
      <c r="AK1567" s="242"/>
      <c r="AL1567" s="242"/>
      <c r="AM1567" s="242"/>
      <c r="AN1567" s="242"/>
      <c r="AO1567" s="242"/>
      <c r="AP1567" s="242"/>
      <c r="AQ1567" s="242"/>
      <c r="AR1567" s="242"/>
      <c r="AS1567" s="242"/>
      <c r="AT1567" s="242"/>
    </row>
    <row r="1568" spans="1:46" ht="45" customHeight="1">
      <c r="A1568" s="243"/>
      <c r="B1568" s="241"/>
      <c r="C1568" s="66"/>
      <c r="D1568" s="15"/>
      <c r="E1568" s="15"/>
      <c r="F1568" s="242"/>
      <c r="G1568" s="242"/>
      <c r="H1568" s="242"/>
      <c r="I1568" s="242"/>
      <c r="J1568" s="242"/>
      <c r="K1568" s="242"/>
      <c r="L1568" s="242"/>
      <c r="M1568" s="242"/>
      <c r="N1568" s="242"/>
      <c r="O1568" s="242"/>
      <c r="P1568" s="242"/>
      <c r="Q1568" s="242"/>
      <c r="R1568" s="226"/>
      <c r="S1568" s="30">
        <f t="shared" si="8"/>
        <v>0</v>
      </c>
      <c r="T1568" s="243"/>
      <c r="U1568" s="242"/>
      <c r="V1568" s="242"/>
      <c r="W1568" s="242"/>
      <c r="X1568" s="242"/>
      <c r="Y1568" s="241"/>
      <c r="Z1568" s="242"/>
      <c r="AA1568" s="135"/>
      <c r="AB1568" s="241"/>
      <c r="AC1568" s="242"/>
      <c r="AD1568" s="242"/>
      <c r="AE1568" s="242"/>
      <c r="AF1568" s="242"/>
      <c r="AG1568" s="242"/>
      <c r="AH1568" s="242"/>
      <c r="AI1568" s="242"/>
      <c r="AJ1568" s="242"/>
      <c r="AK1568" s="242"/>
      <c r="AL1568" s="242"/>
      <c r="AM1568" s="242"/>
      <c r="AN1568" s="242"/>
      <c r="AO1568" s="242"/>
      <c r="AP1568" s="242"/>
      <c r="AQ1568" s="242"/>
      <c r="AR1568" s="242"/>
      <c r="AS1568" s="242"/>
      <c r="AT1568" s="242"/>
    </row>
    <row r="1569" spans="1:46" ht="45" customHeight="1">
      <c r="A1569" s="243"/>
      <c r="B1569" s="241"/>
      <c r="C1569" s="66"/>
      <c r="D1569" s="15"/>
      <c r="E1569" s="15"/>
      <c r="F1569" s="242"/>
      <c r="G1569" s="242"/>
      <c r="H1569" s="242"/>
      <c r="I1569" s="242"/>
      <c r="J1569" s="242"/>
      <c r="K1569" s="242"/>
      <c r="L1569" s="242"/>
      <c r="M1569" s="242"/>
      <c r="N1569" s="242"/>
      <c r="O1569" s="242"/>
      <c r="P1569" s="242"/>
      <c r="Q1569" s="242"/>
      <c r="R1569" s="226"/>
      <c r="S1569" s="30">
        <f t="shared" si="8"/>
        <v>0</v>
      </c>
      <c r="T1569" s="243"/>
      <c r="U1569" s="242"/>
      <c r="V1569" s="242"/>
      <c r="W1569" s="242"/>
      <c r="X1569" s="242"/>
      <c r="Y1569" s="241"/>
      <c r="Z1569" s="242"/>
      <c r="AA1569" s="135"/>
      <c r="AB1569" s="241"/>
      <c r="AC1569" s="242"/>
      <c r="AD1569" s="242"/>
      <c r="AE1569" s="242"/>
      <c r="AF1569" s="242"/>
      <c r="AG1569" s="242"/>
      <c r="AH1569" s="242"/>
      <c r="AI1569" s="242"/>
      <c r="AJ1569" s="242"/>
      <c r="AK1569" s="242"/>
      <c r="AL1569" s="242"/>
      <c r="AM1569" s="242"/>
      <c r="AN1569" s="242"/>
      <c r="AO1569" s="242"/>
      <c r="AP1569" s="242"/>
      <c r="AQ1569" s="242"/>
      <c r="AR1569" s="242"/>
      <c r="AS1569" s="242"/>
      <c r="AT1569" s="242"/>
    </row>
    <row r="1570" spans="1:46" ht="45" customHeight="1">
      <c r="A1570" s="243"/>
      <c r="B1570" s="241"/>
      <c r="C1570" s="66"/>
      <c r="D1570" s="15"/>
      <c r="E1570" s="15"/>
      <c r="F1570" s="242"/>
      <c r="G1570" s="242"/>
      <c r="H1570" s="242"/>
      <c r="I1570" s="242"/>
      <c r="J1570" s="242"/>
      <c r="K1570" s="242"/>
      <c r="L1570" s="242"/>
      <c r="M1570" s="242"/>
      <c r="N1570" s="242"/>
      <c r="O1570" s="242"/>
      <c r="P1570" s="242"/>
      <c r="Q1570" s="242"/>
      <c r="R1570" s="226"/>
      <c r="S1570" s="30">
        <f t="shared" si="8"/>
        <v>0</v>
      </c>
      <c r="T1570" s="243"/>
      <c r="U1570" s="242"/>
      <c r="V1570" s="242"/>
      <c r="W1570" s="242"/>
      <c r="X1570" s="242"/>
      <c r="Y1570" s="241"/>
      <c r="Z1570" s="242"/>
      <c r="AA1570" s="135"/>
      <c r="AB1570" s="241"/>
      <c r="AC1570" s="242"/>
      <c r="AD1570" s="242"/>
      <c r="AE1570" s="242"/>
      <c r="AF1570" s="242"/>
      <c r="AG1570" s="242"/>
      <c r="AH1570" s="242"/>
      <c r="AI1570" s="242"/>
      <c r="AJ1570" s="242"/>
      <c r="AK1570" s="242"/>
      <c r="AL1570" s="242"/>
      <c r="AM1570" s="242"/>
      <c r="AN1570" s="242"/>
      <c r="AO1570" s="242"/>
      <c r="AP1570" s="242"/>
      <c r="AQ1570" s="242"/>
      <c r="AR1570" s="242"/>
      <c r="AS1570" s="242"/>
      <c r="AT1570" s="242"/>
    </row>
    <row r="1571" spans="1:46" ht="45" customHeight="1">
      <c r="A1571" s="243"/>
      <c r="B1571" s="241"/>
      <c r="C1571" s="66"/>
      <c r="D1571" s="15"/>
      <c r="E1571" s="15"/>
      <c r="F1571" s="242"/>
      <c r="G1571" s="242"/>
      <c r="H1571" s="242"/>
      <c r="I1571" s="242"/>
      <c r="J1571" s="242"/>
      <c r="K1571" s="242"/>
      <c r="L1571" s="242"/>
      <c r="M1571" s="242"/>
      <c r="N1571" s="242"/>
      <c r="O1571" s="242"/>
      <c r="P1571" s="242"/>
      <c r="Q1571" s="242"/>
      <c r="R1571" s="226"/>
      <c r="S1571" s="30">
        <f t="shared" si="8"/>
        <v>0</v>
      </c>
      <c r="T1571" s="243"/>
      <c r="U1571" s="242"/>
      <c r="V1571" s="242"/>
      <c r="W1571" s="242"/>
      <c r="X1571" s="242"/>
      <c r="Y1571" s="241"/>
      <c r="Z1571" s="242"/>
      <c r="AA1571" s="135"/>
      <c r="AB1571" s="241"/>
      <c r="AC1571" s="242"/>
      <c r="AD1571" s="242"/>
      <c r="AE1571" s="242"/>
      <c r="AF1571" s="242"/>
      <c r="AG1571" s="242"/>
      <c r="AH1571" s="242"/>
      <c r="AI1571" s="242"/>
      <c r="AJ1571" s="242"/>
      <c r="AK1571" s="242"/>
      <c r="AL1571" s="242"/>
      <c r="AM1571" s="242"/>
      <c r="AN1571" s="242"/>
      <c r="AO1571" s="242"/>
      <c r="AP1571" s="242"/>
      <c r="AQ1571" s="242"/>
      <c r="AR1571" s="242"/>
      <c r="AS1571" s="242"/>
      <c r="AT1571" s="242"/>
    </row>
    <row r="1572" spans="1:46" ht="45" customHeight="1">
      <c r="A1572" s="243"/>
      <c r="B1572" s="241"/>
      <c r="C1572" s="66"/>
      <c r="D1572" s="15"/>
      <c r="E1572" s="15"/>
      <c r="F1572" s="242"/>
      <c r="G1572" s="242"/>
      <c r="H1572" s="242"/>
      <c r="I1572" s="242"/>
      <c r="J1572" s="242"/>
      <c r="K1572" s="242"/>
      <c r="L1572" s="242"/>
      <c r="M1572" s="242"/>
      <c r="N1572" s="242"/>
      <c r="O1572" s="242"/>
      <c r="P1572" s="242"/>
      <c r="Q1572" s="242"/>
      <c r="R1572" s="226"/>
      <c r="S1572" s="30">
        <f t="shared" si="8"/>
        <v>0</v>
      </c>
      <c r="T1572" s="243"/>
      <c r="U1572" s="242"/>
      <c r="V1572" s="242"/>
      <c r="W1572" s="242"/>
      <c r="X1572" s="242"/>
      <c r="Y1572" s="241"/>
      <c r="Z1572" s="242"/>
      <c r="AA1572" s="135"/>
      <c r="AB1572" s="241"/>
      <c r="AC1572" s="242"/>
      <c r="AD1572" s="242"/>
      <c r="AE1572" s="242"/>
      <c r="AF1572" s="242"/>
      <c r="AG1572" s="242"/>
      <c r="AH1572" s="242"/>
      <c r="AI1572" s="242"/>
      <c r="AJ1572" s="242"/>
      <c r="AK1572" s="242"/>
      <c r="AL1572" s="242"/>
      <c r="AM1572" s="242"/>
      <c r="AN1572" s="242"/>
      <c r="AO1572" s="242"/>
      <c r="AP1572" s="242"/>
      <c r="AQ1572" s="242"/>
      <c r="AR1572" s="242"/>
      <c r="AS1572" s="242"/>
      <c r="AT1572" s="242"/>
    </row>
    <row r="1573" spans="1:46" ht="45" customHeight="1">
      <c r="A1573" s="243"/>
      <c r="B1573" s="241"/>
      <c r="C1573" s="66"/>
      <c r="D1573" s="15"/>
      <c r="E1573" s="15"/>
      <c r="F1573" s="242"/>
      <c r="G1573" s="242"/>
      <c r="H1573" s="242"/>
      <c r="I1573" s="242"/>
      <c r="J1573" s="242"/>
      <c r="K1573" s="242"/>
      <c r="L1573" s="242"/>
      <c r="M1573" s="242"/>
      <c r="N1573" s="242"/>
      <c r="O1573" s="242"/>
      <c r="P1573" s="242"/>
      <c r="Q1573" s="242"/>
      <c r="R1573" s="226"/>
      <c r="S1573" s="30">
        <f t="shared" si="8"/>
        <v>0</v>
      </c>
      <c r="T1573" s="243"/>
      <c r="U1573" s="242"/>
      <c r="V1573" s="242"/>
      <c r="W1573" s="242"/>
      <c r="X1573" s="242"/>
      <c r="Y1573" s="241"/>
      <c r="Z1573" s="242"/>
      <c r="AA1573" s="135"/>
      <c r="AB1573" s="241"/>
      <c r="AC1573" s="242"/>
      <c r="AD1573" s="242"/>
      <c r="AE1573" s="242"/>
      <c r="AF1573" s="242"/>
      <c r="AG1573" s="242"/>
      <c r="AH1573" s="242"/>
      <c r="AI1573" s="242"/>
      <c r="AJ1573" s="242"/>
      <c r="AK1573" s="242"/>
      <c r="AL1573" s="242"/>
      <c r="AM1573" s="242"/>
      <c r="AN1573" s="242"/>
      <c r="AO1573" s="242"/>
      <c r="AP1573" s="242"/>
      <c r="AQ1573" s="242"/>
      <c r="AR1573" s="242"/>
      <c r="AS1573" s="242"/>
      <c r="AT1573" s="242"/>
    </row>
    <row r="1574" spans="1:46" ht="45" customHeight="1">
      <c r="A1574" s="243"/>
      <c r="B1574" s="241"/>
      <c r="C1574" s="66"/>
      <c r="D1574" s="15"/>
      <c r="E1574" s="15"/>
      <c r="F1574" s="242"/>
      <c r="G1574" s="242"/>
      <c r="H1574" s="242"/>
      <c r="I1574" s="242"/>
      <c r="J1574" s="242"/>
      <c r="K1574" s="242"/>
      <c r="L1574" s="242"/>
      <c r="M1574" s="242"/>
      <c r="N1574" s="242"/>
      <c r="O1574" s="242"/>
      <c r="P1574" s="242"/>
      <c r="Q1574" s="242"/>
      <c r="R1574" s="226"/>
      <c r="S1574" s="30">
        <f t="shared" si="8"/>
        <v>0</v>
      </c>
      <c r="T1574" s="243"/>
      <c r="U1574" s="242"/>
      <c r="V1574" s="242"/>
      <c r="W1574" s="242"/>
      <c r="X1574" s="242"/>
      <c r="Y1574" s="241"/>
      <c r="Z1574" s="242"/>
      <c r="AA1574" s="135"/>
      <c r="AB1574" s="241"/>
      <c r="AC1574" s="242"/>
      <c r="AD1574" s="242"/>
      <c r="AE1574" s="242"/>
      <c r="AF1574" s="242"/>
      <c r="AG1574" s="242"/>
      <c r="AH1574" s="242"/>
      <c r="AI1574" s="242"/>
      <c r="AJ1574" s="242"/>
      <c r="AK1574" s="242"/>
      <c r="AL1574" s="242"/>
      <c r="AM1574" s="242"/>
      <c r="AN1574" s="242"/>
      <c r="AO1574" s="242"/>
      <c r="AP1574" s="242"/>
      <c r="AQ1574" s="242"/>
      <c r="AR1574" s="242"/>
      <c r="AS1574" s="242"/>
      <c r="AT1574" s="242"/>
    </row>
    <row r="1575" spans="1:46" ht="45" customHeight="1">
      <c r="A1575" s="243"/>
      <c r="B1575" s="241"/>
      <c r="C1575" s="66"/>
      <c r="D1575" s="15"/>
      <c r="E1575" s="15"/>
      <c r="F1575" s="242"/>
      <c r="G1575" s="242"/>
      <c r="H1575" s="242"/>
      <c r="I1575" s="242"/>
      <c r="J1575" s="242"/>
      <c r="K1575" s="242"/>
      <c r="L1575" s="242"/>
      <c r="M1575" s="242"/>
      <c r="N1575" s="242"/>
      <c r="O1575" s="242"/>
      <c r="P1575" s="242"/>
      <c r="Q1575" s="242"/>
      <c r="R1575" s="226"/>
      <c r="S1575" s="30">
        <f t="shared" si="8"/>
        <v>0</v>
      </c>
      <c r="T1575" s="243"/>
      <c r="U1575" s="242"/>
      <c r="V1575" s="242"/>
      <c r="W1575" s="242"/>
      <c r="X1575" s="242"/>
      <c r="Y1575" s="241"/>
      <c r="Z1575" s="242"/>
      <c r="AA1575" s="135"/>
      <c r="AB1575" s="241"/>
      <c r="AC1575" s="242"/>
      <c r="AD1575" s="242"/>
      <c r="AE1575" s="242"/>
      <c r="AF1575" s="242"/>
      <c r="AG1575" s="242"/>
      <c r="AH1575" s="242"/>
      <c r="AI1575" s="242"/>
      <c r="AJ1575" s="242"/>
      <c r="AK1575" s="242"/>
      <c r="AL1575" s="242"/>
      <c r="AM1575" s="242"/>
      <c r="AN1575" s="242"/>
      <c r="AO1575" s="242"/>
      <c r="AP1575" s="242"/>
      <c r="AQ1575" s="242"/>
      <c r="AR1575" s="242"/>
      <c r="AS1575" s="242"/>
      <c r="AT1575" s="242"/>
    </row>
    <row r="1576" spans="1:46" ht="45" customHeight="1">
      <c r="A1576" s="243"/>
      <c r="B1576" s="241"/>
      <c r="C1576" s="66"/>
      <c r="D1576" s="15"/>
      <c r="E1576" s="15"/>
      <c r="F1576" s="242"/>
      <c r="G1576" s="242"/>
      <c r="H1576" s="242"/>
      <c r="I1576" s="242"/>
      <c r="J1576" s="242"/>
      <c r="K1576" s="242"/>
      <c r="L1576" s="242"/>
      <c r="M1576" s="242"/>
      <c r="N1576" s="242"/>
      <c r="O1576" s="242"/>
      <c r="P1576" s="242"/>
      <c r="Q1576" s="242"/>
      <c r="R1576" s="226"/>
      <c r="S1576" s="30">
        <f t="shared" ref="S1576:S1759" si="9">23*R1576</f>
        <v>0</v>
      </c>
      <c r="T1576" s="243"/>
      <c r="U1576" s="242"/>
      <c r="V1576" s="242"/>
      <c r="W1576" s="242"/>
      <c r="X1576" s="242"/>
      <c r="Y1576" s="241"/>
      <c r="Z1576" s="242"/>
      <c r="AA1576" s="135"/>
      <c r="AB1576" s="241"/>
      <c r="AC1576" s="242"/>
      <c r="AD1576" s="242"/>
      <c r="AE1576" s="242"/>
      <c r="AF1576" s="242"/>
      <c r="AG1576" s="242"/>
      <c r="AH1576" s="242"/>
      <c r="AI1576" s="242"/>
      <c r="AJ1576" s="242"/>
      <c r="AK1576" s="242"/>
      <c r="AL1576" s="242"/>
      <c r="AM1576" s="242"/>
      <c r="AN1576" s="242"/>
      <c r="AO1576" s="242"/>
      <c r="AP1576" s="242"/>
      <c r="AQ1576" s="242"/>
      <c r="AR1576" s="242"/>
      <c r="AS1576" s="242"/>
      <c r="AT1576" s="242"/>
    </row>
    <row r="1577" spans="1:46" ht="45" customHeight="1">
      <c r="A1577" s="243"/>
      <c r="B1577" s="241"/>
      <c r="C1577" s="66"/>
      <c r="D1577" s="15"/>
      <c r="E1577" s="15"/>
      <c r="F1577" s="242"/>
      <c r="G1577" s="242"/>
      <c r="H1577" s="242"/>
      <c r="I1577" s="242"/>
      <c r="J1577" s="242"/>
      <c r="K1577" s="242"/>
      <c r="L1577" s="242"/>
      <c r="M1577" s="242"/>
      <c r="N1577" s="242"/>
      <c r="O1577" s="242"/>
      <c r="P1577" s="242"/>
      <c r="Q1577" s="242"/>
      <c r="R1577" s="226"/>
      <c r="S1577" s="30">
        <f t="shared" si="9"/>
        <v>0</v>
      </c>
      <c r="T1577" s="243"/>
      <c r="U1577" s="242"/>
      <c r="V1577" s="242"/>
      <c r="W1577" s="242"/>
      <c r="X1577" s="242"/>
      <c r="Y1577" s="241"/>
      <c r="Z1577" s="242"/>
      <c r="AA1577" s="135"/>
      <c r="AB1577" s="241"/>
      <c r="AC1577" s="242"/>
      <c r="AD1577" s="242"/>
      <c r="AE1577" s="242"/>
      <c r="AF1577" s="242"/>
      <c r="AG1577" s="242"/>
      <c r="AH1577" s="242"/>
      <c r="AI1577" s="242"/>
      <c r="AJ1577" s="242"/>
      <c r="AK1577" s="242"/>
      <c r="AL1577" s="242"/>
      <c r="AM1577" s="242"/>
      <c r="AN1577" s="242"/>
      <c r="AO1577" s="242"/>
      <c r="AP1577" s="242"/>
      <c r="AQ1577" s="242"/>
      <c r="AR1577" s="242"/>
      <c r="AS1577" s="242"/>
      <c r="AT1577" s="242"/>
    </row>
    <row r="1578" spans="1:46" ht="45" customHeight="1">
      <c r="A1578" s="243"/>
      <c r="B1578" s="241"/>
      <c r="C1578" s="66"/>
      <c r="D1578" s="15"/>
      <c r="E1578" s="15"/>
      <c r="F1578" s="242"/>
      <c r="G1578" s="242"/>
      <c r="H1578" s="242"/>
      <c r="I1578" s="242"/>
      <c r="J1578" s="242"/>
      <c r="K1578" s="242"/>
      <c r="L1578" s="242"/>
      <c r="M1578" s="242"/>
      <c r="N1578" s="242"/>
      <c r="O1578" s="242"/>
      <c r="P1578" s="242"/>
      <c r="Q1578" s="242"/>
      <c r="R1578" s="226"/>
      <c r="S1578" s="30">
        <f t="shared" si="9"/>
        <v>0</v>
      </c>
      <c r="T1578" s="243"/>
      <c r="U1578" s="242"/>
      <c r="V1578" s="242"/>
      <c r="W1578" s="242"/>
      <c r="X1578" s="242"/>
      <c r="Y1578" s="241"/>
      <c r="Z1578" s="242"/>
      <c r="AA1578" s="135"/>
      <c r="AB1578" s="241"/>
      <c r="AC1578" s="242"/>
      <c r="AD1578" s="242"/>
      <c r="AE1578" s="242"/>
      <c r="AF1578" s="242"/>
      <c r="AG1578" s="242"/>
      <c r="AH1578" s="242"/>
      <c r="AI1578" s="242"/>
      <c r="AJ1578" s="242"/>
      <c r="AK1578" s="242"/>
      <c r="AL1578" s="242"/>
      <c r="AM1578" s="242"/>
      <c r="AN1578" s="242"/>
      <c r="AO1578" s="242"/>
      <c r="AP1578" s="242"/>
      <c r="AQ1578" s="242"/>
      <c r="AR1578" s="242"/>
      <c r="AS1578" s="242"/>
      <c r="AT1578" s="242"/>
    </row>
    <row r="1579" spans="1:46" ht="45" customHeight="1">
      <c r="A1579" s="243"/>
      <c r="B1579" s="241"/>
      <c r="C1579" s="66"/>
      <c r="D1579" s="15"/>
      <c r="E1579" s="15"/>
      <c r="F1579" s="242"/>
      <c r="G1579" s="242"/>
      <c r="H1579" s="242"/>
      <c r="I1579" s="242"/>
      <c r="J1579" s="242"/>
      <c r="K1579" s="242"/>
      <c r="L1579" s="242"/>
      <c r="M1579" s="242"/>
      <c r="N1579" s="242"/>
      <c r="O1579" s="242"/>
      <c r="P1579" s="242"/>
      <c r="Q1579" s="242"/>
      <c r="R1579" s="226"/>
      <c r="S1579" s="30">
        <f t="shared" si="9"/>
        <v>0</v>
      </c>
      <c r="T1579" s="243"/>
      <c r="U1579" s="242"/>
      <c r="V1579" s="242"/>
      <c r="W1579" s="242"/>
      <c r="X1579" s="242"/>
      <c r="Y1579" s="241"/>
      <c r="Z1579" s="242"/>
      <c r="AA1579" s="135"/>
      <c r="AB1579" s="241"/>
      <c r="AC1579" s="242"/>
      <c r="AD1579" s="242"/>
      <c r="AE1579" s="242"/>
      <c r="AF1579" s="242"/>
      <c r="AG1579" s="242"/>
      <c r="AH1579" s="242"/>
      <c r="AI1579" s="242"/>
      <c r="AJ1579" s="242"/>
      <c r="AK1579" s="242"/>
      <c r="AL1579" s="242"/>
      <c r="AM1579" s="242"/>
      <c r="AN1579" s="242"/>
      <c r="AO1579" s="242"/>
      <c r="AP1579" s="242"/>
      <c r="AQ1579" s="242"/>
      <c r="AR1579" s="242"/>
      <c r="AS1579" s="242"/>
      <c r="AT1579" s="242"/>
    </row>
    <row r="1580" spans="1:46" ht="45" customHeight="1">
      <c r="A1580" s="243"/>
      <c r="B1580" s="241"/>
      <c r="C1580" s="66"/>
      <c r="D1580" s="15"/>
      <c r="E1580" s="15"/>
      <c r="F1580" s="242"/>
      <c r="G1580" s="242"/>
      <c r="H1580" s="242"/>
      <c r="I1580" s="242"/>
      <c r="J1580" s="242"/>
      <c r="K1580" s="242"/>
      <c r="L1580" s="242"/>
      <c r="M1580" s="242"/>
      <c r="N1580" s="242"/>
      <c r="O1580" s="242"/>
      <c r="P1580" s="242"/>
      <c r="Q1580" s="242"/>
      <c r="R1580" s="226"/>
      <c r="S1580" s="30">
        <f t="shared" si="9"/>
        <v>0</v>
      </c>
      <c r="T1580" s="243"/>
      <c r="U1580" s="242"/>
      <c r="V1580" s="242"/>
      <c r="W1580" s="242"/>
      <c r="X1580" s="242"/>
      <c r="Y1580" s="241"/>
      <c r="Z1580" s="242"/>
      <c r="AA1580" s="135"/>
      <c r="AB1580" s="241"/>
      <c r="AC1580" s="242"/>
      <c r="AD1580" s="242"/>
      <c r="AE1580" s="242"/>
      <c r="AF1580" s="242"/>
      <c r="AG1580" s="242"/>
      <c r="AH1580" s="242"/>
      <c r="AI1580" s="242"/>
      <c r="AJ1580" s="242"/>
      <c r="AK1580" s="242"/>
      <c r="AL1580" s="242"/>
      <c r="AM1580" s="242"/>
      <c r="AN1580" s="242"/>
      <c r="AO1580" s="242"/>
      <c r="AP1580" s="242"/>
      <c r="AQ1580" s="242"/>
      <c r="AR1580" s="242"/>
      <c r="AS1580" s="242"/>
      <c r="AT1580" s="242"/>
    </row>
    <row r="1581" spans="1:46" ht="45" customHeight="1">
      <c r="A1581" s="243"/>
      <c r="B1581" s="241"/>
      <c r="C1581" s="66"/>
      <c r="D1581" s="15"/>
      <c r="E1581" s="15"/>
      <c r="F1581" s="242"/>
      <c r="G1581" s="242"/>
      <c r="H1581" s="242"/>
      <c r="I1581" s="242"/>
      <c r="J1581" s="242"/>
      <c r="K1581" s="242"/>
      <c r="L1581" s="242"/>
      <c r="M1581" s="242"/>
      <c r="N1581" s="242"/>
      <c r="O1581" s="242"/>
      <c r="P1581" s="242"/>
      <c r="Q1581" s="242"/>
      <c r="R1581" s="226"/>
      <c r="S1581" s="30">
        <f t="shared" si="9"/>
        <v>0</v>
      </c>
      <c r="T1581" s="243"/>
      <c r="U1581" s="242"/>
      <c r="V1581" s="242"/>
      <c r="W1581" s="242"/>
      <c r="X1581" s="242"/>
      <c r="Y1581" s="241"/>
      <c r="Z1581" s="242"/>
      <c r="AA1581" s="135"/>
      <c r="AB1581" s="241"/>
      <c r="AC1581" s="242"/>
      <c r="AD1581" s="242"/>
      <c r="AE1581" s="242"/>
      <c r="AF1581" s="242"/>
      <c r="AG1581" s="242"/>
      <c r="AH1581" s="242"/>
      <c r="AI1581" s="242"/>
      <c r="AJ1581" s="242"/>
      <c r="AK1581" s="242"/>
      <c r="AL1581" s="242"/>
      <c r="AM1581" s="242"/>
      <c r="AN1581" s="242"/>
      <c r="AO1581" s="242"/>
      <c r="AP1581" s="242"/>
      <c r="AQ1581" s="242"/>
      <c r="AR1581" s="242"/>
      <c r="AS1581" s="242"/>
      <c r="AT1581" s="242"/>
    </row>
    <row r="1582" spans="1:46" ht="45" customHeight="1">
      <c r="A1582" s="243"/>
      <c r="B1582" s="241"/>
      <c r="C1582" s="66"/>
      <c r="D1582" s="15"/>
      <c r="E1582" s="15"/>
      <c r="F1582" s="242"/>
      <c r="G1582" s="242"/>
      <c r="H1582" s="242"/>
      <c r="I1582" s="242"/>
      <c r="J1582" s="242"/>
      <c r="K1582" s="242"/>
      <c r="L1582" s="242"/>
      <c r="M1582" s="242"/>
      <c r="N1582" s="242"/>
      <c r="O1582" s="242"/>
      <c r="P1582" s="242"/>
      <c r="Q1582" s="242"/>
      <c r="R1582" s="226"/>
      <c r="S1582" s="30">
        <f t="shared" si="9"/>
        <v>0</v>
      </c>
      <c r="T1582" s="243"/>
      <c r="U1582" s="242"/>
      <c r="V1582" s="242"/>
      <c r="W1582" s="242"/>
      <c r="X1582" s="242"/>
      <c r="Y1582" s="241"/>
      <c r="Z1582" s="242"/>
      <c r="AA1582" s="135"/>
      <c r="AB1582" s="241"/>
      <c r="AC1582" s="242"/>
      <c r="AD1582" s="242"/>
      <c r="AE1582" s="242"/>
      <c r="AF1582" s="242"/>
      <c r="AG1582" s="242"/>
      <c r="AH1582" s="242"/>
      <c r="AI1582" s="242"/>
      <c r="AJ1582" s="242"/>
      <c r="AK1582" s="242"/>
      <c r="AL1582" s="242"/>
      <c r="AM1582" s="242"/>
      <c r="AN1582" s="242"/>
      <c r="AO1582" s="242"/>
      <c r="AP1582" s="242"/>
      <c r="AQ1582" s="242"/>
      <c r="AR1582" s="242"/>
      <c r="AS1582" s="242"/>
      <c r="AT1582" s="242"/>
    </row>
    <row r="1583" spans="1:46" ht="45" customHeight="1">
      <c r="A1583" s="243"/>
      <c r="B1583" s="241"/>
      <c r="C1583" s="66"/>
      <c r="D1583" s="15"/>
      <c r="E1583" s="15"/>
      <c r="F1583" s="242"/>
      <c r="G1583" s="242"/>
      <c r="H1583" s="242"/>
      <c r="I1583" s="242"/>
      <c r="J1583" s="242"/>
      <c r="K1583" s="242"/>
      <c r="L1583" s="242"/>
      <c r="M1583" s="242"/>
      <c r="N1583" s="242"/>
      <c r="O1583" s="242"/>
      <c r="P1583" s="242"/>
      <c r="Q1583" s="242"/>
      <c r="R1583" s="226"/>
      <c r="S1583" s="30">
        <f t="shared" si="9"/>
        <v>0</v>
      </c>
      <c r="T1583" s="243"/>
      <c r="U1583" s="242"/>
      <c r="V1583" s="242"/>
      <c r="W1583" s="242"/>
      <c r="X1583" s="242"/>
      <c r="Y1583" s="241"/>
      <c r="Z1583" s="242"/>
      <c r="AA1583" s="135"/>
      <c r="AB1583" s="241"/>
      <c r="AC1583" s="242"/>
      <c r="AD1583" s="242"/>
      <c r="AE1583" s="242"/>
      <c r="AF1583" s="242"/>
      <c r="AG1583" s="242"/>
      <c r="AH1583" s="242"/>
      <c r="AI1583" s="242"/>
      <c r="AJ1583" s="242"/>
      <c r="AK1583" s="242"/>
      <c r="AL1583" s="242"/>
      <c r="AM1583" s="242"/>
      <c r="AN1583" s="242"/>
      <c r="AO1583" s="242"/>
      <c r="AP1583" s="242"/>
      <c r="AQ1583" s="242"/>
      <c r="AR1583" s="242"/>
      <c r="AS1583" s="242"/>
      <c r="AT1583" s="242"/>
    </row>
    <row r="1584" spans="1:46" ht="45" customHeight="1">
      <c r="A1584" s="243"/>
      <c r="B1584" s="241"/>
      <c r="C1584" s="66"/>
      <c r="D1584" s="15"/>
      <c r="E1584" s="15"/>
      <c r="F1584" s="242"/>
      <c r="G1584" s="242"/>
      <c r="H1584" s="242"/>
      <c r="I1584" s="242"/>
      <c r="J1584" s="242"/>
      <c r="K1584" s="242"/>
      <c r="L1584" s="242"/>
      <c r="M1584" s="242"/>
      <c r="N1584" s="242"/>
      <c r="O1584" s="242"/>
      <c r="P1584" s="242"/>
      <c r="Q1584" s="242"/>
      <c r="R1584" s="226"/>
      <c r="S1584" s="30">
        <f t="shared" si="9"/>
        <v>0</v>
      </c>
      <c r="T1584" s="243"/>
      <c r="U1584" s="242"/>
      <c r="V1584" s="242"/>
      <c r="W1584" s="242"/>
      <c r="X1584" s="242"/>
      <c r="Y1584" s="241"/>
      <c r="Z1584" s="242"/>
      <c r="AA1584" s="135"/>
      <c r="AB1584" s="241"/>
      <c r="AC1584" s="242"/>
      <c r="AD1584" s="242"/>
      <c r="AE1584" s="242"/>
      <c r="AF1584" s="242"/>
      <c r="AG1584" s="242"/>
      <c r="AH1584" s="242"/>
      <c r="AI1584" s="242"/>
      <c r="AJ1584" s="242"/>
      <c r="AK1584" s="242"/>
      <c r="AL1584" s="242"/>
      <c r="AM1584" s="242"/>
      <c r="AN1584" s="242"/>
      <c r="AO1584" s="242"/>
      <c r="AP1584" s="242"/>
      <c r="AQ1584" s="242"/>
      <c r="AR1584" s="242"/>
      <c r="AS1584" s="242"/>
      <c r="AT1584" s="242"/>
    </row>
    <row r="1585" spans="1:46" ht="45" customHeight="1">
      <c r="A1585" s="243"/>
      <c r="B1585" s="241"/>
      <c r="C1585" s="66"/>
      <c r="D1585" s="15"/>
      <c r="E1585" s="15"/>
      <c r="F1585" s="242"/>
      <c r="G1585" s="242"/>
      <c r="H1585" s="242"/>
      <c r="I1585" s="242"/>
      <c r="J1585" s="242"/>
      <c r="K1585" s="242"/>
      <c r="L1585" s="242"/>
      <c r="M1585" s="242"/>
      <c r="N1585" s="242"/>
      <c r="O1585" s="242"/>
      <c r="P1585" s="242"/>
      <c r="Q1585" s="242"/>
      <c r="R1585" s="226"/>
      <c r="S1585" s="30">
        <f t="shared" si="9"/>
        <v>0</v>
      </c>
      <c r="T1585" s="243"/>
      <c r="U1585" s="242"/>
      <c r="V1585" s="242"/>
      <c r="W1585" s="242"/>
      <c r="X1585" s="242"/>
      <c r="Y1585" s="241"/>
      <c r="Z1585" s="242"/>
      <c r="AA1585" s="135"/>
      <c r="AB1585" s="241"/>
      <c r="AC1585" s="242"/>
      <c r="AD1585" s="242"/>
      <c r="AE1585" s="242"/>
      <c r="AF1585" s="242"/>
      <c r="AG1585" s="242"/>
      <c r="AH1585" s="242"/>
      <c r="AI1585" s="242"/>
      <c r="AJ1585" s="242"/>
      <c r="AK1585" s="242"/>
      <c r="AL1585" s="242"/>
      <c r="AM1585" s="242"/>
      <c r="AN1585" s="242"/>
      <c r="AO1585" s="242"/>
      <c r="AP1585" s="242"/>
      <c r="AQ1585" s="242"/>
      <c r="AR1585" s="242"/>
      <c r="AS1585" s="242"/>
      <c r="AT1585" s="242"/>
    </row>
    <row r="1586" spans="1:46" ht="45" customHeight="1">
      <c r="A1586" s="243"/>
      <c r="B1586" s="241"/>
      <c r="C1586" s="66"/>
      <c r="D1586" s="15"/>
      <c r="E1586" s="15"/>
      <c r="F1586" s="242"/>
      <c r="G1586" s="242"/>
      <c r="H1586" s="242"/>
      <c r="I1586" s="242"/>
      <c r="J1586" s="242"/>
      <c r="K1586" s="242"/>
      <c r="L1586" s="242"/>
      <c r="M1586" s="242"/>
      <c r="N1586" s="242"/>
      <c r="O1586" s="242"/>
      <c r="P1586" s="242"/>
      <c r="Q1586" s="242"/>
      <c r="R1586" s="226"/>
      <c r="S1586" s="30">
        <f t="shared" si="9"/>
        <v>0</v>
      </c>
      <c r="T1586" s="243"/>
      <c r="U1586" s="242"/>
      <c r="V1586" s="242"/>
      <c r="W1586" s="242"/>
      <c r="X1586" s="242"/>
      <c r="Y1586" s="241"/>
      <c r="Z1586" s="242"/>
      <c r="AA1586" s="135"/>
      <c r="AB1586" s="241"/>
      <c r="AC1586" s="242"/>
      <c r="AD1586" s="242"/>
      <c r="AE1586" s="242"/>
      <c r="AF1586" s="242"/>
      <c r="AG1586" s="242"/>
      <c r="AH1586" s="242"/>
      <c r="AI1586" s="242"/>
      <c r="AJ1586" s="242"/>
      <c r="AK1586" s="242"/>
      <c r="AL1586" s="242"/>
      <c r="AM1586" s="242"/>
      <c r="AN1586" s="242"/>
      <c r="AO1586" s="242"/>
      <c r="AP1586" s="242"/>
      <c r="AQ1586" s="242"/>
      <c r="AR1586" s="242"/>
      <c r="AS1586" s="242"/>
      <c r="AT1586" s="242"/>
    </row>
    <row r="1587" spans="1:46" ht="45" customHeight="1">
      <c r="A1587" s="243"/>
      <c r="B1587" s="241"/>
      <c r="C1587" s="66"/>
      <c r="D1587" s="15"/>
      <c r="E1587" s="15"/>
      <c r="F1587" s="242"/>
      <c r="G1587" s="242"/>
      <c r="H1587" s="242"/>
      <c r="I1587" s="242"/>
      <c r="J1587" s="242"/>
      <c r="K1587" s="242"/>
      <c r="L1587" s="242"/>
      <c r="M1587" s="242"/>
      <c r="N1587" s="242"/>
      <c r="O1587" s="242"/>
      <c r="P1587" s="242"/>
      <c r="Q1587" s="242"/>
      <c r="R1587" s="226"/>
      <c r="S1587" s="30">
        <f t="shared" si="9"/>
        <v>0</v>
      </c>
      <c r="T1587" s="243"/>
      <c r="U1587" s="242"/>
      <c r="V1587" s="242"/>
      <c r="W1587" s="242"/>
      <c r="X1587" s="242"/>
      <c r="Y1587" s="241"/>
      <c r="Z1587" s="242"/>
      <c r="AA1587" s="135"/>
      <c r="AB1587" s="241"/>
      <c r="AC1587" s="242"/>
      <c r="AD1587" s="242"/>
      <c r="AE1587" s="242"/>
      <c r="AF1587" s="242"/>
      <c r="AG1587" s="242"/>
      <c r="AH1587" s="242"/>
      <c r="AI1587" s="242"/>
      <c r="AJ1587" s="242"/>
      <c r="AK1587" s="242"/>
      <c r="AL1587" s="242"/>
      <c r="AM1587" s="242"/>
      <c r="AN1587" s="242"/>
      <c r="AO1587" s="242"/>
      <c r="AP1587" s="242"/>
      <c r="AQ1587" s="242"/>
      <c r="AR1587" s="242"/>
      <c r="AS1587" s="242"/>
      <c r="AT1587" s="242"/>
    </row>
    <row r="1588" spans="1:46" ht="45" customHeight="1">
      <c r="A1588" s="243"/>
      <c r="B1588" s="241"/>
      <c r="C1588" s="66"/>
      <c r="D1588" s="15"/>
      <c r="E1588" s="15"/>
      <c r="F1588" s="242"/>
      <c r="G1588" s="242"/>
      <c r="H1588" s="242"/>
      <c r="I1588" s="242"/>
      <c r="J1588" s="242"/>
      <c r="K1588" s="242"/>
      <c r="L1588" s="242"/>
      <c r="M1588" s="242"/>
      <c r="N1588" s="242"/>
      <c r="O1588" s="242"/>
      <c r="P1588" s="242"/>
      <c r="Q1588" s="242"/>
      <c r="R1588" s="226"/>
      <c r="S1588" s="30">
        <f t="shared" si="9"/>
        <v>0</v>
      </c>
      <c r="T1588" s="243"/>
      <c r="U1588" s="242"/>
      <c r="V1588" s="242"/>
      <c r="W1588" s="242"/>
      <c r="X1588" s="242"/>
      <c r="Y1588" s="241"/>
      <c r="Z1588" s="242"/>
      <c r="AA1588" s="135"/>
      <c r="AB1588" s="241"/>
      <c r="AC1588" s="242"/>
      <c r="AD1588" s="242"/>
      <c r="AE1588" s="242"/>
      <c r="AF1588" s="242"/>
      <c r="AG1588" s="242"/>
      <c r="AH1588" s="242"/>
      <c r="AI1588" s="242"/>
      <c r="AJ1588" s="242"/>
      <c r="AK1588" s="242"/>
      <c r="AL1588" s="242"/>
      <c r="AM1588" s="242"/>
      <c r="AN1588" s="242"/>
      <c r="AO1588" s="242"/>
      <c r="AP1588" s="242"/>
      <c r="AQ1588" s="242"/>
      <c r="AR1588" s="242"/>
      <c r="AS1588" s="242"/>
      <c r="AT1588" s="242"/>
    </row>
    <row r="1589" spans="1:46" ht="45" customHeight="1">
      <c r="A1589" s="243"/>
      <c r="B1589" s="241"/>
      <c r="C1589" s="66"/>
      <c r="D1589" s="15"/>
      <c r="E1589" s="15"/>
      <c r="F1589" s="242"/>
      <c r="G1589" s="242"/>
      <c r="H1589" s="242"/>
      <c r="I1589" s="242"/>
      <c r="J1589" s="242"/>
      <c r="K1589" s="242"/>
      <c r="L1589" s="242"/>
      <c r="M1589" s="242"/>
      <c r="N1589" s="242"/>
      <c r="O1589" s="242"/>
      <c r="P1589" s="242"/>
      <c r="Q1589" s="242"/>
      <c r="R1589" s="226"/>
      <c r="S1589" s="30">
        <f t="shared" si="9"/>
        <v>0</v>
      </c>
      <c r="T1589" s="243"/>
      <c r="U1589" s="242"/>
      <c r="V1589" s="242"/>
      <c r="W1589" s="242"/>
      <c r="X1589" s="242"/>
      <c r="Y1589" s="241"/>
      <c r="Z1589" s="242"/>
      <c r="AA1589" s="135"/>
      <c r="AB1589" s="241"/>
      <c r="AC1589" s="242"/>
      <c r="AD1589" s="242"/>
      <c r="AE1589" s="242"/>
      <c r="AF1589" s="242"/>
      <c r="AG1589" s="242"/>
      <c r="AH1589" s="242"/>
      <c r="AI1589" s="242"/>
      <c r="AJ1589" s="242"/>
      <c r="AK1589" s="242"/>
      <c r="AL1589" s="242"/>
      <c r="AM1589" s="242"/>
      <c r="AN1589" s="242"/>
      <c r="AO1589" s="242"/>
      <c r="AP1589" s="242"/>
      <c r="AQ1589" s="242"/>
      <c r="AR1589" s="242"/>
      <c r="AS1589" s="242"/>
      <c r="AT1589" s="242"/>
    </row>
    <row r="1590" spans="1:46" ht="45" customHeight="1">
      <c r="A1590" s="243"/>
      <c r="B1590" s="241"/>
      <c r="C1590" s="66"/>
      <c r="D1590" s="15"/>
      <c r="E1590" s="15"/>
      <c r="F1590" s="242"/>
      <c r="G1590" s="242"/>
      <c r="H1590" s="242"/>
      <c r="I1590" s="242"/>
      <c r="J1590" s="242"/>
      <c r="K1590" s="242"/>
      <c r="L1590" s="242"/>
      <c r="M1590" s="242"/>
      <c r="N1590" s="242"/>
      <c r="O1590" s="242"/>
      <c r="P1590" s="242"/>
      <c r="Q1590" s="242"/>
      <c r="R1590" s="226"/>
      <c r="S1590" s="30">
        <f t="shared" si="9"/>
        <v>0</v>
      </c>
      <c r="T1590" s="243"/>
      <c r="U1590" s="242"/>
      <c r="V1590" s="242"/>
      <c r="W1590" s="242"/>
      <c r="X1590" s="242"/>
      <c r="Y1590" s="241"/>
      <c r="Z1590" s="242"/>
      <c r="AA1590" s="135"/>
      <c r="AB1590" s="241"/>
      <c r="AC1590" s="242"/>
      <c r="AD1590" s="242"/>
      <c r="AE1590" s="242"/>
      <c r="AF1590" s="242"/>
      <c r="AG1590" s="242"/>
      <c r="AH1590" s="242"/>
      <c r="AI1590" s="242"/>
      <c r="AJ1590" s="242"/>
      <c r="AK1590" s="242"/>
      <c r="AL1590" s="242"/>
      <c r="AM1590" s="242"/>
      <c r="AN1590" s="242"/>
      <c r="AO1590" s="242"/>
      <c r="AP1590" s="242"/>
      <c r="AQ1590" s="242"/>
      <c r="AR1590" s="242"/>
      <c r="AS1590" s="242"/>
      <c r="AT1590" s="242"/>
    </row>
    <row r="1591" spans="1:46" ht="45" customHeight="1">
      <c r="A1591" s="243"/>
      <c r="B1591" s="241"/>
      <c r="C1591" s="66"/>
      <c r="D1591" s="15"/>
      <c r="E1591" s="15"/>
      <c r="F1591" s="242"/>
      <c r="G1591" s="242"/>
      <c r="H1591" s="242"/>
      <c r="I1591" s="242"/>
      <c r="J1591" s="242"/>
      <c r="K1591" s="242"/>
      <c r="L1591" s="242"/>
      <c r="M1591" s="242"/>
      <c r="N1591" s="242"/>
      <c r="O1591" s="242"/>
      <c r="P1591" s="242"/>
      <c r="Q1591" s="242"/>
      <c r="R1591" s="226"/>
      <c r="S1591" s="30">
        <f t="shared" si="9"/>
        <v>0</v>
      </c>
      <c r="T1591" s="243"/>
      <c r="U1591" s="242"/>
      <c r="V1591" s="242"/>
      <c r="W1591" s="242"/>
      <c r="X1591" s="242"/>
      <c r="Y1591" s="241"/>
      <c r="Z1591" s="242"/>
      <c r="AA1591" s="135"/>
      <c r="AB1591" s="241"/>
      <c r="AC1591" s="242"/>
      <c r="AD1591" s="242"/>
      <c r="AE1591" s="242"/>
      <c r="AF1591" s="242"/>
      <c r="AG1591" s="242"/>
      <c r="AH1591" s="242"/>
      <c r="AI1591" s="242"/>
      <c r="AJ1591" s="242"/>
      <c r="AK1591" s="242"/>
      <c r="AL1591" s="242"/>
      <c r="AM1591" s="242"/>
      <c r="AN1591" s="242"/>
      <c r="AO1591" s="242"/>
      <c r="AP1591" s="242"/>
      <c r="AQ1591" s="242"/>
      <c r="AR1591" s="242"/>
      <c r="AS1591" s="242"/>
      <c r="AT1591" s="242"/>
    </row>
    <row r="1592" spans="1:46" ht="45" customHeight="1">
      <c r="A1592" s="243"/>
      <c r="B1592" s="241"/>
      <c r="C1592" s="66"/>
      <c r="D1592" s="15"/>
      <c r="E1592" s="15"/>
      <c r="F1592" s="242"/>
      <c r="G1592" s="242"/>
      <c r="H1592" s="242"/>
      <c r="I1592" s="242"/>
      <c r="J1592" s="242"/>
      <c r="K1592" s="242"/>
      <c r="L1592" s="242"/>
      <c r="M1592" s="242"/>
      <c r="N1592" s="242"/>
      <c r="O1592" s="242"/>
      <c r="P1592" s="242"/>
      <c r="Q1592" s="242"/>
      <c r="R1592" s="226"/>
      <c r="S1592" s="30">
        <f t="shared" si="9"/>
        <v>0</v>
      </c>
      <c r="T1592" s="243"/>
      <c r="U1592" s="242"/>
      <c r="V1592" s="242"/>
      <c r="W1592" s="242"/>
      <c r="X1592" s="242"/>
      <c r="Y1592" s="241"/>
      <c r="Z1592" s="242"/>
      <c r="AA1592" s="135"/>
      <c r="AB1592" s="241"/>
      <c r="AC1592" s="242"/>
      <c r="AD1592" s="242"/>
      <c r="AE1592" s="242"/>
      <c r="AF1592" s="242"/>
      <c r="AG1592" s="242"/>
      <c r="AH1592" s="242"/>
      <c r="AI1592" s="242"/>
      <c r="AJ1592" s="242"/>
      <c r="AK1592" s="242"/>
      <c r="AL1592" s="242"/>
      <c r="AM1592" s="242"/>
      <c r="AN1592" s="242"/>
      <c r="AO1592" s="242"/>
      <c r="AP1592" s="242"/>
      <c r="AQ1592" s="242"/>
      <c r="AR1592" s="242"/>
      <c r="AS1592" s="242"/>
      <c r="AT1592" s="242"/>
    </row>
    <row r="1593" spans="1:46" ht="45" customHeight="1">
      <c r="A1593" s="243"/>
      <c r="B1593" s="241"/>
      <c r="C1593" s="66"/>
      <c r="D1593" s="15"/>
      <c r="E1593" s="15"/>
      <c r="F1593" s="242"/>
      <c r="G1593" s="242"/>
      <c r="H1593" s="242"/>
      <c r="I1593" s="242"/>
      <c r="J1593" s="242"/>
      <c r="K1593" s="242"/>
      <c r="L1593" s="242"/>
      <c r="M1593" s="242"/>
      <c r="N1593" s="242"/>
      <c r="O1593" s="242"/>
      <c r="P1593" s="242"/>
      <c r="Q1593" s="242"/>
      <c r="R1593" s="226"/>
      <c r="S1593" s="30">
        <f t="shared" si="9"/>
        <v>0</v>
      </c>
      <c r="T1593" s="243"/>
      <c r="U1593" s="242"/>
      <c r="V1593" s="242"/>
      <c r="W1593" s="242"/>
      <c r="X1593" s="242"/>
      <c r="Y1593" s="241"/>
      <c r="Z1593" s="242"/>
      <c r="AA1593" s="135"/>
      <c r="AB1593" s="241"/>
      <c r="AC1593" s="242"/>
      <c r="AD1593" s="242"/>
      <c r="AE1593" s="242"/>
      <c r="AF1593" s="242"/>
      <c r="AG1593" s="242"/>
      <c r="AH1593" s="242"/>
      <c r="AI1593" s="242"/>
      <c r="AJ1593" s="242"/>
      <c r="AK1593" s="242"/>
      <c r="AL1593" s="242"/>
      <c r="AM1593" s="242"/>
      <c r="AN1593" s="242"/>
      <c r="AO1593" s="242"/>
      <c r="AP1593" s="242"/>
      <c r="AQ1593" s="242"/>
      <c r="AR1593" s="242"/>
      <c r="AS1593" s="242"/>
      <c r="AT1593" s="242"/>
    </row>
    <row r="1594" spans="1:46" ht="45" customHeight="1">
      <c r="A1594" s="243"/>
      <c r="B1594" s="241"/>
      <c r="C1594" s="66"/>
      <c r="D1594" s="15"/>
      <c r="E1594" s="15"/>
      <c r="F1594" s="242"/>
      <c r="G1594" s="242"/>
      <c r="H1594" s="242"/>
      <c r="I1594" s="242"/>
      <c r="J1594" s="242"/>
      <c r="K1594" s="242"/>
      <c r="L1594" s="242"/>
      <c r="M1594" s="242"/>
      <c r="N1594" s="242"/>
      <c r="O1594" s="242"/>
      <c r="P1594" s="242"/>
      <c r="Q1594" s="242"/>
      <c r="R1594" s="226"/>
      <c r="S1594" s="30">
        <f t="shared" si="9"/>
        <v>0</v>
      </c>
      <c r="T1594" s="243"/>
      <c r="U1594" s="242"/>
      <c r="V1594" s="242"/>
      <c r="W1594" s="242"/>
      <c r="X1594" s="242"/>
      <c r="Y1594" s="241"/>
      <c r="Z1594" s="242"/>
      <c r="AA1594" s="135"/>
      <c r="AB1594" s="241"/>
      <c r="AC1594" s="242"/>
      <c r="AD1594" s="242"/>
      <c r="AE1594" s="242"/>
      <c r="AF1594" s="242"/>
      <c r="AG1594" s="242"/>
      <c r="AH1594" s="242"/>
      <c r="AI1594" s="242"/>
      <c r="AJ1594" s="242"/>
      <c r="AK1594" s="242"/>
      <c r="AL1594" s="242"/>
      <c r="AM1594" s="242"/>
      <c r="AN1594" s="242"/>
      <c r="AO1594" s="242"/>
      <c r="AP1594" s="242"/>
      <c r="AQ1594" s="242"/>
      <c r="AR1594" s="242"/>
      <c r="AS1594" s="242"/>
      <c r="AT1594" s="242"/>
    </row>
    <row r="1595" spans="1:46" ht="45" customHeight="1">
      <c r="A1595" s="243"/>
      <c r="B1595" s="241"/>
      <c r="C1595" s="66"/>
      <c r="D1595" s="15"/>
      <c r="E1595" s="15"/>
      <c r="F1595" s="242"/>
      <c r="G1595" s="242"/>
      <c r="H1595" s="242"/>
      <c r="I1595" s="242"/>
      <c r="J1595" s="242"/>
      <c r="K1595" s="242"/>
      <c r="L1595" s="242"/>
      <c r="M1595" s="242"/>
      <c r="N1595" s="242"/>
      <c r="O1595" s="242"/>
      <c r="P1595" s="242"/>
      <c r="Q1595" s="242"/>
      <c r="R1595" s="226"/>
      <c r="S1595" s="30">
        <f t="shared" si="9"/>
        <v>0</v>
      </c>
      <c r="T1595" s="243"/>
      <c r="U1595" s="242"/>
      <c r="V1595" s="242"/>
      <c r="W1595" s="242"/>
      <c r="X1595" s="242"/>
      <c r="Y1595" s="241"/>
      <c r="Z1595" s="242"/>
      <c r="AA1595" s="135"/>
      <c r="AB1595" s="241"/>
      <c r="AC1595" s="242"/>
      <c r="AD1595" s="242"/>
      <c r="AE1595" s="242"/>
      <c r="AF1595" s="242"/>
      <c r="AG1595" s="242"/>
      <c r="AH1595" s="242"/>
      <c r="AI1595" s="242"/>
      <c r="AJ1595" s="242"/>
      <c r="AK1595" s="242"/>
      <c r="AL1595" s="242"/>
      <c r="AM1595" s="242"/>
      <c r="AN1595" s="242"/>
      <c r="AO1595" s="242"/>
      <c r="AP1595" s="242"/>
      <c r="AQ1595" s="242"/>
      <c r="AR1595" s="242"/>
      <c r="AS1595" s="242"/>
      <c r="AT1595" s="242"/>
    </row>
    <row r="1596" spans="1:46" ht="45" customHeight="1">
      <c r="A1596" s="243"/>
      <c r="B1596" s="241"/>
      <c r="C1596" s="66"/>
      <c r="D1596" s="15"/>
      <c r="E1596" s="15"/>
      <c r="F1596" s="242"/>
      <c r="G1596" s="242"/>
      <c r="H1596" s="242"/>
      <c r="I1596" s="242"/>
      <c r="J1596" s="242"/>
      <c r="K1596" s="242"/>
      <c r="L1596" s="242"/>
      <c r="M1596" s="242"/>
      <c r="N1596" s="242"/>
      <c r="O1596" s="242"/>
      <c r="P1596" s="242"/>
      <c r="Q1596" s="242"/>
      <c r="R1596" s="226"/>
      <c r="S1596" s="30">
        <f t="shared" si="9"/>
        <v>0</v>
      </c>
      <c r="T1596" s="243"/>
      <c r="U1596" s="242"/>
      <c r="V1596" s="242"/>
      <c r="W1596" s="242"/>
      <c r="X1596" s="242"/>
      <c r="Y1596" s="241"/>
      <c r="Z1596" s="242"/>
      <c r="AA1596" s="135"/>
      <c r="AB1596" s="241"/>
      <c r="AC1596" s="242"/>
      <c r="AD1596" s="242"/>
      <c r="AE1596" s="242"/>
      <c r="AF1596" s="242"/>
      <c r="AG1596" s="242"/>
      <c r="AH1596" s="242"/>
      <c r="AI1596" s="242"/>
      <c r="AJ1596" s="242"/>
      <c r="AK1596" s="242"/>
      <c r="AL1596" s="242"/>
      <c r="AM1596" s="242"/>
      <c r="AN1596" s="242"/>
      <c r="AO1596" s="242"/>
      <c r="AP1596" s="242"/>
      <c r="AQ1596" s="242"/>
      <c r="AR1596" s="242"/>
      <c r="AS1596" s="242"/>
      <c r="AT1596" s="242"/>
    </row>
    <row r="1597" spans="1:46" ht="45" customHeight="1">
      <c r="A1597" s="243"/>
      <c r="B1597" s="241"/>
      <c r="C1597" s="66"/>
      <c r="D1597" s="15"/>
      <c r="E1597" s="15"/>
      <c r="F1597" s="242"/>
      <c r="G1597" s="242"/>
      <c r="H1597" s="242"/>
      <c r="I1597" s="242"/>
      <c r="J1597" s="242"/>
      <c r="K1597" s="242"/>
      <c r="L1597" s="242"/>
      <c r="M1597" s="242"/>
      <c r="N1597" s="242"/>
      <c r="O1597" s="242"/>
      <c r="P1597" s="242"/>
      <c r="Q1597" s="242"/>
      <c r="R1597" s="226"/>
      <c r="S1597" s="30">
        <f t="shared" si="9"/>
        <v>0</v>
      </c>
      <c r="T1597" s="243"/>
      <c r="U1597" s="242"/>
      <c r="V1597" s="242"/>
      <c r="W1597" s="242"/>
      <c r="X1597" s="242"/>
      <c r="Y1597" s="241"/>
      <c r="Z1597" s="242"/>
      <c r="AA1597" s="135"/>
      <c r="AB1597" s="241"/>
      <c r="AC1597" s="242"/>
      <c r="AD1597" s="242"/>
      <c r="AE1597" s="242"/>
      <c r="AF1597" s="242"/>
      <c r="AG1597" s="242"/>
      <c r="AH1597" s="242"/>
      <c r="AI1597" s="242"/>
      <c r="AJ1597" s="242"/>
      <c r="AK1597" s="242"/>
      <c r="AL1597" s="242"/>
      <c r="AM1597" s="242"/>
      <c r="AN1597" s="242"/>
      <c r="AO1597" s="242"/>
      <c r="AP1597" s="242"/>
      <c r="AQ1597" s="242"/>
      <c r="AR1597" s="242"/>
      <c r="AS1597" s="242"/>
      <c r="AT1597" s="242"/>
    </row>
    <row r="1598" spans="1:46" ht="45" customHeight="1">
      <c r="A1598" s="243"/>
      <c r="B1598" s="241"/>
      <c r="C1598" s="66"/>
      <c r="D1598" s="15"/>
      <c r="E1598" s="15"/>
      <c r="F1598" s="242"/>
      <c r="G1598" s="242"/>
      <c r="H1598" s="242"/>
      <c r="I1598" s="242"/>
      <c r="J1598" s="242"/>
      <c r="K1598" s="242"/>
      <c r="L1598" s="242"/>
      <c r="M1598" s="242"/>
      <c r="N1598" s="242"/>
      <c r="O1598" s="242"/>
      <c r="P1598" s="242"/>
      <c r="Q1598" s="242"/>
      <c r="R1598" s="226"/>
      <c r="S1598" s="30">
        <f t="shared" si="9"/>
        <v>0</v>
      </c>
      <c r="T1598" s="243"/>
      <c r="U1598" s="242"/>
      <c r="V1598" s="242"/>
      <c r="W1598" s="242"/>
      <c r="X1598" s="242"/>
      <c r="Y1598" s="241"/>
      <c r="Z1598" s="242"/>
      <c r="AA1598" s="135"/>
      <c r="AB1598" s="241"/>
      <c r="AC1598" s="242"/>
      <c r="AD1598" s="242"/>
      <c r="AE1598" s="242"/>
      <c r="AF1598" s="242"/>
      <c r="AG1598" s="242"/>
      <c r="AH1598" s="242"/>
      <c r="AI1598" s="242"/>
      <c r="AJ1598" s="242"/>
      <c r="AK1598" s="242"/>
      <c r="AL1598" s="242"/>
      <c r="AM1598" s="242"/>
      <c r="AN1598" s="242"/>
      <c r="AO1598" s="242"/>
      <c r="AP1598" s="242"/>
      <c r="AQ1598" s="242"/>
      <c r="AR1598" s="242"/>
      <c r="AS1598" s="242"/>
      <c r="AT1598" s="242"/>
    </row>
    <row r="1599" spans="1:46" ht="45" customHeight="1">
      <c r="A1599" s="243"/>
      <c r="B1599" s="241"/>
      <c r="C1599" s="66"/>
      <c r="D1599" s="15"/>
      <c r="E1599" s="15"/>
      <c r="F1599" s="242"/>
      <c r="G1599" s="242"/>
      <c r="H1599" s="242"/>
      <c r="I1599" s="242"/>
      <c r="J1599" s="242"/>
      <c r="K1599" s="242"/>
      <c r="L1599" s="242"/>
      <c r="M1599" s="242"/>
      <c r="N1599" s="242"/>
      <c r="O1599" s="242"/>
      <c r="P1599" s="242"/>
      <c r="Q1599" s="242"/>
      <c r="R1599" s="226"/>
      <c r="S1599" s="30">
        <f t="shared" si="9"/>
        <v>0</v>
      </c>
      <c r="T1599" s="243"/>
      <c r="U1599" s="242"/>
      <c r="V1599" s="242"/>
      <c r="W1599" s="242"/>
      <c r="X1599" s="242"/>
      <c r="Y1599" s="241"/>
      <c r="Z1599" s="242"/>
      <c r="AA1599" s="135"/>
      <c r="AB1599" s="241"/>
      <c r="AC1599" s="242"/>
      <c r="AD1599" s="242"/>
      <c r="AE1599" s="242"/>
      <c r="AF1599" s="242"/>
      <c r="AG1599" s="242"/>
      <c r="AH1599" s="242"/>
      <c r="AI1599" s="242"/>
      <c r="AJ1599" s="242"/>
      <c r="AK1599" s="242"/>
      <c r="AL1599" s="242"/>
      <c r="AM1599" s="242"/>
      <c r="AN1599" s="242"/>
      <c r="AO1599" s="242"/>
      <c r="AP1599" s="242"/>
      <c r="AQ1599" s="242"/>
      <c r="AR1599" s="242"/>
      <c r="AS1599" s="242"/>
      <c r="AT1599" s="242"/>
    </row>
    <row r="1600" spans="1:46" ht="45" customHeight="1">
      <c r="A1600" s="243"/>
      <c r="B1600" s="241"/>
      <c r="C1600" s="66"/>
      <c r="D1600" s="15"/>
      <c r="E1600" s="15"/>
      <c r="F1600" s="242"/>
      <c r="G1600" s="242"/>
      <c r="H1600" s="242"/>
      <c r="I1600" s="242"/>
      <c r="J1600" s="242"/>
      <c r="K1600" s="242"/>
      <c r="L1600" s="242"/>
      <c r="M1600" s="242"/>
      <c r="N1600" s="242"/>
      <c r="O1600" s="242"/>
      <c r="P1600" s="242"/>
      <c r="Q1600" s="242"/>
      <c r="R1600" s="226"/>
      <c r="S1600" s="30">
        <f t="shared" si="9"/>
        <v>0</v>
      </c>
      <c r="T1600" s="243"/>
      <c r="U1600" s="242"/>
      <c r="V1600" s="242"/>
      <c r="W1600" s="242"/>
      <c r="X1600" s="242"/>
      <c r="Y1600" s="241"/>
      <c r="Z1600" s="242"/>
      <c r="AA1600" s="135"/>
      <c r="AB1600" s="241"/>
      <c r="AC1600" s="242"/>
      <c r="AD1600" s="242"/>
      <c r="AE1600" s="242"/>
      <c r="AF1600" s="242"/>
      <c r="AG1600" s="242"/>
      <c r="AH1600" s="242"/>
      <c r="AI1600" s="242"/>
      <c r="AJ1600" s="242"/>
      <c r="AK1600" s="242"/>
      <c r="AL1600" s="242"/>
      <c r="AM1600" s="242"/>
      <c r="AN1600" s="242"/>
      <c r="AO1600" s="242"/>
      <c r="AP1600" s="242"/>
      <c r="AQ1600" s="242"/>
      <c r="AR1600" s="242"/>
      <c r="AS1600" s="242"/>
      <c r="AT1600" s="242"/>
    </row>
    <row r="1601" spans="1:46" ht="45" customHeight="1">
      <c r="A1601" s="243"/>
      <c r="B1601" s="241"/>
      <c r="C1601" s="66"/>
      <c r="D1601" s="15"/>
      <c r="E1601" s="15"/>
      <c r="F1601" s="242"/>
      <c r="G1601" s="242"/>
      <c r="H1601" s="242"/>
      <c r="I1601" s="242"/>
      <c r="J1601" s="242"/>
      <c r="K1601" s="242"/>
      <c r="L1601" s="242"/>
      <c r="M1601" s="242"/>
      <c r="N1601" s="242"/>
      <c r="O1601" s="242"/>
      <c r="P1601" s="242"/>
      <c r="Q1601" s="242"/>
      <c r="R1601" s="226"/>
      <c r="S1601" s="30">
        <f t="shared" si="9"/>
        <v>0</v>
      </c>
      <c r="T1601" s="243"/>
      <c r="U1601" s="242"/>
      <c r="V1601" s="242"/>
      <c r="W1601" s="242"/>
      <c r="X1601" s="242"/>
      <c r="Y1601" s="241"/>
      <c r="Z1601" s="242"/>
      <c r="AA1601" s="135"/>
      <c r="AB1601" s="241"/>
      <c r="AC1601" s="242"/>
      <c r="AD1601" s="242"/>
      <c r="AE1601" s="242"/>
      <c r="AF1601" s="242"/>
      <c r="AG1601" s="242"/>
      <c r="AH1601" s="242"/>
      <c r="AI1601" s="242"/>
      <c r="AJ1601" s="242"/>
      <c r="AK1601" s="242"/>
      <c r="AL1601" s="242"/>
      <c r="AM1601" s="242"/>
      <c r="AN1601" s="242"/>
      <c r="AO1601" s="242"/>
      <c r="AP1601" s="242"/>
      <c r="AQ1601" s="242"/>
      <c r="AR1601" s="242"/>
      <c r="AS1601" s="242"/>
      <c r="AT1601" s="242"/>
    </row>
    <row r="1602" spans="1:46" ht="45" customHeight="1">
      <c r="A1602" s="243"/>
      <c r="B1602" s="241"/>
      <c r="C1602" s="66"/>
      <c r="D1602" s="15"/>
      <c r="E1602" s="15"/>
      <c r="F1602" s="242"/>
      <c r="G1602" s="242"/>
      <c r="H1602" s="242"/>
      <c r="I1602" s="242"/>
      <c r="J1602" s="242"/>
      <c r="K1602" s="242"/>
      <c r="L1602" s="242"/>
      <c r="M1602" s="242"/>
      <c r="N1602" s="242"/>
      <c r="O1602" s="242"/>
      <c r="P1602" s="242"/>
      <c r="Q1602" s="242"/>
      <c r="R1602" s="226"/>
      <c r="S1602" s="30">
        <f t="shared" si="9"/>
        <v>0</v>
      </c>
      <c r="T1602" s="243"/>
      <c r="U1602" s="242"/>
      <c r="V1602" s="242"/>
      <c r="W1602" s="242"/>
      <c r="X1602" s="242"/>
      <c r="Y1602" s="241"/>
      <c r="Z1602" s="242"/>
      <c r="AA1602" s="135"/>
      <c r="AB1602" s="241"/>
      <c r="AC1602" s="242"/>
      <c r="AD1602" s="242"/>
      <c r="AE1602" s="242"/>
      <c r="AF1602" s="242"/>
      <c r="AG1602" s="242"/>
      <c r="AH1602" s="242"/>
      <c r="AI1602" s="242"/>
      <c r="AJ1602" s="242"/>
      <c r="AK1602" s="242"/>
      <c r="AL1602" s="242"/>
      <c r="AM1602" s="242"/>
      <c r="AN1602" s="242"/>
      <c r="AO1602" s="242"/>
      <c r="AP1602" s="242"/>
      <c r="AQ1602" s="242"/>
      <c r="AR1602" s="242"/>
      <c r="AS1602" s="242"/>
      <c r="AT1602" s="242"/>
    </row>
    <row r="1603" spans="1:46" ht="45" customHeight="1">
      <c r="A1603" s="243"/>
      <c r="B1603" s="241"/>
      <c r="C1603" s="66"/>
      <c r="D1603" s="15"/>
      <c r="E1603" s="15"/>
      <c r="F1603" s="242"/>
      <c r="G1603" s="242"/>
      <c r="H1603" s="242"/>
      <c r="I1603" s="242"/>
      <c r="J1603" s="242"/>
      <c r="K1603" s="242"/>
      <c r="L1603" s="242"/>
      <c r="M1603" s="242"/>
      <c r="N1603" s="242"/>
      <c r="O1603" s="242"/>
      <c r="P1603" s="242"/>
      <c r="Q1603" s="242"/>
      <c r="R1603" s="226"/>
      <c r="S1603" s="30">
        <f t="shared" si="9"/>
        <v>0</v>
      </c>
      <c r="T1603" s="243"/>
      <c r="U1603" s="242"/>
      <c r="V1603" s="242"/>
      <c r="W1603" s="242"/>
      <c r="X1603" s="242"/>
      <c r="Y1603" s="241"/>
      <c r="Z1603" s="242"/>
      <c r="AA1603" s="135"/>
      <c r="AB1603" s="241"/>
      <c r="AC1603" s="242"/>
      <c r="AD1603" s="242"/>
      <c r="AE1603" s="242"/>
      <c r="AF1603" s="242"/>
      <c r="AG1603" s="242"/>
      <c r="AH1603" s="242"/>
      <c r="AI1603" s="242"/>
      <c r="AJ1603" s="242"/>
      <c r="AK1603" s="242"/>
      <c r="AL1603" s="242"/>
      <c r="AM1603" s="242"/>
      <c r="AN1603" s="242"/>
      <c r="AO1603" s="242"/>
      <c r="AP1603" s="242"/>
      <c r="AQ1603" s="242"/>
      <c r="AR1603" s="242"/>
      <c r="AS1603" s="242"/>
      <c r="AT1603" s="242"/>
    </row>
    <row r="1604" spans="1:46" ht="45" customHeight="1">
      <c r="A1604" s="243"/>
      <c r="B1604" s="241"/>
      <c r="C1604" s="66"/>
      <c r="D1604" s="15"/>
      <c r="E1604" s="15"/>
      <c r="F1604" s="242"/>
      <c r="G1604" s="242"/>
      <c r="H1604" s="242"/>
      <c r="I1604" s="242"/>
      <c r="J1604" s="242"/>
      <c r="K1604" s="242"/>
      <c r="L1604" s="242"/>
      <c r="M1604" s="242"/>
      <c r="N1604" s="242"/>
      <c r="O1604" s="242"/>
      <c r="P1604" s="242"/>
      <c r="Q1604" s="242"/>
      <c r="R1604" s="226"/>
      <c r="S1604" s="30">
        <f t="shared" si="9"/>
        <v>0</v>
      </c>
      <c r="T1604" s="243"/>
      <c r="U1604" s="242"/>
      <c r="V1604" s="242"/>
      <c r="W1604" s="242"/>
      <c r="X1604" s="242"/>
      <c r="Y1604" s="241"/>
      <c r="Z1604" s="242"/>
      <c r="AA1604" s="135"/>
      <c r="AB1604" s="241"/>
      <c r="AC1604" s="242"/>
      <c r="AD1604" s="242"/>
      <c r="AE1604" s="242"/>
      <c r="AF1604" s="242"/>
      <c r="AG1604" s="242"/>
      <c r="AH1604" s="242"/>
      <c r="AI1604" s="242"/>
      <c r="AJ1604" s="242"/>
      <c r="AK1604" s="242"/>
      <c r="AL1604" s="242"/>
      <c r="AM1604" s="242"/>
      <c r="AN1604" s="242"/>
      <c r="AO1604" s="242"/>
      <c r="AP1604" s="242"/>
      <c r="AQ1604" s="242"/>
      <c r="AR1604" s="242"/>
      <c r="AS1604" s="242"/>
      <c r="AT1604" s="242"/>
    </row>
    <row r="1605" spans="1:46" ht="45" customHeight="1">
      <c r="A1605" s="243"/>
      <c r="B1605" s="241"/>
      <c r="C1605" s="66"/>
      <c r="D1605" s="15"/>
      <c r="E1605" s="15"/>
      <c r="F1605" s="242"/>
      <c r="G1605" s="242"/>
      <c r="H1605" s="242"/>
      <c r="I1605" s="242"/>
      <c r="J1605" s="242"/>
      <c r="K1605" s="242"/>
      <c r="L1605" s="242"/>
      <c r="M1605" s="242"/>
      <c r="N1605" s="242"/>
      <c r="O1605" s="242"/>
      <c r="P1605" s="242"/>
      <c r="Q1605" s="242"/>
      <c r="R1605" s="226"/>
      <c r="S1605" s="30">
        <f t="shared" si="9"/>
        <v>0</v>
      </c>
      <c r="T1605" s="243"/>
      <c r="U1605" s="242"/>
      <c r="V1605" s="242"/>
      <c r="W1605" s="242"/>
      <c r="X1605" s="242"/>
      <c r="Y1605" s="241"/>
      <c r="Z1605" s="242"/>
      <c r="AA1605" s="135"/>
      <c r="AB1605" s="241"/>
      <c r="AC1605" s="242"/>
      <c r="AD1605" s="242"/>
      <c r="AE1605" s="242"/>
      <c r="AF1605" s="242"/>
      <c r="AG1605" s="242"/>
      <c r="AH1605" s="242"/>
      <c r="AI1605" s="242"/>
      <c r="AJ1605" s="242"/>
      <c r="AK1605" s="242"/>
      <c r="AL1605" s="242"/>
      <c r="AM1605" s="242"/>
      <c r="AN1605" s="242"/>
      <c r="AO1605" s="242"/>
      <c r="AP1605" s="242"/>
      <c r="AQ1605" s="242"/>
      <c r="AR1605" s="242"/>
      <c r="AS1605" s="242"/>
      <c r="AT1605" s="242"/>
    </row>
    <row r="1606" spans="1:46" ht="45" customHeight="1">
      <c r="A1606" s="243"/>
      <c r="B1606" s="241"/>
      <c r="C1606" s="66"/>
      <c r="D1606" s="15"/>
      <c r="E1606" s="15"/>
      <c r="F1606" s="242"/>
      <c r="G1606" s="242"/>
      <c r="H1606" s="242"/>
      <c r="I1606" s="242"/>
      <c r="J1606" s="242"/>
      <c r="K1606" s="242"/>
      <c r="L1606" s="242"/>
      <c r="M1606" s="242"/>
      <c r="N1606" s="242"/>
      <c r="O1606" s="242"/>
      <c r="P1606" s="242"/>
      <c r="Q1606" s="242"/>
      <c r="R1606" s="226"/>
      <c r="S1606" s="30">
        <f t="shared" si="9"/>
        <v>0</v>
      </c>
      <c r="T1606" s="243"/>
      <c r="U1606" s="242"/>
      <c r="V1606" s="242"/>
      <c r="W1606" s="242"/>
      <c r="X1606" s="242"/>
      <c r="Y1606" s="241"/>
      <c r="Z1606" s="242"/>
      <c r="AA1606" s="135"/>
      <c r="AB1606" s="241"/>
      <c r="AC1606" s="242"/>
      <c r="AD1606" s="242"/>
      <c r="AE1606" s="242"/>
      <c r="AF1606" s="242"/>
      <c r="AG1606" s="242"/>
      <c r="AH1606" s="242"/>
      <c r="AI1606" s="242"/>
      <c r="AJ1606" s="242"/>
      <c r="AK1606" s="242"/>
      <c r="AL1606" s="242"/>
      <c r="AM1606" s="242"/>
      <c r="AN1606" s="242"/>
      <c r="AO1606" s="242"/>
      <c r="AP1606" s="242"/>
      <c r="AQ1606" s="242"/>
      <c r="AR1606" s="242"/>
      <c r="AS1606" s="242"/>
      <c r="AT1606" s="242"/>
    </row>
    <row r="1607" spans="1:46" ht="45" customHeight="1">
      <c r="A1607" s="243"/>
      <c r="B1607" s="241"/>
      <c r="C1607" s="66"/>
      <c r="D1607" s="15"/>
      <c r="E1607" s="15"/>
      <c r="F1607" s="242"/>
      <c r="G1607" s="242"/>
      <c r="H1607" s="242"/>
      <c r="I1607" s="242"/>
      <c r="J1607" s="242"/>
      <c r="K1607" s="242"/>
      <c r="L1607" s="242"/>
      <c r="M1607" s="242"/>
      <c r="N1607" s="242"/>
      <c r="O1607" s="242"/>
      <c r="P1607" s="242"/>
      <c r="Q1607" s="242"/>
      <c r="R1607" s="226"/>
      <c r="S1607" s="30">
        <f t="shared" si="9"/>
        <v>0</v>
      </c>
      <c r="T1607" s="243"/>
      <c r="U1607" s="242"/>
      <c r="V1607" s="242"/>
      <c r="W1607" s="242"/>
      <c r="X1607" s="242"/>
      <c r="Y1607" s="241"/>
      <c r="Z1607" s="242"/>
      <c r="AA1607" s="135"/>
      <c r="AB1607" s="241"/>
      <c r="AC1607" s="242"/>
      <c r="AD1607" s="242"/>
      <c r="AE1607" s="242"/>
      <c r="AF1607" s="242"/>
      <c r="AG1607" s="242"/>
      <c r="AH1607" s="242"/>
      <c r="AI1607" s="242"/>
      <c r="AJ1607" s="242"/>
      <c r="AK1607" s="242"/>
      <c r="AL1607" s="242"/>
      <c r="AM1607" s="242"/>
      <c r="AN1607" s="242"/>
      <c r="AO1607" s="242"/>
      <c r="AP1607" s="242"/>
      <c r="AQ1607" s="242"/>
      <c r="AR1607" s="242"/>
      <c r="AS1607" s="242"/>
      <c r="AT1607" s="242"/>
    </row>
    <row r="1608" spans="1:46" ht="45" customHeight="1">
      <c r="A1608" s="243"/>
      <c r="B1608" s="241"/>
      <c r="C1608" s="66"/>
      <c r="D1608" s="15"/>
      <c r="E1608" s="15"/>
      <c r="F1608" s="242"/>
      <c r="G1608" s="242"/>
      <c r="H1608" s="242"/>
      <c r="I1608" s="242"/>
      <c r="J1608" s="242"/>
      <c r="K1608" s="242"/>
      <c r="L1608" s="242"/>
      <c r="M1608" s="242"/>
      <c r="N1608" s="242"/>
      <c r="O1608" s="242"/>
      <c r="P1608" s="242"/>
      <c r="Q1608" s="242"/>
      <c r="R1608" s="226"/>
      <c r="S1608" s="30">
        <f t="shared" si="9"/>
        <v>0</v>
      </c>
      <c r="T1608" s="243"/>
      <c r="U1608" s="242"/>
      <c r="V1608" s="242"/>
      <c r="W1608" s="242"/>
      <c r="X1608" s="242"/>
      <c r="Y1608" s="241"/>
      <c r="Z1608" s="242"/>
      <c r="AA1608" s="135"/>
      <c r="AB1608" s="241"/>
      <c r="AC1608" s="242"/>
      <c r="AD1608" s="242"/>
      <c r="AE1608" s="242"/>
      <c r="AF1608" s="242"/>
      <c r="AG1608" s="242"/>
      <c r="AH1608" s="242"/>
      <c r="AI1608" s="242"/>
      <c r="AJ1608" s="242"/>
      <c r="AK1608" s="242"/>
      <c r="AL1608" s="242"/>
      <c r="AM1608" s="242"/>
      <c r="AN1608" s="242"/>
      <c r="AO1608" s="242"/>
      <c r="AP1608" s="242"/>
      <c r="AQ1608" s="242"/>
      <c r="AR1608" s="242"/>
      <c r="AS1608" s="242"/>
      <c r="AT1608" s="242"/>
    </row>
    <row r="1609" spans="1:46" ht="45" customHeight="1">
      <c r="A1609" s="243"/>
      <c r="B1609" s="241"/>
      <c r="C1609" s="66"/>
      <c r="D1609" s="15"/>
      <c r="E1609" s="15"/>
      <c r="F1609" s="242"/>
      <c r="G1609" s="242"/>
      <c r="H1609" s="242"/>
      <c r="I1609" s="242"/>
      <c r="J1609" s="242"/>
      <c r="K1609" s="242"/>
      <c r="L1609" s="242"/>
      <c r="M1609" s="242"/>
      <c r="N1609" s="242"/>
      <c r="O1609" s="242"/>
      <c r="P1609" s="242"/>
      <c r="Q1609" s="242"/>
      <c r="R1609" s="226"/>
      <c r="S1609" s="30">
        <f t="shared" si="9"/>
        <v>0</v>
      </c>
      <c r="T1609" s="243"/>
      <c r="U1609" s="242"/>
      <c r="V1609" s="242"/>
      <c r="W1609" s="242"/>
      <c r="X1609" s="242"/>
      <c r="Y1609" s="241"/>
      <c r="Z1609" s="242"/>
      <c r="AA1609" s="135"/>
      <c r="AB1609" s="241"/>
      <c r="AC1609" s="242"/>
      <c r="AD1609" s="242"/>
      <c r="AE1609" s="242"/>
      <c r="AF1609" s="242"/>
      <c r="AG1609" s="242"/>
      <c r="AH1609" s="242"/>
      <c r="AI1609" s="242"/>
      <c r="AJ1609" s="242"/>
      <c r="AK1609" s="242"/>
      <c r="AL1609" s="242"/>
      <c r="AM1609" s="242"/>
      <c r="AN1609" s="242"/>
      <c r="AO1609" s="242"/>
      <c r="AP1609" s="242"/>
      <c r="AQ1609" s="242"/>
      <c r="AR1609" s="242"/>
      <c r="AS1609" s="242"/>
      <c r="AT1609" s="242"/>
    </row>
    <row r="1610" spans="1:46" ht="45" customHeight="1">
      <c r="A1610" s="243"/>
      <c r="B1610" s="241"/>
      <c r="C1610" s="66"/>
      <c r="D1610" s="15"/>
      <c r="E1610" s="15"/>
      <c r="F1610" s="242"/>
      <c r="G1610" s="242"/>
      <c r="H1610" s="242"/>
      <c r="I1610" s="242"/>
      <c r="J1610" s="242"/>
      <c r="K1610" s="242"/>
      <c r="L1610" s="242"/>
      <c r="M1610" s="242"/>
      <c r="N1610" s="242"/>
      <c r="O1610" s="242"/>
      <c r="P1610" s="242"/>
      <c r="Q1610" s="242"/>
      <c r="R1610" s="226"/>
      <c r="S1610" s="30">
        <f t="shared" si="9"/>
        <v>0</v>
      </c>
      <c r="T1610" s="243"/>
      <c r="U1610" s="242"/>
      <c r="V1610" s="242"/>
      <c r="W1610" s="242"/>
      <c r="X1610" s="242"/>
      <c r="Y1610" s="241"/>
      <c r="Z1610" s="242"/>
      <c r="AA1610" s="135"/>
      <c r="AB1610" s="241"/>
      <c r="AC1610" s="242"/>
      <c r="AD1610" s="242"/>
      <c r="AE1610" s="242"/>
      <c r="AF1610" s="242"/>
      <c r="AG1610" s="242"/>
      <c r="AH1610" s="242"/>
      <c r="AI1610" s="242"/>
      <c r="AJ1610" s="242"/>
      <c r="AK1610" s="242"/>
      <c r="AL1610" s="242"/>
      <c r="AM1610" s="242"/>
      <c r="AN1610" s="242"/>
      <c r="AO1610" s="242"/>
      <c r="AP1610" s="242"/>
      <c r="AQ1610" s="242"/>
      <c r="AR1610" s="242"/>
      <c r="AS1610" s="242"/>
      <c r="AT1610" s="242"/>
    </row>
    <row r="1611" spans="1:46" ht="45" customHeight="1">
      <c r="A1611" s="243"/>
      <c r="B1611" s="241"/>
      <c r="C1611" s="66"/>
      <c r="D1611" s="15"/>
      <c r="E1611" s="15"/>
      <c r="F1611" s="242"/>
      <c r="G1611" s="242"/>
      <c r="H1611" s="242"/>
      <c r="I1611" s="242"/>
      <c r="J1611" s="242"/>
      <c r="K1611" s="242"/>
      <c r="L1611" s="242"/>
      <c r="M1611" s="242"/>
      <c r="N1611" s="242"/>
      <c r="O1611" s="242"/>
      <c r="P1611" s="242"/>
      <c r="Q1611" s="242"/>
      <c r="R1611" s="226"/>
      <c r="S1611" s="30">
        <f t="shared" si="9"/>
        <v>0</v>
      </c>
      <c r="T1611" s="243"/>
      <c r="U1611" s="242"/>
      <c r="V1611" s="242"/>
      <c r="W1611" s="242"/>
      <c r="X1611" s="242"/>
      <c r="Y1611" s="241"/>
      <c r="Z1611" s="242"/>
      <c r="AA1611" s="135"/>
      <c r="AB1611" s="241"/>
      <c r="AC1611" s="242"/>
      <c r="AD1611" s="242"/>
      <c r="AE1611" s="242"/>
      <c r="AF1611" s="242"/>
      <c r="AG1611" s="242"/>
      <c r="AH1611" s="242"/>
      <c r="AI1611" s="242"/>
      <c r="AJ1611" s="242"/>
      <c r="AK1611" s="242"/>
      <c r="AL1611" s="242"/>
      <c r="AM1611" s="242"/>
      <c r="AN1611" s="242"/>
      <c r="AO1611" s="242"/>
      <c r="AP1611" s="242"/>
      <c r="AQ1611" s="242"/>
      <c r="AR1611" s="242"/>
      <c r="AS1611" s="242"/>
      <c r="AT1611" s="242"/>
    </row>
    <row r="1612" spans="1:46" ht="45" customHeight="1">
      <c r="A1612" s="243"/>
      <c r="B1612" s="241"/>
      <c r="C1612" s="66"/>
      <c r="D1612" s="15"/>
      <c r="E1612" s="15"/>
      <c r="F1612" s="242"/>
      <c r="G1612" s="242"/>
      <c r="H1612" s="242"/>
      <c r="I1612" s="242"/>
      <c r="J1612" s="242"/>
      <c r="K1612" s="242"/>
      <c r="L1612" s="242"/>
      <c r="M1612" s="242"/>
      <c r="N1612" s="242"/>
      <c r="O1612" s="242"/>
      <c r="P1612" s="242"/>
      <c r="Q1612" s="242"/>
      <c r="R1612" s="226"/>
      <c r="S1612" s="30">
        <f t="shared" si="9"/>
        <v>0</v>
      </c>
      <c r="T1612" s="243"/>
      <c r="U1612" s="242"/>
      <c r="V1612" s="242"/>
      <c r="W1612" s="242"/>
      <c r="X1612" s="242"/>
      <c r="Y1612" s="241"/>
      <c r="Z1612" s="242"/>
      <c r="AA1612" s="135"/>
      <c r="AB1612" s="241"/>
      <c r="AC1612" s="242"/>
      <c r="AD1612" s="242"/>
      <c r="AE1612" s="242"/>
      <c r="AF1612" s="242"/>
      <c r="AG1612" s="242"/>
      <c r="AH1612" s="242"/>
      <c r="AI1612" s="242"/>
      <c r="AJ1612" s="242"/>
      <c r="AK1612" s="242"/>
      <c r="AL1612" s="242"/>
      <c r="AM1612" s="242"/>
      <c r="AN1612" s="242"/>
      <c r="AO1612" s="242"/>
      <c r="AP1612" s="242"/>
      <c r="AQ1612" s="242"/>
      <c r="AR1612" s="242"/>
      <c r="AS1612" s="242"/>
      <c r="AT1612" s="242"/>
    </row>
    <row r="1613" spans="1:46" ht="45" customHeight="1">
      <c r="A1613" s="243"/>
      <c r="B1613" s="241"/>
      <c r="C1613" s="66"/>
      <c r="D1613" s="15"/>
      <c r="E1613" s="15"/>
      <c r="F1613" s="242"/>
      <c r="G1613" s="242"/>
      <c r="H1613" s="242"/>
      <c r="I1613" s="242"/>
      <c r="J1613" s="242"/>
      <c r="K1613" s="242"/>
      <c r="L1613" s="242"/>
      <c r="M1613" s="242"/>
      <c r="N1613" s="242"/>
      <c r="O1613" s="242"/>
      <c r="P1613" s="242"/>
      <c r="Q1613" s="242"/>
      <c r="R1613" s="226"/>
      <c r="S1613" s="30">
        <f t="shared" si="9"/>
        <v>0</v>
      </c>
      <c r="T1613" s="243"/>
      <c r="U1613" s="242"/>
      <c r="V1613" s="242"/>
      <c r="W1613" s="242"/>
      <c r="X1613" s="242"/>
      <c r="Y1613" s="241"/>
      <c r="Z1613" s="242"/>
      <c r="AA1613" s="135"/>
      <c r="AB1613" s="241"/>
      <c r="AC1613" s="242"/>
      <c r="AD1613" s="242"/>
      <c r="AE1613" s="242"/>
      <c r="AF1613" s="242"/>
      <c r="AG1613" s="242"/>
      <c r="AH1613" s="242"/>
      <c r="AI1613" s="242"/>
      <c r="AJ1613" s="242"/>
      <c r="AK1613" s="242"/>
      <c r="AL1613" s="242"/>
      <c r="AM1613" s="242"/>
      <c r="AN1613" s="242"/>
      <c r="AO1613" s="242"/>
      <c r="AP1613" s="242"/>
      <c r="AQ1613" s="242"/>
      <c r="AR1613" s="242"/>
      <c r="AS1613" s="242"/>
      <c r="AT1613" s="242"/>
    </row>
    <row r="1614" spans="1:46" ht="45" customHeight="1">
      <c r="A1614" s="243"/>
      <c r="B1614" s="241"/>
      <c r="C1614" s="66"/>
      <c r="D1614" s="15"/>
      <c r="E1614" s="15"/>
      <c r="F1614" s="242"/>
      <c r="G1614" s="242"/>
      <c r="H1614" s="242"/>
      <c r="I1614" s="242"/>
      <c r="J1614" s="242"/>
      <c r="K1614" s="242"/>
      <c r="L1614" s="242"/>
      <c r="M1614" s="242"/>
      <c r="N1614" s="242"/>
      <c r="O1614" s="242"/>
      <c r="P1614" s="242"/>
      <c r="Q1614" s="242"/>
      <c r="R1614" s="226"/>
      <c r="S1614" s="30">
        <f t="shared" si="9"/>
        <v>0</v>
      </c>
      <c r="T1614" s="243"/>
      <c r="U1614" s="242"/>
      <c r="V1614" s="242"/>
      <c r="W1614" s="242"/>
      <c r="X1614" s="242"/>
      <c r="Y1614" s="241"/>
      <c r="Z1614" s="242"/>
      <c r="AA1614" s="135"/>
      <c r="AB1614" s="241"/>
      <c r="AC1614" s="242"/>
      <c r="AD1614" s="242"/>
      <c r="AE1614" s="242"/>
      <c r="AF1614" s="242"/>
      <c r="AG1614" s="242"/>
      <c r="AH1614" s="242"/>
      <c r="AI1614" s="242"/>
      <c r="AJ1614" s="242"/>
      <c r="AK1614" s="242"/>
      <c r="AL1614" s="242"/>
      <c r="AM1614" s="242"/>
      <c r="AN1614" s="242"/>
      <c r="AO1614" s="242"/>
      <c r="AP1614" s="242"/>
      <c r="AQ1614" s="242"/>
      <c r="AR1614" s="242"/>
      <c r="AS1614" s="242"/>
      <c r="AT1614" s="242"/>
    </row>
    <row r="1615" spans="1:46" ht="45" customHeight="1">
      <c r="A1615" s="243"/>
      <c r="B1615" s="241"/>
      <c r="C1615" s="66"/>
      <c r="D1615" s="15"/>
      <c r="E1615" s="15"/>
      <c r="F1615" s="242"/>
      <c r="G1615" s="242"/>
      <c r="H1615" s="242"/>
      <c r="I1615" s="242"/>
      <c r="J1615" s="242"/>
      <c r="K1615" s="242"/>
      <c r="L1615" s="242"/>
      <c r="M1615" s="242"/>
      <c r="N1615" s="242"/>
      <c r="O1615" s="242"/>
      <c r="P1615" s="242"/>
      <c r="Q1615" s="242"/>
      <c r="R1615" s="226"/>
      <c r="S1615" s="30">
        <f t="shared" si="9"/>
        <v>0</v>
      </c>
      <c r="T1615" s="243"/>
      <c r="U1615" s="242"/>
      <c r="V1615" s="242"/>
      <c r="W1615" s="242"/>
      <c r="X1615" s="242"/>
      <c r="Y1615" s="241"/>
      <c r="Z1615" s="242"/>
      <c r="AA1615" s="135"/>
      <c r="AB1615" s="241"/>
      <c r="AC1615" s="242"/>
      <c r="AD1615" s="242"/>
      <c r="AE1615" s="242"/>
      <c r="AF1615" s="242"/>
      <c r="AG1615" s="242"/>
      <c r="AH1615" s="242"/>
      <c r="AI1615" s="242"/>
      <c r="AJ1615" s="242"/>
      <c r="AK1615" s="242"/>
      <c r="AL1615" s="242"/>
      <c r="AM1615" s="242"/>
      <c r="AN1615" s="242"/>
      <c r="AO1615" s="242"/>
      <c r="AP1615" s="242"/>
      <c r="AQ1615" s="242"/>
      <c r="AR1615" s="242"/>
      <c r="AS1615" s="242"/>
      <c r="AT1615" s="242"/>
    </row>
    <row r="1616" spans="1:46" ht="45" customHeight="1">
      <c r="A1616" s="243"/>
      <c r="B1616" s="241"/>
      <c r="C1616" s="66"/>
      <c r="D1616" s="15"/>
      <c r="E1616" s="15"/>
      <c r="F1616" s="242"/>
      <c r="G1616" s="242"/>
      <c r="H1616" s="242"/>
      <c r="I1616" s="242"/>
      <c r="J1616" s="242"/>
      <c r="K1616" s="242"/>
      <c r="L1616" s="242"/>
      <c r="M1616" s="242"/>
      <c r="N1616" s="242"/>
      <c r="O1616" s="242"/>
      <c r="P1616" s="242"/>
      <c r="Q1616" s="242"/>
      <c r="R1616" s="226"/>
      <c r="S1616" s="30">
        <f t="shared" si="9"/>
        <v>0</v>
      </c>
      <c r="T1616" s="243"/>
      <c r="U1616" s="242"/>
      <c r="V1616" s="242"/>
      <c r="W1616" s="242"/>
      <c r="X1616" s="242"/>
      <c r="Y1616" s="241"/>
      <c r="Z1616" s="242"/>
      <c r="AA1616" s="135"/>
      <c r="AB1616" s="241"/>
      <c r="AC1616" s="242"/>
      <c r="AD1616" s="242"/>
      <c r="AE1616" s="242"/>
      <c r="AF1616" s="242"/>
      <c r="AG1616" s="242"/>
      <c r="AH1616" s="242"/>
      <c r="AI1616" s="242"/>
      <c r="AJ1616" s="242"/>
      <c r="AK1616" s="242"/>
      <c r="AL1616" s="242"/>
      <c r="AM1616" s="242"/>
      <c r="AN1616" s="242"/>
      <c r="AO1616" s="242"/>
      <c r="AP1616" s="242"/>
      <c r="AQ1616" s="242"/>
      <c r="AR1616" s="242"/>
      <c r="AS1616" s="242"/>
      <c r="AT1616" s="242"/>
    </row>
    <row r="1617" spans="1:46" ht="45" customHeight="1">
      <c r="A1617" s="243"/>
      <c r="B1617" s="241"/>
      <c r="C1617" s="66"/>
      <c r="D1617" s="15"/>
      <c r="E1617" s="15"/>
      <c r="F1617" s="242"/>
      <c r="G1617" s="242"/>
      <c r="H1617" s="242"/>
      <c r="I1617" s="242"/>
      <c r="J1617" s="242"/>
      <c r="K1617" s="242"/>
      <c r="L1617" s="242"/>
      <c r="M1617" s="242"/>
      <c r="N1617" s="242"/>
      <c r="O1617" s="242"/>
      <c r="P1617" s="242"/>
      <c r="Q1617" s="242"/>
      <c r="R1617" s="226"/>
      <c r="S1617" s="30">
        <f t="shared" si="9"/>
        <v>0</v>
      </c>
      <c r="T1617" s="243"/>
      <c r="U1617" s="242"/>
      <c r="V1617" s="242"/>
      <c r="W1617" s="242"/>
      <c r="X1617" s="242"/>
      <c r="Y1617" s="241"/>
      <c r="Z1617" s="242"/>
      <c r="AA1617" s="135"/>
      <c r="AB1617" s="241"/>
      <c r="AC1617" s="242"/>
      <c r="AD1617" s="242"/>
      <c r="AE1617" s="242"/>
      <c r="AF1617" s="242"/>
      <c r="AG1617" s="242"/>
      <c r="AH1617" s="242"/>
      <c r="AI1617" s="242"/>
      <c r="AJ1617" s="242"/>
      <c r="AK1617" s="242"/>
      <c r="AL1617" s="242"/>
      <c r="AM1617" s="242"/>
      <c r="AN1617" s="242"/>
      <c r="AO1617" s="242"/>
      <c r="AP1617" s="242"/>
      <c r="AQ1617" s="242"/>
      <c r="AR1617" s="242"/>
      <c r="AS1617" s="242"/>
      <c r="AT1617" s="242"/>
    </row>
    <row r="1618" spans="1:46" ht="45" customHeight="1">
      <c r="A1618" s="243"/>
      <c r="B1618" s="241"/>
      <c r="C1618" s="66"/>
      <c r="D1618" s="15"/>
      <c r="E1618" s="15"/>
      <c r="F1618" s="242"/>
      <c r="G1618" s="242"/>
      <c r="H1618" s="242"/>
      <c r="I1618" s="242"/>
      <c r="J1618" s="242"/>
      <c r="K1618" s="242"/>
      <c r="L1618" s="242"/>
      <c r="M1618" s="242"/>
      <c r="N1618" s="242"/>
      <c r="O1618" s="242"/>
      <c r="P1618" s="242"/>
      <c r="Q1618" s="242"/>
      <c r="R1618" s="226"/>
      <c r="S1618" s="30">
        <f t="shared" si="9"/>
        <v>0</v>
      </c>
      <c r="T1618" s="243"/>
      <c r="U1618" s="242"/>
      <c r="V1618" s="242"/>
      <c r="W1618" s="242"/>
      <c r="X1618" s="242"/>
      <c r="Y1618" s="241"/>
      <c r="Z1618" s="242"/>
      <c r="AA1618" s="135"/>
      <c r="AB1618" s="241"/>
      <c r="AC1618" s="242"/>
      <c r="AD1618" s="242"/>
      <c r="AE1618" s="242"/>
      <c r="AF1618" s="242"/>
      <c r="AG1618" s="242"/>
      <c r="AH1618" s="242"/>
      <c r="AI1618" s="242"/>
      <c r="AJ1618" s="242"/>
      <c r="AK1618" s="242"/>
      <c r="AL1618" s="242"/>
      <c r="AM1618" s="242"/>
      <c r="AN1618" s="242"/>
      <c r="AO1618" s="242"/>
      <c r="AP1618" s="242"/>
      <c r="AQ1618" s="242"/>
      <c r="AR1618" s="242"/>
      <c r="AS1618" s="242"/>
      <c r="AT1618" s="242"/>
    </row>
    <row r="1619" spans="1:46" ht="45" customHeight="1">
      <c r="A1619" s="243"/>
      <c r="B1619" s="241"/>
      <c r="C1619" s="66"/>
      <c r="D1619" s="15"/>
      <c r="E1619" s="15"/>
      <c r="F1619" s="242"/>
      <c r="G1619" s="242"/>
      <c r="H1619" s="242"/>
      <c r="I1619" s="242"/>
      <c r="J1619" s="242"/>
      <c r="K1619" s="242"/>
      <c r="L1619" s="242"/>
      <c r="M1619" s="242"/>
      <c r="N1619" s="242"/>
      <c r="O1619" s="242"/>
      <c r="P1619" s="242"/>
      <c r="Q1619" s="242"/>
      <c r="R1619" s="226"/>
      <c r="S1619" s="30">
        <f t="shared" si="9"/>
        <v>0</v>
      </c>
      <c r="T1619" s="243"/>
      <c r="U1619" s="242"/>
      <c r="V1619" s="242"/>
      <c r="W1619" s="242"/>
      <c r="X1619" s="242"/>
      <c r="Y1619" s="241"/>
      <c r="Z1619" s="242"/>
      <c r="AA1619" s="135"/>
      <c r="AB1619" s="241"/>
      <c r="AC1619" s="242"/>
      <c r="AD1619" s="242"/>
      <c r="AE1619" s="242"/>
      <c r="AF1619" s="242"/>
      <c r="AG1619" s="242"/>
      <c r="AH1619" s="242"/>
      <c r="AI1619" s="242"/>
      <c r="AJ1619" s="242"/>
      <c r="AK1619" s="242"/>
      <c r="AL1619" s="242"/>
      <c r="AM1619" s="242"/>
      <c r="AN1619" s="242"/>
      <c r="AO1619" s="242"/>
      <c r="AP1619" s="242"/>
      <c r="AQ1619" s="242"/>
      <c r="AR1619" s="242"/>
      <c r="AS1619" s="242"/>
      <c r="AT1619" s="242"/>
    </row>
    <row r="1620" spans="1:46" ht="45" customHeight="1">
      <c r="A1620" s="243"/>
      <c r="B1620" s="241"/>
      <c r="C1620" s="66"/>
      <c r="D1620" s="15"/>
      <c r="E1620" s="15"/>
      <c r="F1620" s="242"/>
      <c r="G1620" s="242"/>
      <c r="H1620" s="242"/>
      <c r="I1620" s="242"/>
      <c r="J1620" s="242"/>
      <c r="K1620" s="242"/>
      <c r="L1620" s="242"/>
      <c r="M1620" s="242"/>
      <c r="N1620" s="242"/>
      <c r="O1620" s="242"/>
      <c r="P1620" s="242"/>
      <c r="Q1620" s="242"/>
      <c r="R1620" s="226"/>
      <c r="S1620" s="30">
        <f t="shared" si="9"/>
        <v>0</v>
      </c>
      <c r="T1620" s="243"/>
      <c r="U1620" s="242"/>
      <c r="V1620" s="242"/>
      <c r="W1620" s="242"/>
      <c r="X1620" s="242"/>
      <c r="Y1620" s="241"/>
      <c r="Z1620" s="242"/>
      <c r="AA1620" s="135"/>
      <c r="AB1620" s="241"/>
      <c r="AC1620" s="242"/>
      <c r="AD1620" s="242"/>
      <c r="AE1620" s="242"/>
      <c r="AF1620" s="242"/>
      <c r="AG1620" s="242"/>
      <c r="AH1620" s="242"/>
      <c r="AI1620" s="242"/>
      <c r="AJ1620" s="242"/>
      <c r="AK1620" s="242"/>
      <c r="AL1620" s="242"/>
      <c r="AM1620" s="242"/>
      <c r="AN1620" s="242"/>
      <c r="AO1620" s="242"/>
      <c r="AP1620" s="242"/>
      <c r="AQ1620" s="242"/>
      <c r="AR1620" s="242"/>
      <c r="AS1620" s="242"/>
      <c r="AT1620" s="242"/>
    </row>
    <row r="1621" spans="1:46" ht="45" customHeight="1">
      <c r="A1621" s="243"/>
      <c r="B1621" s="241"/>
      <c r="C1621" s="66"/>
      <c r="D1621" s="15"/>
      <c r="E1621" s="15"/>
      <c r="F1621" s="242"/>
      <c r="G1621" s="242"/>
      <c r="H1621" s="242"/>
      <c r="I1621" s="242"/>
      <c r="J1621" s="242"/>
      <c r="K1621" s="242"/>
      <c r="L1621" s="242"/>
      <c r="M1621" s="242"/>
      <c r="N1621" s="242"/>
      <c r="O1621" s="242"/>
      <c r="P1621" s="242"/>
      <c r="Q1621" s="242"/>
      <c r="R1621" s="226"/>
      <c r="S1621" s="30">
        <f t="shared" si="9"/>
        <v>0</v>
      </c>
      <c r="T1621" s="243"/>
      <c r="U1621" s="242"/>
      <c r="V1621" s="242"/>
      <c r="W1621" s="242"/>
      <c r="X1621" s="242"/>
      <c r="Y1621" s="241"/>
      <c r="Z1621" s="242"/>
      <c r="AA1621" s="135"/>
      <c r="AB1621" s="241"/>
      <c r="AC1621" s="242"/>
      <c r="AD1621" s="242"/>
      <c r="AE1621" s="242"/>
      <c r="AF1621" s="242"/>
      <c r="AG1621" s="242"/>
      <c r="AH1621" s="242"/>
      <c r="AI1621" s="242"/>
      <c r="AJ1621" s="242"/>
      <c r="AK1621" s="242"/>
      <c r="AL1621" s="242"/>
      <c r="AM1621" s="242"/>
      <c r="AN1621" s="242"/>
      <c r="AO1621" s="242"/>
      <c r="AP1621" s="242"/>
      <c r="AQ1621" s="242"/>
      <c r="AR1621" s="242"/>
      <c r="AS1621" s="242"/>
      <c r="AT1621" s="242"/>
    </row>
    <row r="1622" spans="1:46" ht="45" customHeight="1">
      <c r="A1622" s="243"/>
      <c r="B1622" s="241"/>
      <c r="C1622" s="66"/>
      <c r="D1622" s="15"/>
      <c r="E1622" s="15"/>
      <c r="F1622" s="242"/>
      <c r="G1622" s="242"/>
      <c r="H1622" s="242"/>
      <c r="I1622" s="242"/>
      <c r="J1622" s="242"/>
      <c r="K1622" s="242"/>
      <c r="L1622" s="242"/>
      <c r="M1622" s="242"/>
      <c r="N1622" s="242"/>
      <c r="O1622" s="242"/>
      <c r="P1622" s="242"/>
      <c r="Q1622" s="242"/>
      <c r="R1622" s="226"/>
      <c r="S1622" s="30">
        <f t="shared" si="9"/>
        <v>0</v>
      </c>
      <c r="T1622" s="243"/>
      <c r="U1622" s="242"/>
      <c r="V1622" s="242"/>
      <c r="W1622" s="242"/>
      <c r="X1622" s="242"/>
      <c r="Y1622" s="241"/>
      <c r="Z1622" s="242"/>
      <c r="AA1622" s="135"/>
      <c r="AB1622" s="241"/>
      <c r="AC1622" s="242"/>
      <c r="AD1622" s="242"/>
      <c r="AE1622" s="242"/>
      <c r="AF1622" s="242"/>
      <c r="AG1622" s="242"/>
      <c r="AH1622" s="242"/>
      <c r="AI1622" s="242"/>
      <c r="AJ1622" s="242"/>
      <c r="AK1622" s="242"/>
      <c r="AL1622" s="242"/>
      <c r="AM1622" s="242"/>
      <c r="AN1622" s="242"/>
      <c r="AO1622" s="242"/>
      <c r="AP1622" s="242"/>
      <c r="AQ1622" s="242"/>
      <c r="AR1622" s="242"/>
      <c r="AS1622" s="242"/>
      <c r="AT1622" s="242"/>
    </row>
    <row r="1623" spans="1:46" ht="45" customHeight="1">
      <c r="A1623" s="243"/>
      <c r="B1623" s="241"/>
      <c r="C1623" s="66"/>
      <c r="D1623" s="15"/>
      <c r="E1623" s="15"/>
      <c r="F1623" s="242"/>
      <c r="G1623" s="242"/>
      <c r="H1623" s="242"/>
      <c r="I1623" s="242"/>
      <c r="J1623" s="242"/>
      <c r="K1623" s="242"/>
      <c r="L1623" s="242"/>
      <c r="M1623" s="242"/>
      <c r="N1623" s="242"/>
      <c r="O1623" s="242"/>
      <c r="P1623" s="242"/>
      <c r="Q1623" s="242"/>
      <c r="R1623" s="226"/>
      <c r="S1623" s="30">
        <f t="shared" si="9"/>
        <v>0</v>
      </c>
      <c r="T1623" s="243"/>
      <c r="U1623" s="242"/>
      <c r="V1623" s="242"/>
      <c r="W1623" s="242"/>
      <c r="X1623" s="242"/>
      <c r="Y1623" s="241"/>
      <c r="Z1623" s="242"/>
      <c r="AA1623" s="135"/>
      <c r="AB1623" s="241"/>
      <c r="AC1623" s="242"/>
      <c r="AD1623" s="242"/>
      <c r="AE1623" s="242"/>
      <c r="AF1623" s="242"/>
      <c r="AG1623" s="242"/>
      <c r="AH1623" s="242"/>
      <c r="AI1623" s="242"/>
      <c r="AJ1623" s="242"/>
      <c r="AK1623" s="242"/>
      <c r="AL1623" s="242"/>
      <c r="AM1623" s="242"/>
      <c r="AN1623" s="242"/>
      <c r="AO1623" s="242"/>
      <c r="AP1623" s="242"/>
      <c r="AQ1623" s="242"/>
      <c r="AR1623" s="242"/>
      <c r="AS1623" s="242"/>
      <c r="AT1623" s="242"/>
    </row>
    <row r="1624" spans="1:46" ht="45" customHeight="1">
      <c r="A1624" s="243"/>
      <c r="B1624" s="241"/>
      <c r="C1624" s="66"/>
      <c r="D1624" s="15"/>
      <c r="E1624" s="15"/>
      <c r="F1624" s="242"/>
      <c r="G1624" s="242"/>
      <c r="H1624" s="242"/>
      <c r="I1624" s="242"/>
      <c r="J1624" s="242"/>
      <c r="K1624" s="242"/>
      <c r="L1624" s="242"/>
      <c r="M1624" s="242"/>
      <c r="N1624" s="242"/>
      <c r="O1624" s="242"/>
      <c r="P1624" s="242"/>
      <c r="Q1624" s="242"/>
      <c r="R1624" s="226"/>
      <c r="S1624" s="30">
        <f t="shared" si="9"/>
        <v>0</v>
      </c>
      <c r="T1624" s="243"/>
      <c r="U1624" s="242"/>
      <c r="V1624" s="242"/>
      <c r="W1624" s="242"/>
      <c r="X1624" s="242"/>
      <c r="Y1624" s="241"/>
      <c r="Z1624" s="242"/>
      <c r="AA1624" s="135"/>
      <c r="AB1624" s="241"/>
      <c r="AC1624" s="242"/>
      <c r="AD1624" s="242"/>
      <c r="AE1624" s="242"/>
      <c r="AF1624" s="242"/>
      <c r="AG1624" s="242"/>
      <c r="AH1624" s="242"/>
      <c r="AI1624" s="242"/>
      <c r="AJ1624" s="242"/>
      <c r="AK1624" s="242"/>
      <c r="AL1624" s="242"/>
      <c r="AM1624" s="242"/>
      <c r="AN1624" s="242"/>
      <c r="AO1624" s="242"/>
      <c r="AP1624" s="242"/>
      <c r="AQ1624" s="242"/>
      <c r="AR1624" s="242"/>
      <c r="AS1624" s="242"/>
      <c r="AT1624" s="242"/>
    </row>
    <row r="1625" spans="1:46" ht="45" customHeight="1">
      <c r="A1625" s="243"/>
      <c r="B1625" s="241"/>
      <c r="C1625" s="66"/>
      <c r="D1625" s="15"/>
      <c r="E1625" s="15"/>
      <c r="F1625" s="242"/>
      <c r="G1625" s="242"/>
      <c r="H1625" s="242"/>
      <c r="I1625" s="242"/>
      <c r="J1625" s="242"/>
      <c r="K1625" s="242"/>
      <c r="L1625" s="242"/>
      <c r="M1625" s="242"/>
      <c r="N1625" s="242"/>
      <c r="O1625" s="242"/>
      <c r="P1625" s="242"/>
      <c r="Q1625" s="242"/>
      <c r="R1625" s="226"/>
      <c r="S1625" s="30">
        <f t="shared" si="9"/>
        <v>0</v>
      </c>
      <c r="T1625" s="243"/>
      <c r="U1625" s="242"/>
      <c r="V1625" s="242"/>
      <c r="W1625" s="242"/>
      <c r="X1625" s="242"/>
      <c r="Y1625" s="241"/>
      <c r="Z1625" s="242"/>
      <c r="AA1625" s="135"/>
      <c r="AB1625" s="241"/>
      <c r="AC1625" s="242"/>
      <c r="AD1625" s="242"/>
      <c r="AE1625" s="242"/>
      <c r="AF1625" s="242"/>
      <c r="AG1625" s="242"/>
      <c r="AH1625" s="242"/>
      <c r="AI1625" s="242"/>
      <c r="AJ1625" s="242"/>
      <c r="AK1625" s="242"/>
      <c r="AL1625" s="242"/>
      <c r="AM1625" s="242"/>
      <c r="AN1625" s="242"/>
      <c r="AO1625" s="242"/>
      <c r="AP1625" s="242"/>
      <c r="AQ1625" s="242"/>
      <c r="AR1625" s="242"/>
      <c r="AS1625" s="242"/>
      <c r="AT1625" s="242"/>
    </row>
    <row r="1626" spans="1:46" ht="45" customHeight="1">
      <c r="A1626" s="243"/>
      <c r="B1626" s="241"/>
      <c r="C1626" s="66"/>
      <c r="D1626" s="15"/>
      <c r="E1626" s="15"/>
      <c r="F1626" s="242"/>
      <c r="G1626" s="242"/>
      <c r="H1626" s="242"/>
      <c r="I1626" s="242"/>
      <c r="J1626" s="242"/>
      <c r="K1626" s="242"/>
      <c r="L1626" s="242"/>
      <c r="M1626" s="242"/>
      <c r="N1626" s="242"/>
      <c r="O1626" s="242"/>
      <c r="P1626" s="242"/>
      <c r="Q1626" s="242"/>
      <c r="R1626" s="226"/>
      <c r="S1626" s="30">
        <f t="shared" si="9"/>
        <v>0</v>
      </c>
      <c r="T1626" s="243"/>
      <c r="U1626" s="242"/>
      <c r="V1626" s="242"/>
      <c r="W1626" s="242"/>
      <c r="X1626" s="242"/>
      <c r="Y1626" s="241"/>
      <c r="Z1626" s="242"/>
      <c r="AA1626" s="135"/>
      <c r="AB1626" s="241"/>
      <c r="AC1626" s="242"/>
      <c r="AD1626" s="242"/>
      <c r="AE1626" s="242"/>
      <c r="AF1626" s="242"/>
      <c r="AG1626" s="242"/>
      <c r="AH1626" s="242"/>
      <c r="AI1626" s="242"/>
      <c r="AJ1626" s="242"/>
      <c r="AK1626" s="242"/>
      <c r="AL1626" s="242"/>
      <c r="AM1626" s="242"/>
      <c r="AN1626" s="242"/>
      <c r="AO1626" s="242"/>
      <c r="AP1626" s="242"/>
      <c r="AQ1626" s="242"/>
      <c r="AR1626" s="242"/>
      <c r="AS1626" s="242"/>
      <c r="AT1626" s="242"/>
    </row>
    <row r="1627" spans="1:46" ht="45" customHeight="1">
      <c r="A1627" s="243"/>
      <c r="B1627" s="241"/>
      <c r="C1627" s="66"/>
      <c r="D1627" s="15"/>
      <c r="E1627" s="15"/>
      <c r="F1627" s="242"/>
      <c r="G1627" s="242"/>
      <c r="H1627" s="242"/>
      <c r="I1627" s="242"/>
      <c r="J1627" s="242"/>
      <c r="K1627" s="242"/>
      <c r="L1627" s="242"/>
      <c r="M1627" s="242"/>
      <c r="N1627" s="242"/>
      <c r="O1627" s="242"/>
      <c r="P1627" s="242"/>
      <c r="Q1627" s="242"/>
      <c r="R1627" s="226"/>
      <c r="S1627" s="30">
        <f t="shared" si="9"/>
        <v>0</v>
      </c>
      <c r="T1627" s="243"/>
      <c r="U1627" s="242"/>
      <c r="V1627" s="242"/>
      <c r="W1627" s="242"/>
      <c r="X1627" s="242"/>
      <c r="Y1627" s="241"/>
      <c r="Z1627" s="242"/>
      <c r="AA1627" s="135"/>
      <c r="AB1627" s="241"/>
      <c r="AC1627" s="242"/>
      <c r="AD1627" s="242"/>
      <c r="AE1627" s="242"/>
      <c r="AF1627" s="242"/>
      <c r="AG1627" s="242"/>
      <c r="AH1627" s="242"/>
      <c r="AI1627" s="242"/>
      <c r="AJ1627" s="242"/>
      <c r="AK1627" s="242"/>
      <c r="AL1627" s="242"/>
      <c r="AM1627" s="242"/>
      <c r="AN1627" s="242"/>
      <c r="AO1627" s="242"/>
      <c r="AP1627" s="242"/>
      <c r="AQ1627" s="242"/>
      <c r="AR1627" s="242"/>
      <c r="AS1627" s="242"/>
      <c r="AT1627" s="242"/>
    </row>
    <row r="1628" spans="1:46" ht="45" customHeight="1">
      <c r="A1628" s="243"/>
      <c r="B1628" s="241"/>
      <c r="C1628" s="66"/>
      <c r="D1628" s="15"/>
      <c r="E1628" s="15"/>
      <c r="F1628" s="242"/>
      <c r="G1628" s="242"/>
      <c r="H1628" s="242"/>
      <c r="I1628" s="242"/>
      <c r="J1628" s="242"/>
      <c r="K1628" s="242"/>
      <c r="L1628" s="242"/>
      <c r="M1628" s="242"/>
      <c r="N1628" s="242"/>
      <c r="O1628" s="242"/>
      <c r="P1628" s="242"/>
      <c r="Q1628" s="242"/>
      <c r="R1628" s="226"/>
      <c r="S1628" s="30">
        <f t="shared" si="9"/>
        <v>0</v>
      </c>
      <c r="T1628" s="243"/>
      <c r="U1628" s="242"/>
      <c r="V1628" s="242"/>
      <c r="W1628" s="242"/>
      <c r="X1628" s="242"/>
      <c r="Y1628" s="241"/>
      <c r="Z1628" s="242"/>
      <c r="AA1628" s="135"/>
      <c r="AB1628" s="241"/>
      <c r="AC1628" s="242"/>
      <c r="AD1628" s="242"/>
      <c r="AE1628" s="242"/>
      <c r="AF1628" s="242"/>
      <c r="AG1628" s="242"/>
      <c r="AH1628" s="242"/>
      <c r="AI1628" s="242"/>
      <c r="AJ1628" s="242"/>
      <c r="AK1628" s="242"/>
      <c r="AL1628" s="242"/>
      <c r="AM1628" s="242"/>
      <c r="AN1628" s="242"/>
      <c r="AO1628" s="242"/>
      <c r="AP1628" s="242"/>
      <c r="AQ1628" s="242"/>
      <c r="AR1628" s="242"/>
      <c r="AS1628" s="242"/>
      <c r="AT1628" s="242"/>
    </row>
    <row r="1629" spans="1:46" ht="45" customHeight="1">
      <c r="A1629" s="243"/>
      <c r="B1629" s="241"/>
      <c r="C1629" s="66"/>
      <c r="D1629" s="15"/>
      <c r="E1629" s="15"/>
      <c r="F1629" s="242"/>
      <c r="G1629" s="242"/>
      <c r="H1629" s="242"/>
      <c r="I1629" s="242"/>
      <c r="J1629" s="242"/>
      <c r="K1629" s="242"/>
      <c r="L1629" s="242"/>
      <c r="M1629" s="242"/>
      <c r="N1629" s="242"/>
      <c r="O1629" s="242"/>
      <c r="P1629" s="242"/>
      <c r="Q1629" s="242"/>
      <c r="R1629" s="226"/>
      <c r="S1629" s="30">
        <f t="shared" si="9"/>
        <v>0</v>
      </c>
      <c r="T1629" s="243"/>
      <c r="U1629" s="242"/>
      <c r="V1629" s="242"/>
      <c r="W1629" s="242"/>
      <c r="X1629" s="242"/>
      <c r="Y1629" s="241"/>
      <c r="Z1629" s="242"/>
      <c r="AA1629" s="135"/>
      <c r="AB1629" s="241"/>
      <c r="AC1629" s="242"/>
      <c r="AD1629" s="242"/>
      <c r="AE1629" s="242"/>
      <c r="AF1629" s="242"/>
      <c r="AG1629" s="242"/>
      <c r="AH1629" s="242"/>
      <c r="AI1629" s="242"/>
      <c r="AJ1629" s="242"/>
      <c r="AK1629" s="242"/>
      <c r="AL1629" s="242"/>
      <c r="AM1629" s="242"/>
      <c r="AN1629" s="242"/>
      <c r="AO1629" s="242"/>
      <c r="AP1629" s="242"/>
      <c r="AQ1629" s="242"/>
      <c r="AR1629" s="242"/>
      <c r="AS1629" s="242"/>
      <c r="AT1629" s="242"/>
    </row>
    <row r="1630" spans="1:46" ht="45" customHeight="1">
      <c r="A1630" s="243"/>
      <c r="B1630" s="241"/>
      <c r="C1630" s="66"/>
      <c r="D1630" s="15"/>
      <c r="E1630" s="15"/>
      <c r="F1630" s="242"/>
      <c r="G1630" s="242"/>
      <c r="H1630" s="242"/>
      <c r="I1630" s="242"/>
      <c r="J1630" s="242"/>
      <c r="K1630" s="242"/>
      <c r="L1630" s="242"/>
      <c r="M1630" s="242"/>
      <c r="N1630" s="242"/>
      <c r="O1630" s="242"/>
      <c r="P1630" s="242"/>
      <c r="Q1630" s="242"/>
      <c r="R1630" s="226"/>
      <c r="S1630" s="30">
        <f t="shared" si="9"/>
        <v>0</v>
      </c>
      <c r="T1630" s="243"/>
      <c r="U1630" s="242"/>
      <c r="V1630" s="242"/>
      <c r="W1630" s="242"/>
      <c r="X1630" s="242"/>
      <c r="Y1630" s="241"/>
      <c r="Z1630" s="242"/>
      <c r="AA1630" s="135"/>
      <c r="AB1630" s="241"/>
      <c r="AC1630" s="242"/>
      <c r="AD1630" s="242"/>
      <c r="AE1630" s="242"/>
      <c r="AF1630" s="242"/>
      <c r="AG1630" s="242"/>
      <c r="AH1630" s="242"/>
      <c r="AI1630" s="242"/>
      <c r="AJ1630" s="242"/>
      <c r="AK1630" s="242"/>
      <c r="AL1630" s="242"/>
      <c r="AM1630" s="242"/>
      <c r="AN1630" s="242"/>
      <c r="AO1630" s="242"/>
      <c r="AP1630" s="242"/>
      <c r="AQ1630" s="242"/>
      <c r="AR1630" s="242"/>
      <c r="AS1630" s="242"/>
      <c r="AT1630" s="242"/>
    </row>
    <row r="1631" spans="1:46" ht="45" customHeight="1">
      <c r="A1631" s="243"/>
      <c r="B1631" s="241"/>
      <c r="C1631" s="66"/>
      <c r="D1631" s="15"/>
      <c r="E1631" s="15"/>
      <c r="F1631" s="242"/>
      <c r="G1631" s="242"/>
      <c r="H1631" s="242"/>
      <c r="I1631" s="242"/>
      <c r="J1631" s="242"/>
      <c r="K1631" s="242"/>
      <c r="L1631" s="242"/>
      <c r="M1631" s="242"/>
      <c r="N1631" s="242"/>
      <c r="O1631" s="242"/>
      <c r="P1631" s="242"/>
      <c r="Q1631" s="242"/>
      <c r="R1631" s="226"/>
      <c r="S1631" s="30">
        <f t="shared" si="9"/>
        <v>0</v>
      </c>
      <c r="T1631" s="243"/>
      <c r="U1631" s="242"/>
      <c r="V1631" s="242"/>
      <c r="W1631" s="242"/>
      <c r="X1631" s="242"/>
      <c r="Y1631" s="241"/>
      <c r="Z1631" s="242"/>
      <c r="AA1631" s="135"/>
      <c r="AB1631" s="241"/>
      <c r="AC1631" s="242"/>
      <c r="AD1631" s="242"/>
      <c r="AE1631" s="242"/>
      <c r="AF1631" s="242"/>
      <c r="AG1631" s="242"/>
      <c r="AH1631" s="242"/>
      <c r="AI1631" s="242"/>
      <c r="AJ1631" s="242"/>
      <c r="AK1631" s="242"/>
      <c r="AL1631" s="242"/>
      <c r="AM1631" s="242"/>
      <c r="AN1631" s="242"/>
      <c r="AO1631" s="242"/>
      <c r="AP1631" s="242"/>
      <c r="AQ1631" s="242"/>
      <c r="AR1631" s="242"/>
      <c r="AS1631" s="242"/>
      <c r="AT1631" s="242"/>
    </row>
    <row r="1632" spans="1:46" ht="45" customHeight="1">
      <c r="A1632" s="243"/>
      <c r="B1632" s="241"/>
      <c r="C1632" s="66"/>
      <c r="D1632" s="15"/>
      <c r="E1632" s="15"/>
      <c r="F1632" s="242"/>
      <c r="G1632" s="242"/>
      <c r="H1632" s="242"/>
      <c r="I1632" s="242"/>
      <c r="J1632" s="242"/>
      <c r="K1632" s="242"/>
      <c r="L1632" s="242"/>
      <c r="M1632" s="242"/>
      <c r="N1632" s="242"/>
      <c r="O1632" s="242"/>
      <c r="P1632" s="242"/>
      <c r="Q1632" s="242"/>
      <c r="R1632" s="226"/>
      <c r="S1632" s="30">
        <f t="shared" si="9"/>
        <v>0</v>
      </c>
      <c r="T1632" s="243"/>
      <c r="U1632" s="242"/>
      <c r="V1632" s="242"/>
      <c r="W1632" s="242"/>
      <c r="X1632" s="242"/>
      <c r="Y1632" s="241"/>
      <c r="Z1632" s="242"/>
      <c r="AA1632" s="135"/>
      <c r="AB1632" s="241"/>
      <c r="AC1632" s="242"/>
      <c r="AD1632" s="242"/>
      <c r="AE1632" s="242"/>
      <c r="AF1632" s="242"/>
      <c r="AG1632" s="242"/>
      <c r="AH1632" s="242"/>
      <c r="AI1632" s="242"/>
      <c r="AJ1632" s="242"/>
      <c r="AK1632" s="242"/>
      <c r="AL1632" s="242"/>
      <c r="AM1632" s="242"/>
      <c r="AN1632" s="242"/>
      <c r="AO1632" s="242"/>
      <c r="AP1632" s="242"/>
      <c r="AQ1632" s="242"/>
      <c r="AR1632" s="242"/>
      <c r="AS1632" s="242"/>
      <c r="AT1632" s="242"/>
    </row>
    <row r="1633" spans="1:46" ht="45" customHeight="1">
      <c r="A1633" s="243"/>
      <c r="B1633" s="241"/>
      <c r="C1633" s="66"/>
      <c r="D1633" s="15"/>
      <c r="E1633" s="15"/>
      <c r="F1633" s="242"/>
      <c r="G1633" s="242"/>
      <c r="H1633" s="242"/>
      <c r="I1633" s="242"/>
      <c r="J1633" s="242"/>
      <c r="K1633" s="242"/>
      <c r="L1633" s="242"/>
      <c r="M1633" s="242"/>
      <c r="N1633" s="242"/>
      <c r="O1633" s="242"/>
      <c r="P1633" s="242"/>
      <c r="Q1633" s="242"/>
      <c r="R1633" s="226"/>
      <c r="S1633" s="30">
        <f t="shared" si="9"/>
        <v>0</v>
      </c>
      <c r="T1633" s="243"/>
      <c r="U1633" s="242"/>
      <c r="V1633" s="242"/>
      <c r="W1633" s="242"/>
      <c r="X1633" s="242"/>
      <c r="Y1633" s="241"/>
      <c r="Z1633" s="242"/>
      <c r="AA1633" s="135"/>
      <c r="AB1633" s="241"/>
      <c r="AC1633" s="242"/>
      <c r="AD1633" s="242"/>
      <c r="AE1633" s="242"/>
      <c r="AF1633" s="242"/>
      <c r="AG1633" s="242"/>
      <c r="AH1633" s="242"/>
      <c r="AI1633" s="242"/>
      <c r="AJ1633" s="242"/>
      <c r="AK1633" s="242"/>
      <c r="AL1633" s="242"/>
      <c r="AM1633" s="242"/>
      <c r="AN1633" s="242"/>
      <c r="AO1633" s="242"/>
      <c r="AP1633" s="242"/>
      <c r="AQ1633" s="242"/>
      <c r="AR1633" s="242"/>
      <c r="AS1633" s="242"/>
      <c r="AT1633" s="242"/>
    </row>
    <row r="1634" spans="1:46" ht="45" customHeight="1">
      <c r="A1634" s="243"/>
      <c r="B1634" s="241"/>
      <c r="C1634" s="66"/>
      <c r="D1634" s="15"/>
      <c r="E1634" s="15"/>
      <c r="F1634" s="242"/>
      <c r="G1634" s="242"/>
      <c r="H1634" s="242"/>
      <c r="I1634" s="242"/>
      <c r="J1634" s="242"/>
      <c r="K1634" s="242"/>
      <c r="L1634" s="242"/>
      <c r="M1634" s="242"/>
      <c r="N1634" s="242"/>
      <c r="O1634" s="242"/>
      <c r="P1634" s="242"/>
      <c r="Q1634" s="242"/>
      <c r="R1634" s="226"/>
      <c r="S1634" s="30">
        <f t="shared" si="9"/>
        <v>0</v>
      </c>
      <c r="T1634" s="243"/>
      <c r="U1634" s="242"/>
      <c r="V1634" s="242"/>
      <c r="W1634" s="242"/>
      <c r="X1634" s="242"/>
      <c r="Y1634" s="241"/>
      <c r="Z1634" s="242"/>
      <c r="AA1634" s="135"/>
      <c r="AB1634" s="241"/>
      <c r="AC1634" s="242"/>
      <c r="AD1634" s="242"/>
      <c r="AE1634" s="242"/>
      <c r="AF1634" s="242"/>
      <c r="AG1634" s="242"/>
      <c r="AH1634" s="242"/>
      <c r="AI1634" s="242"/>
      <c r="AJ1634" s="242"/>
      <c r="AK1634" s="242"/>
      <c r="AL1634" s="242"/>
      <c r="AM1634" s="242"/>
      <c r="AN1634" s="242"/>
      <c r="AO1634" s="242"/>
      <c r="AP1634" s="242"/>
      <c r="AQ1634" s="242"/>
      <c r="AR1634" s="242"/>
      <c r="AS1634" s="242"/>
      <c r="AT1634" s="242"/>
    </row>
    <row r="1635" spans="1:46" ht="45" customHeight="1">
      <c r="A1635" s="243"/>
      <c r="B1635" s="241"/>
      <c r="C1635" s="66"/>
      <c r="D1635" s="15"/>
      <c r="E1635" s="15"/>
      <c r="F1635" s="242"/>
      <c r="G1635" s="242"/>
      <c r="H1635" s="242"/>
      <c r="I1635" s="242"/>
      <c r="J1635" s="242"/>
      <c r="K1635" s="242"/>
      <c r="L1635" s="242"/>
      <c r="M1635" s="242"/>
      <c r="N1635" s="242"/>
      <c r="O1635" s="242"/>
      <c r="P1635" s="242"/>
      <c r="Q1635" s="242"/>
      <c r="R1635" s="226"/>
      <c r="S1635" s="30">
        <f t="shared" si="9"/>
        <v>0</v>
      </c>
      <c r="T1635" s="243"/>
      <c r="U1635" s="242"/>
      <c r="V1635" s="242"/>
      <c r="W1635" s="242"/>
      <c r="X1635" s="242"/>
      <c r="Y1635" s="241"/>
      <c r="Z1635" s="242"/>
      <c r="AA1635" s="135"/>
      <c r="AB1635" s="241"/>
      <c r="AC1635" s="242"/>
      <c r="AD1635" s="242"/>
      <c r="AE1635" s="242"/>
      <c r="AF1635" s="242"/>
      <c r="AG1635" s="242"/>
      <c r="AH1635" s="242"/>
      <c r="AI1635" s="242"/>
      <c r="AJ1635" s="242"/>
      <c r="AK1635" s="242"/>
      <c r="AL1635" s="242"/>
      <c r="AM1635" s="242"/>
      <c r="AN1635" s="242"/>
      <c r="AO1635" s="242"/>
      <c r="AP1635" s="242"/>
      <c r="AQ1635" s="242"/>
      <c r="AR1635" s="242"/>
      <c r="AS1635" s="242"/>
      <c r="AT1635" s="242"/>
    </row>
    <row r="1636" spans="1:46" ht="45" customHeight="1">
      <c r="A1636" s="243"/>
      <c r="B1636" s="241"/>
      <c r="C1636" s="66"/>
      <c r="D1636" s="15"/>
      <c r="E1636" s="15"/>
      <c r="F1636" s="242"/>
      <c r="G1636" s="242"/>
      <c r="H1636" s="242"/>
      <c r="I1636" s="242"/>
      <c r="J1636" s="242"/>
      <c r="K1636" s="242"/>
      <c r="L1636" s="242"/>
      <c r="M1636" s="242"/>
      <c r="N1636" s="242"/>
      <c r="O1636" s="242"/>
      <c r="P1636" s="242"/>
      <c r="Q1636" s="242"/>
      <c r="R1636" s="226"/>
      <c r="S1636" s="30">
        <f t="shared" si="9"/>
        <v>0</v>
      </c>
      <c r="T1636" s="243"/>
      <c r="U1636" s="242"/>
      <c r="V1636" s="242"/>
      <c r="W1636" s="242"/>
      <c r="X1636" s="242"/>
      <c r="Y1636" s="241"/>
      <c r="Z1636" s="242"/>
      <c r="AA1636" s="135"/>
      <c r="AB1636" s="241"/>
      <c r="AC1636" s="242"/>
      <c r="AD1636" s="242"/>
      <c r="AE1636" s="242"/>
      <c r="AF1636" s="242"/>
      <c r="AG1636" s="242"/>
      <c r="AH1636" s="242"/>
      <c r="AI1636" s="242"/>
      <c r="AJ1636" s="242"/>
      <c r="AK1636" s="242"/>
      <c r="AL1636" s="242"/>
      <c r="AM1636" s="242"/>
      <c r="AN1636" s="242"/>
      <c r="AO1636" s="242"/>
      <c r="AP1636" s="242"/>
      <c r="AQ1636" s="242"/>
      <c r="AR1636" s="242"/>
      <c r="AS1636" s="242"/>
      <c r="AT1636" s="242"/>
    </row>
    <row r="1637" spans="1:46" ht="45" customHeight="1">
      <c r="A1637" s="243"/>
      <c r="B1637" s="241"/>
      <c r="C1637" s="66"/>
      <c r="D1637" s="15"/>
      <c r="E1637" s="15"/>
      <c r="F1637" s="242"/>
      <c r="G1637" s="242"/>
      <c r="H1637" s="242"/>
      <c r="I1637" s="242"/>
      <c r="J1637" s="242"/>
      <c r="K1637" s="242"/>
      <c r="L1637" s="242"/>
      <c r="M1637" s="242"/>
      <c r="N1637" s="242"/>
      <c r="O1637" s="242"/>
      <c r="P1637" s="242"/>
      <c r="Q1637" s="242"/>
      <c r="R1637" s="226"/>
      <c r="S1637" s="30">
        <f t="shared" si="9"/>
        <v>0</v>
      </c>
      <c r="T1637" s="243"/>
      <c r="U1637" s="242"/>
      <c r="V1637" s="242"/>
      <c r="W1637" s="242"/>
      <c r="X1637" s="242"/>
      <c r="Y1637" s="241"/>
      <c r="Z1637" s="242"/>
      <c r="AA1637" s="135"/>
      <c r="AB1637" s="241"/>
      <c r="AC1637" s="242"/>
      <c r="AD1637" s="242"/>
      <c r="AE1637" s="242"/>
      <c r="AF1637" s="242"/>
      <c r="AG1637" s="242"/>
      <c r="AH1637" s="242"/>
      <c r="AI1637" s="242"/>
      <c r="AJ1637" s="242"/>
      <c r="AK1637" s="242"/>
      <c r="AL1637" s="242"/>
      <c r="AM1637" s="242"/>
      <c r="AN1637" s="242"/>
      <c r="AO1637" s="242"/>
      <c r="AP1637" s="242"/>
      <c r="AQ1637" s="242"/>
      <c r="AR1637" s="242"/>
      <c r="AS1637" s="242"/>
      <c r="AT1637" s="242"/>
    </row>
    <row r="1638" spans="1:46" ht="45" customHeight="1">
      <c r="A1638" s="243"/>
      <c r="B1638" s="241"/>
      <c r="C1638" s="66"/>
      <c r="D1638" s="15"/>
      <c r="E1638" s="15"/>
      <c r="F1638" s="242"/>
      <c r="G1638" s="242"/>
      <c r="H1638" s="242"/>
      <c r="I1638" s="242"/>
      <c r="J1638" s="242"/>
      <c r="K1638" s="242"/>
      <c r="L1638" s="242"/>
      <c r="M1638" s="242"/>
      <c r="N1638" s="242"/>
      <c r="O1638" s="242"/>
      <c r="P1638" s="242"/>
      <c r="Q1638" s="242"/>
      <c r="R1638" s="226"/>
      <c r="S1638" s="30">
        <f t="shared" si="9"/>
        <v>0</v>
      </c>
      <c r="T1638" s="243"/>
      <c r="U1638" s="242"/>
      <c r="V1638" s="242"/>
      <c r="W1638" s="242"/>
      <c r="X1638" s="242"/>
      <c r="Y1638" s="241"/>
      <c r="Z1638" s="242"/>
      <c r="AA1638" s="135"/>
      <c r="AB1638" s="241"/>
      <c r="AC1638" s="242"/>
      <c r="AD1638" s="242"/>
      <c r="AE1638" s="242"/>
      <c r="AF1638" s="242"/>
      <c r="AG1638" s="242"/>
      <c r="AH1638" s="242"/>
      <c r="AI1638" s="242"/>
      <c r="AJ1638" s="242"/>
      <c r="AK1638" s="242"/>
      <c r="AL1638" s="242"/>
      <c r="AM1638" s="242"/>
      <c r="AN1638" s="242"/>
      <c r="AO1638" s="242"/>
      <c r="AP1638" s="242"/>
      <c r="AQ1638" s="242"/>
      <c r="AR1638" s="242"/>
      <c r="AS1638" s="242"/>
      <c r="AT1638" s="242"/>
    </row>
    <row r="1639" spans="1:46" ht="45" customHeight="1">
      <c r="A1639" s="243"/>
      <c r="B1639" s="241"/>
      <c r="C1639" s="66"/>
      <c r="D1639" s="15"/>
      <c r="E1639" s="15"/>
      <c r="F1639" s="242"/>
      <c r="G1639" s="242"/>
      <c r="H1639" s="242"/>
      <c r="I1639" s="242"/>
      <c r="J1639" s="242"/>
      <c r="K1639" s="242"/>
      <c r="L1639" s="242"/>
      <c r="M1639" s="242"/>
      <c r="N1639" s="242"/>
      <c r="O1639" s="242"/>
      <c r="P1639" s="242"/>
      <c r="Q1639" s="242"/>
      <c r="R1639" s="226"/>
      <c r="S1639" s="30">
        <f t="shared" si="9"/>
        <v>0</v>
      </c>
      <c r="T1639" s="243"/>
      <c r="U1639" s="242"/>
      <c r="V1639" s="242"/>
      <c r="W1639" s="242"/>
      <c r="X1639" s="242"/>
      <c r="Y1639" s="241"/>
      <c r="Z1639" s="242"/>
      <c r="AA1639" s="135"/>
      <c r="AB1639" s="241"/>
      <c r="AC1639" s="242"/>
      <c r="AD1639" s="242"/>
      <c r="AE1639" s="242"/>
      <c r="AF1639" s="242"/>
      <c r="AG1639" s="242"/>
      <c r="AH1639" s="242"/>
      <c r="AI1639" s="242"/>
      <c r="AJ1639" s="242"/>
      <c r="AK1639" s="242"/>
      <c r="AL1639" s="242"/>
      <c r="AM1639" s="242"/>
      <c r="AN1639" s="242"/>
      <c r="AO1639" s="242"/>
      <c r="AP1639" s="242"/>
      <c r="AQ1639" s="242"/>
      <c r="AR1639" s="242"/>
      <c r="AS1639" s="242"/>
      <c r="AT1639" s="242"/>
    </row>
    <row r="1640" spans="1:46" ht="45" customHeight="1">
      <c r="A1640" s="243"/>
      <c r="B1640" s="241"/>
      <c r="C1640" s="66"/>
      <c r="D1640" s="15"/>
      <c r="E1640" s="15"/>
      <c r="F1640" s="242"/>
      <c r="G1640" s="242"/>
      <c r="H1640" s="242"/>
      <c r="I1640" s="242"/>
      <c r="J1640" s="242"/>
      <c r="K1640" s="242"/>
      <c r="L1640" s="242"/>
      <c r="M1640" s="242"/>
      <c r="N1640" s="242"/>
      <c r="O1640" s="242"/>
      <c r="P1640" s="242"/>
      <c r="Q1640" s="242"/>
      <c r="R1640" s="226"/>
      <c r="S1640" s="30">
        <f t="shared" si="9"/>
        <v>0</v>
      </c>
      <c r="T1640" s="243"/>
      <c r="U1640" s="242"/>
      <c r="V1640" s="242"/>
      <c r="W1640" s="242"/>
      <c r="X1640" s="242"/>
      <c r="Y1640" s="241"/>
      <c r="Z1640" s="242"/>
      <c r="AA1640" s="135"/>
      <c r="AB1640" s="241"/>
      <c r="AC1640" s="242"/>
      <c r="AD1640" s="242"/>
      <c r="AE1640" s="242"/>
      <c r="AF1640" s="242"/>
      <c r="AG1640" s="242"/>
      <c r="AH1640" s="242"/>
      <c r="AI1640" s="242"/>
      <c r="AJ1640" s="242"/>
      <c r="AK1640" s="242"/>
      <c r="AL1640" s="242"/>
      <c r="AM1640" s="242"/>
      <c r="AN1640" s="242"/>
      <c r="AO1640" s="242"/>
      <c r="AP1640" s="242"/>
      <c r="AQ1640" s="242"/>
      <c r="AR1640" s="242"/>
      <c r="AS1640" s="242"/>
      <c r="AT1640" s="242"/>
    </row>
    <row r="1641" spans="1:46" ht="45" customHeight="1">
      <c r="A1641" s="243"/>
      <c r="B1641" s="241"/>
      <c r="C1641" s="66"/>
      <c r="D1641" s="15"/>
      <c r="E1641" s="15"/>
      <c r="F1641" s="242"/>
      <c r="G1641" s="242"/>
      <c r="H1641" s="242"/>
      <c r="I1641" s="242"/>
      <c r="J1641" s="242"/>
      <c r="K1641" s="242"/>
      <c r="L1641" s="242"/>
      <c r="M1641" s="242"/>
      <c r="N1641" s="242"/>
      <c r="O1641" s="242"/>
      <c r="P1641" s="242"/>
      <c r="Q1641" s="242"/>
      <c r="R1641" s="226"/>
      <c r="S1641" s="30">
        <f t="shared" si="9"/>
        <v>0</v>
      </c>
      <c r="T1641" s="243"/>
      <c r="U1641" s="242"/>
      <c r="V1641" s="242"/>
      <c r="W1641" s="242"/>
      <c r="X1641" s="242"/>
      <c r="Y1641" s="241"/>
      <c r="Z1641" s="242"/>
      <c r="AA1641" s="135"/>
      <c r="AB1641" s="241"/>
      <c r="AC1641" s="242"/>
      <c r="AD1641" s="242"/>
      <c r="AE1641" s="242"/>
      <c r="AF1641" s="242"/>
      <c r="AG1641" s="242"/>
      <c r="AH1641" s="242"/>
      <c r="AI1641" s="242"/>
      <c r="AJ1641" s="242"/>
      <c r="AK1641" s="242"/>
      <c r="AL1641" s="242"/>
      <c r="AM1641" s="242"/>
      <c r="AN1641" s="242"/>
      <c r="AO1641" s="242"/>
      <c r="AP1641" s="242"/>
      <c r="AQ1641" s="242"/>
      <c r="AR1641" s="242"/>
      <c r="AS1641" s="242"/>
      <c r="AT1641" s="242"/>
    </row>
    <row r="1642" spans="1:46" ht="45" customHeight="1">
      <c r="A1642" s="243"/>
      <c r="B1642" s="241"/>
      <c r="C1642" s="66"/>
      <c r="D1642" s="15"/>
      <c r="E1642" s="15"/>
      <c r="F1642" s="242"/>
      <c r="G1642" s="242"/>
      <c r="H1642" s="242"/>
      <c r="I1642" s="242"/>
      <c r="J1642" s="242"/>
      <c r="K1642" s="242"/>
      <c r="L1642" s="242"/>
      <c r="M1642" s="242"/>
      <c r="N1642" s="242"/>
      <c r="O1642" s="242"/>
      <c r="P1642" s="242"/>
      <c r="Q1642" s="242"/>
      <c r="R1642" s="226"/>
      <c r="S1642" s="30">
        <f t="shared" si="9"/>
        <v>0</v>
      </c>
      <c r="T1642" s="243"/>
      <c r="U1642" s="242"/>
      <c r="V1642" s="242"/>
      <c r="W1642" s="242"/>
      <c r="X1642" s="242"/>
      <c r="Y1642" s="241"/>
      <c r="Z1642" s="242"/>
      <c r="AA1642" s="135"/>
      <c r="AB1642" s="241"/>
      <c r="AC1642" s="242"/>
      <c r="AD1642" s="242"/>
      <c r="AE1642" s="242"/>
      <c r="AF1642" s="242"/>
      <c r="AG1642" s="242"/>
      <c r="AH1642" s="242"/>
      <c r="AI1642" s="242"/>
      <c r="AJ1642" s="242"/>
      <c r="AK1642" s="242"/>
      <c r="AL1642" s="242"/>
      <c r="AM1642" s="242"/>
      <c r="AN1642" s="242"/>
      <c r="AO1642" s="242"/>
      <c r="AP1642" s="242"/>
      <c r="AQ1642" s="242"/>
      <c r="AR1642" s="242"/>
      <c r="AS1642" s="242"/>
      <c r="AT1642" s="242"/>
    </row>
    <row r="1643" spans="1:46" ht="45" customHeight="1">
      <c r="A1643" s="243"/>
      <c r="B1643" s="241"/>
      <c r="C1643" s="66"/>
      <c r="D1643" s="15"/>
      <c r="E1643" s="15"/>
      <c r="F1643" s="242"/>
      <c r="G1643" s="242"/>
      <c r="H1643" s="242"/>
      <c r="I1643" s="242"/>
      <c r="J1643" s="242"/>
      <c r="K1643" s="242"/>
      <c r="L1643" s="242"/>
      <c r="M1643" s="242"/>
      <c r="N1643" s="242"/>
      <c r="O1643" s="242"/>
      <c r="P1643" s="242"/>
      <c r="Q1643" s="242"/>
      <c r="R1643" s="226"/>
      <c r="S1643" s="30">
        <f t="shared" si="9"/>
        <v>0</v>
      </c>
      <c r="T1643" s="243"/>
      <c r="U1643" s="242"/>
      <c r="V1643" s="242"/>
      <c r="W1643" s="242"/>
      <c r="X1643" s="242"/>
      <c r="Y1643" s="241"/>
      <c r="Z1643" s="242"/>
      <c r="AA1643" s="135"/>
      <c r="AB1643" s="241"/>
      <c r="AC1643" s="242"/>
      <c r="AD1643" s="242"/>
      <c r="AE1643" s="242"/>
      <c r="AF1643" s="242"/>
      <c r="AG1643" s="242"/>
      <c r="AH1643" s="242"/>
      <c r="AI1643" s="242"/>
      <c r="AJ1643" s="242"/>
      <c r="AK1643" s="242"/>
      <c r="AL1643" s="242"/>
      <c r="AM1643" s="242"/>
      <c r="AN1643" s="242"/>
      <c r="AO1643" s="242"/>
      <c r="AP1643" s="242"/>
      <c r="AQ1643" s="242"/>
      <c r="AR1643" s="242"/>
      <c r="AS1643" s="242"/>
      <c r="AT1643" s="242"/>
    </row>
    <row r="1644" spans="1:46" ht="45" customHeight="1">
      <c r="A1644" s="243"/>
      <c r="B1644" s="241"/>
      <c r="C1644" s="66"/>
      <c r="D1644" s="15"/>
      <c r="E1644" s="15"/>
      <c r="F1644" s="242"/>
      <c r="G1644" s="242"/>
      <c r="H1644" s="242"/>
      <c r="I1644" s="242"/>
      <c r="J1644" s="242"/>
      <c r="K1644" s="242"/>
      <c r="L1644" s="242"/>
      <c r="M1644" s="242"/>
      <c r="N1644" s="242"/>
      <c r="O1644" s="242"/>
      <c r="P1644" s="242"/>
      <c r="Q1644" s="242"/>
      <c r="R1644" s="226"/>
      <c r="S1644" s="30">
        <f t="shared" si="9"/>
        <v>0</v>
      </c>
      <c r="T1644" s="243"/>
      <c r="U1644" s="242"/>
      <c r="V1644" s="242"/>
      <c r="W1644" s="242"/>
      <c r="X1644" s="242"/>
      <c r="Y1644" s="241"/>
      <c r="Z1644" s="242"/>
      <c r="AA1644" s="135"/>
      <c r="AB1644" s="241"/>
      <c r="AC1644" s="242"/>
      <c r="AD1644" s="242"/>
      <c r="AE1644" s="242"/>
      <c r="AF1644" s="242"/>
      <c r="AG1644" s="242"/>
      <c r="AH1644" s="242"/>
      <c r="AI1644" s="242"/>
      <c r="AJ1644" s="242"/>
      <c r="AK1644" s="242"/>
      <c r="AL1644" s="242"/>
      <c r="AM1644" s="242"/>
      <c r="AN1644" s="242"/>
      <c r="AO1644" s="242"/>
      <c r="AP1644" s="242"/>
      <c r="AQ1644" s="242"/>
      <c r="AR1644" s="242"/>
      <c r="AS1644" s="242"/>
      <c r="AT1644" s="242"/>
    </row>
    <row r="1645" spans="1:46" ht="45" customHeight="1">
      <c r="A1645" s="243"/>
      <c r="B1645" s="241"/>
      <c r="C1645" s="66"/>
      <c r="D1645" s="15"/>
      <c r="E1645" s="15"/>
      <c r="F1645" s="242"/>
      <c r="G1645" s="242"/>
      <c r="H1645" s="242"/>
      <c r="I1645" s="242"/>
      <c r="J1645" s="242"/>
      <c r="K1645" s="242"/>
      <c r="L1645" s="242"/>
      <c r="M1645" s="242"/>
      <c r="N1645" s="242"/>
      <c r="O1645" s="242"/>
      <c r="P1645" s="242"/>
      <c r="Q1645" s="242"/>
      <c r="R1645" s="226"/>
      <c r="S1645" s="30">
        <f t="shared" si="9"/>
        <v>0</v>
      </c>
      <c r="T1645" s="243"/>
      <c r="U1645" s="242"/>
      <c r="V1645" s="242"/>
      <c r="W1645" s="242"/>
      <c r="X1645" s="242"/>
      <c r="Y1645" s="241"/>
      <c r="Z1645" s="242"/>
      <c r="AA1645" s="135"/>
      <c r="AB1645" s="241"/>
      <c r="AC1645" s="242"/>
      <c r="AD1645" s="242"/>
      <c r="AE1645" s="242"/>
      <c r="AF1645" s="242"/>
      <c r="AG1645" s="242"/>
      <c r="AH1645" s="242"/>
      <c r="AI1645" s="242"/>
      <c r="AJ1645" s="242"/>
      <c r="AK1645" s="242"/>
      <c r="AL1645" s="242"/>
      <c r="AM1645" s="242"/>
      <c r="AN1645" s="242"/>
      <c r="AO1645" s="242"/>
      <c r="AP1645" s="242"/>
      <c r="AQ1645" s="242"/>
      <c r="AR1645" s="242"/>
      <c r="AS1645" s="242"/>
      <c r="AT1645" s="242"/>
    </row>
    <row r="1646" spans="1:46" ht="45" customHeight="1">
      <c r="A1646" s="243"/>
      <c r="B1646" s="241"/>
      <c r="C1646" s="66"/>
      <c r="D1646" s="15"/>
      <c r="E1646" s="15"/>
      <c r="F1646" s="242"/>
      <c r="G1646" s="242"/>
      <c r="H1646" s="242"/>
      <c r="I1646" s="242"/>
      <c r="J1646" s="242"/>
      <c r="K1646" s="242"/>
      <c r="L1646" s="242"/>
      <c r="M1646" s="242"/>
      <c r="N1646" s="242"/>
      <c r="O1646" s="242"/>
      <c r="P1646" s="242"/>
      <c r="Q1646" s="242"/>
      <c r="R1646" s="226"/>
      <c r="S1646" s="30">
        <f t="shared" si="9"/>
        <v>0</v>
      </c>
      <c r="T1646" s="243"/>
      <c r="U1646" s="242"/>
      <c r="V1646" s="242"/>
      <c r="W1646" s="242"/>
      <c r="X1646" s="242"/>
      <c r="Y1646" s="241"/>
      <c r="Z1646" s="242"/>
      <c r="AA1646" s="135"/>
      <c r="AB1646" s="241"/>
      <c r="AC1646" s="242"/>
      <c r="AD1646" s="242"/>
      <c r="AE1646" s="242"/>
      <c r="AF1646" s="242"/>
      <c r="AG1646" s="242"/>
      <c r="AH1646" s="242"/>
      <c r="AI1646" s="242"/>
      <c r="AJ1646" s="242"/>
      <c r="AK1646" s="242"/>
      <c r="AL1646" s="242"/>
      <c r="AM1646" s="242"/>
      <c r="AN1646" s="242"/>
      <c r="AO1646" s="242"/>
      <c r="AP1646" s="242"/>
      <c r="AQ1646" s="242"/>
      <c r="AR1646" s="242"/>
      <c r="AS1646" s="242"/>
      <c r="AT1646" s="242"/>
    </row>
    <row r="1647" spans="1:46" ht="45" customHeight="1">
      <c r="A1647" s="243"/>
      <c r="B1647" s="241"/>
      <c r="C1647" s="66"/>
      <c r="D1647" s="15"/>
      <c r="E1647" s="15"/>
      <c r="F1647" s="242"/>
      <c r="G1647" s="242"/>
      <c r="H1647" s="242"/>
      <c r="I1647" s="242"/>
      <c r="J1647" s="242"/>
      <c r="K1647" s="242"/>
      <c r="L1647" s="242"/>
      <c r="M1647" s="242"/>
      <c r="N1647" s="242"/>
      <c r="O1647" s="242"/>
      <c r="P1647" s="242"/>
      <c r="Q1647" s="242"/>
      <c r="R1647" s="226"/>
      <c r="S1647" s="30">
        <f t="shared" si="9"/>
        <v>0</v>
      </c>
      <c r="T1647" s="243"/>
      <c r="U1647" s="242"/>
      <c r="V1647" s="242"/>
      <c r="W1647" s="242"/>
      <c r="X1647" s="242"/>
      <c r="Y1647" s="241"/>
      <c r="Z1647" s="242"/>
      <c r="AA1647" s="135"/>
      <c r="AB1647" s="241"/>
      <c r="AC1647" s="242"/>
      <c r="AD1647" s="242"/>
      <c r="AE1647" s="242"/>
      <c r="AF1647" s="242"/>
      <c r="AG1647" s="242"/>
      <c r="AH1647" s="242"/>
      <c r="AI1647" s="242"/>
      <c r="AJ1647" s="242"/>
      <c r="AK1647" s="242"/>
      <c r="AL1647" s="242"/>
      <c r="AM1647" s="242"/>
      <c r="AN1647" s="242"/>
      <c r="AO1647" s="242"/>
      <c r="AP1647" s="242"/>
      <c r="AQ1647" s="242"/>
      <c r="AR1647" s="242"/>
      <c r="AS1647" s="242"/>
      <c r="AT1647" s="242"/>
    </row>
    <row r="1648" spans="1:46" ht="45" customHeight="1">
      <c r="A1648" s="243"/>
      <c r="B1648" s="241"/>
      <c r="C1648" s="66"/>
      <c r="D1648" s="15"/>
      <c r="E1648" s="15"/>
      <c r="F1648" s="242"/>
      <c r="G1648" s="242"/>
      <c r="H1648" s="242"/>
      <c r="I1648" s="242"/>
      <c r="J1648" s="242"/>
      <c r="K1648" s="242"/>
      <c r="L1648" s="242"/>
      <c r="M1648" s="242"/>
      <c r="N1648" s="242"/>
      <c r="O1648" s="242"/>
      <c r="P1648" s="242"/>
      <c r="Q1648" s="242"/>
      <c r="R1648" s="226"/>
      <c r="S1648" s="30">
        <f t="shared" si="9"/>
        <v>0</v>
      </c>
      <c r="T1648" s="243"/>
      <c r="U1648" s="242"/>
      <c r="V1648" s="242"/>
      <c r="W1648" s="242"/>
      <c r="X1648" s="242"/>
      <c r="Y1648" s="241"/>
      <c r="Z1648" s="242"/>
      <c r="AA1648" s="135"/>
      <c r="AB1648" s="241"/>
      <c r="AC1648" s="242"/>
      <c r="AD1648" s="242"/>
      <c r="AE1648" s="242"/>
      <c r="AF1648" s="242"/>
      <c r="AG1648" s="242"/>
      <c r="AH1648" s="242"/>
      <c r="AI1648" s="242"/>
      <c r="AJ1648" s="242"/>
      <c r="AK1648" s="242"/>
      <c r="AL1648" s="242"/>
      <c r="AM1648" s="242"/>
      <c r="AN1648" s="242"/>
      <c r="AO1648" s="242"/>
      <c r="AP1648" s="242"/>
      <c r="AQ1648" s="242"/>
      <c r="AR1648" s="242"/>
      <c r="AS1648" s="242"/>
      <c r="AT1648" s="242"/>
    </row>
    <row r="1649" spans="1:46" ht="45" customHeight="1">
      <c r="A1649" s="243"/>
      <c r="B1649" s="241"/>
      <c r="C1649" s="66"/>
      <c r="D1649" s="15"/>
      <c r="E1649" s="15"/>
      <c r="F1649" s="242"/>
      <c r="G1649" s="242"/>
      <c r="H1649" s="242"/>
      <c r="I1649" s="242"/>
      <c r="J1649" s="242"/>
      <c r="K1649" s="242"/>
      <c r="L1649" s="242"/>
      <c r="M1649" s="242"/>
      <c r="N1649" s="242"/>
      <c r="O1649" s="242"/>
      <c r="P1649" s="242"/>
      <c r="Q1649" s="242"/>
      <c r="R1649" s="226"/>
      <c r="S1649" s="30">
        <f t="shared" si="9"/>
        <v>0</v>
      </c>
      <c r="T1649" s="243"/>
      <c r="U1649" s="242"/>
      <c r="V1649" s="242"/>
      <c r="W1649" s="242"/>
      <c r="X1649" s="242"/>
      <c r="Y1649" s="241"/>
      <c r="Z1649" s="242"/>
      <c r="AA1649" s="135"/>
      <c r="AB1649" s="241"/>
      <c r="AC1649" s="242"/>
      <c r="AD1649" s="242"/>
      <c r="AE1649" s="242"/>
      <c r="AF1649" s="242"/>
      <c r="AG1649" s="242"/>
      <c r="AH1649" s="242"/>
      <c r="AI1649" s="242"/>
      <c r="AJ1649" s="242"/>
      <c r="AK1649" s="242"/>
      <c r="AL1649" s="242"/>
      <c r="AM1649" s="242"/>
      <c r="AN1649" s="242"/>
      <c r="AO1649" s="242"/>
      <c r="AP1649" s="242"/>
      <c r="AQ1649" s="242"/>
      <c r="AR1649" s="242"/>
      <c r="AS1649" s="242"/>
      <c r="AT1649" s="242"/>
    </row>
    <row r="1650" spans="1:46" ht="45" customHeight="1">
      <c r="A1650" s="243"/>
      <c r="B1650" s="241"/>
      <c r="C1650" s="66"/>
      <c r="D1650" s="15"/>
      <c r="E1650" s="15"/>
      <c r="F1650" s="242"/>
      <c r="G1650" s="242"/>
      <c r="H1650" s="242"/>
      <c r="I1650" s="242"/>
      <c r="J1650" s="242"/>
      <c r="K1650" s="242"/>
      <c r="L1650" s="242"/>
      <c r="M1650" s="242"/>
      <c r="N1650" s="242"/>
      <c r="O1650" s="242"/>
      <c r="P1650" s="242"/>
      <c r="Q1650" s="242"/>
      <c r="R1650" s="226"/>
      <c r="S1650" s="30">
        <f t="shared" si="9"/>
        <v>0</v>
      </c>
      <c r="T1650" s="243"/>
      <c r="U1650" s="242"/>
      <c r="V1650" s="242"/>
      <c r="W1650" s="242"/>
      <c r="X1650" s="242"/>
      <c r="Y1650" s="241"/>
      <c r="Z1650" s="242"/>
      <c r="AA1650" s="135"/>
      <c r="AB1650" s="241"/>
      <c r="AC1650" s="242"/>
      <c r="AD1650" s="242"/>
      <c r="AE1650" s="242"/>
      <c r="AF1650" s="242"/>
      <c r="AG1650" s="242"/>
      <c r="AH1650" s="242"/>
      <c r="AI1650" s="242"/>
      <c r="AJ1650" s="242"/>
      <c r="AK1650" s="242"/>
      <c r="AL1650" s="242"/>
      <c r="AM1650" s="242"/>
      <c r="AN1650" s="242"/>
      <c r="AO1650" s="242"/>
      <c r="AP1650" s="242"/>
      <c r="AQ1650" s="242"/>
      <c r="AR1650" s="242"/>
      <c r="AS1650" s="242"/>
      <c r="AT1650" s="242"/>
    </row>
    <row r="1651" spans="1:46" ht="45" customHeight="1">
      <c r="A1651" s="243"/>
      <c r="B1651" s="241"/>
      <c r="C1651" s="66"/>
      <c r="D1651" s="15"/>
      <c r="E1651" s="15"/>
      <c r="F1651" s="242"/>
      <c r="G1651" s="242"/>
      <c r="H1651" s="242"/>
      <c r="I1651" s="242"/>
      <c r="J1651" s="242"/>
      <c r="K1651" s="242"/>
      <c r="L1651" s="242"/>
      <c r="M1651" s="242"/>
      <c r="N1651" s="242"/>
      <c r="O1651" s="242"/>
      <c r="P1651" s="242"/>
      <c r="Q1651" s="242"/>
      <c r="R1651" s="226"/>
      <c r="S1651" s="30">
        <f t="shared" si="9"/>
        <v>0</v>
      </c>
      <c r="T1651" s="243"/>
      <c r="U1651" s="242"/>
      <c r="V1651" s="242"/>
      <c r="W1651" s="242"/>
      <c r="X1651" s="242"/>
      <c r="Y1651" s="241"/>
      <c r="Z1651" s="242"/>
      <c r="AA1651" s="135"/>
      <c r="AB1651" s="241"/>
      <c r="AC1651" s="242"/>
      <c r="AD1651" s="242"/>
      <c r="AE1651" s="242"/>
      <c r="AF1651" s="242"/>
      <c r="AG1651" s="242"/>
      <c r="AH1651" s="242"/>
      <c r="AI1651" s="242"/>
      <c r="AJ1651" s="242"/>
      <c r="AK1651" s="242"/>
      <c r="AL1651" s="242"/>
      <c r="AM1651" s="242"/>
      <c r="AN1651" s="242"/>
      <c r="AO1651" s="242"/>
      <c r="AP1651" s="242"/>
      <c r="AQ1651" s="242"/>
      <c r="AR1651" s="242"/>
      <c r="AS1651" s="242"/>
      <c r="AT1651" s="242"/>
    </row>
    <row r="1652" spans="1:46" ht="45" customHeight="1">
      <c r="A1652" s="243"/>
      <c r="B1652" s="241"/>
      <c r="C1652" s="66"/>
      <c r="D1652" s="15"/>
      <c r="E1652" s="15"/>
      <c r="F1652" s="242"/>
      <c r="G1652" s="242"/>
      <c r="H1652" s="242"/>
      <c r="I1652" s="242"/>
      <c r="J1652" s="242"/>
      <c r="K1652" s="242"/>
      <c r="L1652" s="242"/>
      <c r="M1652" s="242"/>
      <c r="N1652" s="242"/>
      <c r="O1652" s="242"/>
      <c r="P1652" s="242"/>
      <c r="Q1652" s="242"/>
      <c r="R1652" s="226"/>
      <c r="S1652" s="30">
        <f t="shared" si="9"/>
        <v>0</v>
      </c>
      <c r="T1652" s="243"/>
      <c r="U1652" s="242"/>
      <c r="V1652" s="242"/>
      <c r="W1652" s="242"/>
      <c r="X1652" s="242"/>
      <c r="Y1652" s="241"/>
      <c r="Z1652" s="242"/>
      <c r="AA1652" s="135"/>
      <c r="AB1652" s="241"/>
      <c r="AC1652" s="242"/>
      <c r="AD1652" s="242"/>
      <c r="AE1652" s="242"/>
      <c r="AF1652" s="242"/>
      <c r="AG1652" s="242"/>
      <c r="AH1652" s="242"/>
      <c r="AI1652" s="242"/>
      <c r="AJ1652" s="242"/>
      <c r="AK1652" s="242"/>
      <c r="AL1652" s="242"/>
      <c r="AM1652" s="242"/>
      <c r="AN1652" s="242"/>
      <c r="AO1652" s="242"/>
      <c r="AP1652" s="242"/>
      <c r="AQ1652" s="242"/>
      <c r="AR1652" s="242"/>
      <c r="AS1652" s="242"/>
      <c r="AT1652" s="242"/>
    </row>
    <row r="1653" spans="1:46" ht="45" customHeight="1">
      <c r="A1653" s="243"/>
      <c r="B1653" s="241"/>
      <c r="C1653" s="66"/>
      <c r="D1653" s="15"/>
      <c r="E1653" s="15"/>
      <c r="F1653" s="242"/>
      <c r="G1653" s="242"/>
      <c r="H1653" s="242"/>
      <c r="I1653" s="242"/>
      <c r="J1653" s="242"/>
      <c r="K1653" s="242"/>
      <c r="L1653" s="242"/>
      <c r="M1653" s="242"/>
      <c r="N1653" s="242"/>
      <c r="O1653" s="242"/>
      <c r="P1653" s="242"/>
      <c r="Q1653" s="242"/>
      <c r="R1653" s="226"/>
      <c r="S1653" s="30">
        <f t="shared" si="9"/>
        <v>0</v>
      </c>
      <c r="T1653" s="243"/>
      <c r="U1653" s="242"/>
      <c r="V1653" s="242"/>
      <c r="W1653" s="242"/>
      <c r="X1653" s="242"/>
      <c r="Y1653" s="241"/>
      <c r="Z1653" s="242"/>
      <c r="AA1653" s="135"/>
      <c r="AB1653" s="241"/>
      <c r="AC1653" s="242"/>
      <c r="AD1653" s="242"/>
      <c r="AE1653" s="242"/>
      <c r="AF1653" s="242"/>
      <c r="AG1653" s="242"/>
      <c r="AH1653" s="242"/>
      <c r="AI1653" s="242"/>
      <c r="AJ1653" s="242"/>
      <c r="AK1653" s="242"/>
      <c r="AL1653" s="242"/>
      <c r="AM1653" s="242"/>
      <c r="AN1653" s="242"/>
      <c r="AO1653" s="242"/>
      <c r="AP1653" s="242"/>
      <c r="AQ1653" s="242"/>
      <c r="AR1653" s="242"/>
      <c r="AS1653" s="242"/>
      <c r="AT1653" s="242"/>
    </row>
    <row r="1654" spans="1:46" ht="45" customHeight="1">
      <c r="A1654" s="243"/>
      <c r="B1654" s="241"/>
      <c r="C1654" s="66"/>
      <c r="D1654" s="15"/>
      <c r="E1654" s="15"/>
      <c r="F1654" s="242"/>
      <c r="G1654" s="242"/>
      <c r="H1654" s="242"/>
      <c r="I1654" s="242"/>
      <c r="J1654" s="242"/>
      <c r="K1654" s="242"/>
      <c r="L1654" s="242"/>
      <c r="M1654" s="242"/>
      <c r="N1654" s="242"/>
      <c r="O1654" s="242"/>
      <c r="P1654" s="242"/>
      <c r="Q1654" s="242"/>
      <c r="R1654" s="226"/>
      <c r="S1654" s="30">
        <f t="shared" si="9"/>
        <v>0</v>
      </c>
      <c r="T1654" s="243"/>
      <c r="U1654" s="242"/>
      <c r="V1654" s="242"/>
      <c r="W1654" s="242"/>
      <c r="X1654" s="242"/>
      <c r="Y1654" s="241"/>
      <c r="Z1654" s="242"/>
      <c r="AA1654" s="135"/>
      <c r="AB1654" s="241"/>
      <c r="AC1654" s="242"/>
      <c r="AD1654" s="242"/>
      <c r="AE1654" s="242"/>
      <c r="AF1654" s="242"/>
      <c r="AG1654" s="242"/>
      <c r="AH1654" s="242"/>
      <c r="AI1654" s="242"/>
      <c r="AJ1654" s="242"/>
      <c r="AK1654" s="242"/>
      <c r="AL1654" s="242"/>
      <c r="AM1654" s="242"/>
      <c r="AN1654" s="242"/>
      <c r="AO1654" s="242"/>
      <c r="AP1654" s="242"/>
      <c r="AQ1654" s="242"/>
      <c r="AR1654" s="242"/>
      <c r="AS1654" s="242"/>
      <c r="AT1654" s="242"/>
    </row>
    <row r="1655" spans="1:46" ht="45" customHeight="1">
      <c r="A1655" s="243"/>
      <c r="B1655" s="241"/>
      <c r="C1655" s="66"/>
      <c r="D1655" s="15"/>
      <c r="E1655" s="15"/>
      <c r="F1655" s="242"/>
      <c r="G1655" s="242"/>
      <c r="H1655" s="242"/>
      <c r="I1655" s="242"/>
      <c r="J1655" s="242"/>
      <c r="K1655" s="242"/>
      <c r="L1655" s="242"/>
      <c r="M1655" s="242"/>
      <c r="N1655" s="242"/>
      <c r="O1655" s="242"/>
      <c r="P1655" s="242"/>
      <c r="Q1655" s="242"/>
      <c r="R1655" s="226"/>
      <c r="S1655" s="30">
        <f t="shared" si="9"/>
        <v>0</v>
      </c>
      <c r="T1655" s="243"/>
      <c r="U1655" s="242"/>
      <c r="V1655" s="242"/>
      <c r="W1655" s="242"/>
      <c r="X1655" s="242"/>
      <c r="Y1655" s="241"/>
      <c r="Z1655" s="242"/>
      <c r="AA1655" s="135"/>
      <c r="AB1655" s="241"/>
      <c r="AC1655" s="242"/>
      <c r="AD1655" s="242"/>
      <c r="AE1655" s="242"/>
      <c r="AF1655" s="242"/>
      <c r="AG1655" s="242"/>
      <c r="AH1655" s="242"/>
      <c r="AI1655" s="242"/>
      <c r="AJ1655" s="242"/>
      <c r="AK1655" s="242"/>
      <c r="AL1655" s="242"/>
      <c r="AM1655" s="242"/>
      <c r="AN1655" s="242"/>
      <c r="AO1655" s="242"/>
      <c r="AP1655" s="242"/>
      <c r="AQ1655" s="242"/>
      <c r="AR1655" s="242"/>
      <c r="AS1655" s="242"/>
      <c r="AT1655" s="242"/>
    </row>
    <row r="1656" spans="1:46" ht="45" customHeight="1">
      <c r="A1656" s="243"/>
      <c r="B1656" s="241"/>
      <c r="C1656" s="66"/>
      <c r="D1656" s="15"/>
      <c r="E1656" s="15"/>
      <c r="F1656" s="242"/>
      <c r="G1656" s="242"/>
      <c r="H1656" s="242"/>
      <c r="I1656" s="242"/>
      <c r="J1656" s="242"/>
      <c r="K1656" s="242"/>
      <c r="L1656" s="242"/>
      <c r="M1656" s="242"/>
      <c r="N1656" s="242"/>
      <c r="O1656" s="242"/>
      <c r="P1656" s="242"/>
      <c r="Q1656" s="242"/>
      <c r="R1656" s="226"/>
      <c r="S1656" s="30">
        <f t="shared" si="9"/>
        <v>0</v>
      </c>
      <c r="T1656" s="243"/>
      <c r="U1656" s="242"/>
      <c r="V1656" s="242"/>
      <c r="W1656" s="242"/>
      <c r="X1656" s="242"/>
      <c r="Y1656" s="241"/>
      <c r="Z1656" s="242"/>
      <c r="AA1656" s="135"/>
      <c r="AB1656" s="241"/>
      <c r="AC1656" s="242"/>
      <c r="AD1656" s="242"/>
      <c r="AE1656" s="242"/>
      <c r="AF1656" s="242"/>
      <c r="AG1656" s="242"/>
      <c r="AH1656" s="242"/>
      <c r="AI1656" s="242"/>
      <c r="AJ1656" s="242"/>
      <c r="AK1656" s="242"/>
      <c r="AL1656" s="242"/>
      <c r="AM1656" s="242"/>
      <c r="AN1656" s="242"/>
      <c r="AO1656" s="242"/>
      <c r="AP1656" s="242"/>
      <c r="AQ1656" s="242"/>
      <c r="AR1656" s="242"/>
      <c r="AS1656" s="242"/>
      <c r="AT1656" s="242"/>
    </row>
    <row r="1657" spans="1:46" ht="45" customHeight="1">
      <c r="A1657" s="243"/>
      <c r="B1657" s="241"/>
      <c r="C1657" s="66"/>
      <c r="D1657" s="15"/>
      <c r="E1657" s="15"/>
      <c r="F1657" s="242"/>
      <c r="G1657" s="242"/>
      <c r="H1657" s="242"/>
      <c r="I1657" s="242"/>
      <c r="J1657" s="242"/>
      <c r="K1657" s="242"/>
      <c r="L1657" s="242"/>
      <c r="M1657" s="242"/>
      <c r="N1657" s="242"/>
      <c r="O1657" s="242"/>
      <c r="P1657" s="242"/>
      <c r="Q1657" s="242"/>
      <c r="R1657" s="226"/>
      <c r="S1657" s="30">
        <f t="shared" si="9"/>
        <v>0</v>
      </c>
      <c r="T1657" s="243"/>
      <c r="U1657" s="242"/>
      <c r="V1657" s="242"/>
      <c r="W1657" s="242"/>
      <c r="X1657" s="242"/>
      <c r="Y1657" s="241"/>
      <c r="Z1657" s="242"/>
      <c r="AA1657" s="135"/>
      <c r="AB1657" s="241"/>
      <c r="AC1657" s="242"/>
      <c r="AD1657" s="242"/>
      <c r="AE1657" s="242"/>
      <c r="AF1657" s="242"/>
      <c r="AG1657" s="242"/>
      <c r="AH1657" s="242"/>
      <c r="AI1657" s="242"/>
      <c r="AJ1657" s="242"/>
      <c r="AK1657" s="242"/>
      <c r="AL1657" s="242"/>
      <c r="AM1657" s="242"/>
      <c r="AN1657" s="242"/>
      <c r="AO1657" s="242"/>
      <c r="AP1657" s="242"/>
      <c r="AQ1657" s="242"/>
      <c r="AR1657" s="242"/>
      <c r="AS1657" s="242"/>
      <c r="AT1657" s="242"/>
    </row>
    <row r="1658" spans="1:46" ht="45" customHeight="1">
      <c r="A1658" s="243"/>
      <c r="B1658" s="241"/>
      <c r="C1658" s="66"/>
      <c r="D1658" s="15"/>
      <c r="E1658" s="15"/>
      <c r="F1658" s="242"/>
      <c r="G1658" s="242"/>
      <c r="H1658" s="242"/>
      <c r="I1658" s="242"/>
      <c r="J1658" s="242"/>
      <c r="K1658" s="242"/>
      <c r="L1658" s="242"/>
      <c r="M1658" s="242"/>
      <c r="N1658" s="242"/>
      <c r="O1658" s="242"/>
      <c r="P1658" s="242"/>
      <c r="Q1658" s="242"/>
      <c r="R1658" s="226"/>
      <c r="S1658" s="30">
        <f t="shared" si="9"/>
        <v>0</v>
      </c>
      <c r="T1658" s="243"/>
      <c r="U1658" s="242"/>
      <c r="V1658" s="242"/>
      <c r="W1658" s="242"/>
      <c r="X1658" s="242"/>
      <c r="Y1658" s="241"/>
      <c r="Z1658" s="242"/>
      <c r="AA1658" s="135"/>
      <c r="AB1658" s="241"/>
      <c r="AC1658" s="242"/>
      <c r="AD1658" s="242"/>
      <c r="AE1658" s="242"/>
      <c r="AF1658" s="242"/>
      <c r="AG1658" s="242"/>
      <c r="AH1658" s="242"/>
      <c r="AI1658" s="242"/>
      <c r="AJ1658" s="242"/>
      <c r="AK1658" s="242"/>
      <c r="AL1658" s="242"/>
      <c r="AM1658" s="242"/>
      <c r="AN1658" s="242"/>
      <c r="AO1658" s="242"/>
      <c r="AP1658" s="242"/>
      <c r="AQ1658" s="242"/>
      <c r="AR1658" s="242"/>
      <c r="AS1658" s="242"/>
      <c r="AT1658" s="242"/>
    </row>
    <row r="1659" spans="1:46" ht="45" customHeight="1">
      <c r="A1659" s="243"/>
      <c r="B1659" s="241"/>
      <c r="C1659" s="66"/>
      <c r="D1659" s="15"/>
      <c r="E1659" s="15"/>
      <c r="F1659" s="242"/>
      <c r="G1659" s="242"/>
      <c r="H1659" s="242"/>
      <c r="I1659" s="242"/>
      <c r="J1659" s="242"/>
      <c r="K1659" s="242"/>
      <c r="L1659" s="242"/>
      <c r="M1659" s="242"/>
      <c r="N1659" s="242"/>
      <c r="O1659" s="242"/>
      <c r="P1659" s="242"/>
      <c r="Q1659" s="242"/>
      <c r="R1659" s="226"/>
      <c r="S1659" s="30">
        <f t="shared" si="9"/>
        <v>0</v>
      </c>
      <c r="T1659" s="243"/>
      <c r="U1659" s="242"/>
      <c r="V1659" s="242"/>
      <c r="W1659" s="242"/>
      <c r="X1659" s="242"/>
      <c r="Y1659" s="241"/>
      <c r="Z1659" s="242"/>
      <c r="AA1659" s="135"/>
      <c r="AB1659" s="241"/>
      <c r="AC1659" s="242"/>
      <c r="AD1659" s="242"/>
      <c r="AE1659" s="242"/>
      <c r="AF1659" s="242"/>
      <c r="AG1659" s="242"/>
      <c r="AH1659" s="242"/>
      <c r="AI1659" s="242"/>
      <c r="AJ1659" s="242"/>
      <c r="AK1659" s="242"/>
      <c r="AL1659" s="242"/>
      <c r="AM1659" s="242"/>
      <c r="AN1659" s="242"/>
      <c r="AO1659" s="242"/>
      <c r="AP1659" s="242"/>
      <c r="AQ1659" s="242"/>
      <c r="AR1659" s="242"/>
      <c r="AS1659" s="242"/>
      <c r="AT1659" s="242"/>
    </row>
    <row r="1660" spans="1:46" ht="45" customHeight="1">
      <c r="A1660" s="243"/>
      <c r="B1660" s="241"/>
      <c r="C1660" s="66"/>
      <c r="D1660" s="15"/>
      <c r="E1660" s="15"/>
      <c r="F1660" s="242"/>
      <c r="G1660" s="242"/>
      <c r="H1660" s="242"/>
      <c r="I1660" s="242"/>
      <c r="J1660" s="242"/>
      <c r="K1660" s="242"/>
      <c r="L1660" s="242"/>
      <c r="M1660" s="242"/>
      <c r="N1660" s="242"/>
      <c r="O1660" s="242"/>
      <c r="P1660" s="242"/>
      <c r="Q1660" s="242"/>
      <c r="R1660" s="226"/>
      <c r="S1660" s="30">
        <f t="shared" si="9"/>
        <v>0</v>
      </c>
      <c r="T1660" s="243"/>
      <c r="U1660" s="242"/>
      <c r="V1660" s="242"/>
      <c r="W1660" s="242"/>
      <c r="X1660" s="242"/>
      <c r="Y1660" s="241"/>
      <c r="Z1660" s="242"/>
      <c r="AA1660" s="135"/>
      <c r="AB1660" s="241"/>
      <c r="AC1660" s="242"/>
      <c r="AD1660" s="242"/>
      <c r="AE1660" s="242"/>
      <c r="AF1660" s="242"/>
      <c r="AG1660" s="242"/>
      <c r="AH1660" s="242"/>
      <c r="AI1660" s="242"/>
      <c r="AJ1660" s="242"/>
      <c r="AK1660" s="242"/>
      <c r="AL1660" s="242"/>
      <c r="AM1660" s="242"/>
      <c r="AN1660" s="242"/>
      <c r="AO1660" s="242"/>
      <c r="AP1660" s="242"/>
      <c r="AQ1660" s="242"/>
      <c r="AR1660" s="242"/>
      <c r="AS1660" s="242"/>
      <c r="AT1660" s="242"/>
    </row>
    <row r="1661" spans="1:46" ht="45" customHeight="1">
      <c r="A1661" s="243"/>
      <c r="B1661" s="241"/>
      <c r="C1661" s="66"/>
      <c r="D1661" s="15"/>
      <c r="E1661" s="15"/>
      <c r="F1661" s="242"/>
      <c r="G1661" s="242"/>
      <c r="H1661" s="242"/>
      <c r="I1661" s="242"/>
      <c r="J1661" s="242"/>
      <c r="K1661" s="242"/>
      <c r="L1661" s="242"/>
      <c r="M1661" s="242"/>
      <c r="N1661" s="242"/>
      <c r="O1661" s="242"/>
      <c r="P1661" s="242"/>
      <c r="Q1661" s="242"/>
      <c r="R1661" s="226"/>
      <c r="S1661" s="30">
        <f t="shared" si="9"/>
        <v>0</v>
      </c>
      <c r="T1661" s="243"/>
      <c r="U1661" s="242"/>
      <c r="V1661" s="242"/>
      <c r="W1661" s="242"/>
      <c r="X1661" s="242"/>
      <c r="Y1661" s="241"/>
      <c r="Z1661" s="242"/>
      <c r="AA1661" s="135"/>
      <c r="AB1661" s="241"/>
      <c r="AC1661" s="242"/>
      <c r="AD1661" s="242"/>
      <c r="AE1661" s="242"/>
      <c r="AF1661" s="242"/>
      <c r="AG1661" s="242"/>
      <c r="AH1661" s="242"/>
      <c r="AI1661" s="242"/>
      <c r="AJ1661" s="242"/>
      <c r="AK1661" s="242"/>
      <c r="AL1661" s="242"/>
      <c r="AM1661" s="242"/>
      <c r="AN1661" s="242"/>
      <c r="AO1661" s="242"/>
      <c r="AP1661" s="242"/>
      <c r="AQ1661" s="242"/>
      <c r="AR1661" s="242"/>
      <c r="AS1661" s="242"/>
      <c r="AT1661" s="242"/>
    </row>
    <row r="1662" spans="1:46" ht="45" customHeight="1">
      <c r="A1662" s="243"/>
      <c r="B1662" s="241"/>
      <c r="C1662" s="66"/>
      <c r="D1662" s="15"/>
      <c r="E1662" s="15"/>
      <c r="F1662" s="242"/>
      <c r="G1662" s="242"/>
      <c r="H1662" s="242"/>
      <c r="I1662" s="242"/>
      <c r="J1662" s="242"/>
      <c r="K1662" s="242"/>
      <c r="L1662" s="242"/>
      <c r="M1662" s="242"/>
      <c r="N1662" s="242"/>
      <c r="O1662" s="242"/>
      <c r="P1662" s="242"/>
      <c r="Q1662" s="242"/>
      <c r="R1662" s="226"/>
      <c r="S1662" s="30">
        <f t="shared" si="9"/>
        <v>0</v>
      </c>
      <c r="T1662" s="243"/>
      <c r="U1662" s="242"/>
      <c r="V1662" s="242"/>
      <c r="W1662" s="242"/>
      <c r="X1662" s="242"/>
      <c r="Y1662" s="241"/>
      <c r="Z1662" s="242"/>
      <c r="AA1662" s="135"/>
      <c r="AB1662" s="241"/>
      <c r="AC1662" s="242"/>
      <c r="AD1662" s="242"/>
      <c r="AE1662" s="242"/>
      <c r="AF1662" s="242"/>
      <c r="AG1662" s="242"/>
      <c r="AH1662" s="242"/>
      <c r="AI1662" s="242"/>
      <c r="AJ1662" s="242"/>
      <c r="AK1662" s="242"/>
      <c r="AL1662" s="242"/>
      <c r="AM1662" s="242"/>
      <c r="AN1662" s="242"/>
      <c r="AO1662" s="242"/>
      <c r="AP1662" s="242"/>
      <c r="AQ1662" s="242"/>
      <c r="AR1662" s="242"/>
      <c r="AS1662" s="242"/>
      <c r="AT1662" s="242"/>
    </row>
    <row r="1663" spans="1:46" ht="45" customHeight="1">
      <c r="A1663" s="243"/>
      <c r="B1663" s="241"/>
      <c r="C1663" s="66"/>
      <c r="D1663" s="15"/>
      <c r="E1663" s="15"/>
      <c r="F1663" s="242"/>
      <c r="G1663" s="242"/>
      <c r="H1663" s="242"/>
      <c r="I1663" s="242"/>
      <c r="J1663" s="242"/>
      <c r="K1663" s="242"/>
      <c r="L1663" s="242"/>
      <c r="M1663" s="242"/>
      <c r="N1663" s="242"/>
      <c r="O1663" s="242"/>
      <c r="P1663" s="242"/>
      <c r="Q1663" s="242"/>
      <c r="R1663" s="226"/>
      <c r="S1663" s="30">
        <f t="shared" si="9"/>
        <v>0</v>
      </c>
      <c r="T1663" s="243"/>
      <c r="U1663" s="242"/>
      <c r="V1663" s="242"/>
      <c r="W1663" s="242"/>
      <c r="X1663" s="242"/>
      <c r="Y1663" s="241"/>
      <c r="Z1663" s="242"/>
      <c r="AA1663" s="135"/>
      <c r="AB1663" s="241"/>
      <c r="AC1663" s="242"/>
      <c r="AD1663" s="242"/>
      <c r="AE1663" s="242"/>
      <c r="AF1663" s="242"/>
      <c r="AG1663" s="242"/>
      <c r="AH1663" s="242"/>
      <c r="AI1663" s="242"/>
      <c r="AJ1663" s="242"/>
      <c r="AK1663" s="242"/>
      <c r="AL1663" s="242"/>
      <c r="AM1663" s="242"/>
      <c r="AN1663" s="242"/>
      <c r="AO1663" s="242"/>
      <c r="AP1663" s="242"/>
      <c r="AQ1663" s="242"/>
      <c r="AR1663" s="242"/>
      <c r="AS1663" s="242"/>
      <c r="AT1663" s="242"/>
    </row>
    <row r="1664" spans="1:46" ht="45" customHeight="1">
      <c r="A1664" s="243"/>
      <c r="B1664" s="241"/>
      <c r="C1664" s="66"/>
      <c r="D1664" s="15"/>
      <c r="E1664" s="15"/>
      <c r="F1664" s="242"/>
      <c r="G1664" s="242"/>
      <c r="H1664" s="242"/>
      <c r="I1664" s="242"/>
      <c r="J1664" s="242"/>
      <c r="K1664" s="242"/>
      <c r="L1664" s="242"/>
      <c r="M1664" s="242"/>
      <c r="N1664" s="242"/>
      <c r="O1664" s="242"/>
      <c r="P1664" s="242"/>
      <c r="Q1664" s="242"/>
      <c r="R1664" s="226"/>
      <c r="S1664" s="30">
        <f t="shared" si="9"/>
        <v>0</v>
      </c>
      <c r="T1664" s="243"/>
      <c r="U1664" s="242"/>
      <c r="V1664" s="242"/>
      <c r="W1664" s="242"/>
      <c r="X1664" s="242"/>
      <c r="Y1664" s="241"/>
      <c r="Z1664" s="242"/>
      <c r="AA1664" s="135"/>
      <c r="AB1664" s="241"/>
      <c r="AC1664" s="242"/>
      <c r="AD1664" s="242"/>
      <c r="AE1664" s="242"/>
      <c r="AF1664" s="242"/>
      <c r="AG1664" s="242"/>
      <c r="AH1664" s="242"/>
      <c r="AI1664" s="242"/>
      <c r="AJ1664" s="242"/>
      <c r="AK1664" s="242"/>
      <c r="AL1664" s="242"/>
      <c r="AM1664" s="242"/>
      <c r="AN1664" s="242"/>
      <c r="AO1664" s="242"/>
      <c r="AP1664" s="242"/>
      <c r="AQ1664" s="242"/>
      <c r="AR1664" s="242"/>
      <c r="AS1664" s="242"/>
      <c r="AT1664" s="242"/>
    </row>
    <row r="1665" spans="1:46" ht="45" customHeight="1">
      <c r="A1665" s="243"/>
      <c r="B1665" s="241"/>
      <c r="C1665" s="66"/>
      <c r="D1665" s="15"/>
      <c r="E1665" s="15"/>
      <c r="F1665" s="242"/>
      <c r="G1665" s="242"/>
      <c r="H1665" s="242"/>
      <c r="I1665" s="242"/>
      <c r="J1665" s="242"/>
      <c r="K1665" s="242"/>
      <c r="L1665" s="242"/>
      <c r="M1665" s="242"/>
      <c r="N1665" s="242"/>
      <c r="O1665" s="242"/>
      <c r="P1665" s="242"/>
      <c r="Q1665" s="242"/>
      <c r="R1665" s="226"/>
      <c r="S1665" s="30">
        <f t="shared" si="9"/>
        <v>0</v>
      </c>
      <c r="T1665" s="243"/>
      <c r="U1665" s="242"/>
      <c r="V1665" s="242"/>
      <c r="W1665" s="242"/>
      <c r="X1665" s="242"/>
      <c r="Y1665" s="241"/>
      <c r="Z1665" s="242"/>
      <c r="AA1665" s="135"/>
      <c r="AB1665" s="241"/>
      <c r="AC1665" s="242"/>
      <c r="AD1665" s="242"/>
      <c r="AE1665" s="242"/>
      <c r="AF1665" s="242"/>
      <c r="AG1665" s="242"/>
      <c r="AH1665" s="242"/>
      <c r="AI1665" s="242"/>
      <c r="AJ1665" s="242"/>
      <c r="AK1665" s="242"/>
      <c r="AL1665" s="242"/>
      <c r="AM1665" s="242"/>
      <c r="AN1665" s="242"/>
      <c r="AO1665" s="242"/>
      <c r="AP1665" s="242"/>
      <c r="AQ1665" s="242"/>
      <c r="AR1665" s="242"/>
      <c r="AS1665" s="242"/>
      <c r="AT1665" s="242"/>
    </row>
    <row r="1666" spans="1:46" ht="45" customHeight="1">
      <c r="A1666" s="243"/>
      <c r="B1666" s="241"/>
      <c r="C1666" s="66"/>
      <c r="D1666" s="15"/>
      <c r="E1666" s="15"/>
      <c r="F1666" s="242"/>
      <c r="G1666" s="242"/>
      <c r="H1666" s="242"/>
      <c r="I1666" s="242"/>
      <c r="J1666" s="242"/>
      <c r="K1666" s="242"/>
      <c r="L1666" s="242"/>
      <c r="M1666" s="242"/>
      <c r="N1666" s="242"/>
      <c r="O1666" s="242"/>
      <c r="P1666" s="242"/>
      <c r="Q1666" s="242"/>
      <c r="R1666" s="226"/>
      <c r="S1666" s="30">
        <f t="shared" si="9"/>
        <v>0</v>
      </c>
      <c r="T1666" s="243"/>
      <c r="U1666" s="242"/>
      <c r="V1666" s="242"/>
      <c r="W1666" s="242"/>
      <c r="X1666" s="242"/>
      <c r="Y1666" s="241"/>
      <c r="Z1666" s="242"/>
      <c r="AA1666" s="135"/>
      <c r="AB1666" s="241"/>
      <c r="AC1666" s="242"/>
      <c r="AD1666" s="242"/>
      <c r="AE1666" s="242"/>
      <c r="AF1666" s="242"/>
      <c r="AG1666" s="242"/>
      <c r="AH1666" s="242"/>
      <c r="AI1666" s="242"/>
      <c r="AJ1666" s="242"/>
      <c r="AK1666" s="242"/>
      <c r="AL1666" s="242"/>
      <c r="AM1666" s="242"/>
      <c r="AN1666" s="242"/>
      <c r="AO1666" s="242"/>
      <c r="AP1666" s="242"/>
      <c r="AQ1666" s="242"/>
      <c r="AR1666" s="242"/>
      <c r="AS1666" s="242"/>
      <c r="AT1666" s="242"/>
    </row>
    <row r="1667" spans="1:46" ht="45" customHeight="1">
      <c r="A1667" s="243"/>
      <c r="B1667" s="241"/>
      <c r="C1667" s="66"/>
      <c r="D1667" s="15"/>
      <c r="E1667" s="15"/>
      <c r="F1667" s="242"/>
      <c r="G1667" s="242"/>
      <c r="H1667" s="242"/>
      <c r="I1667" s="242"/>
      <c r="J1667" s="242"/>
      <c r="K1667" s="242"/>
      <c r="L1667" s="242"/>
      <c r="M1667" s="242"/>
      <c r="N1667" s="242"/>
      <c r="O1667" s="242"/>
      <c r="P1667" s="242"/>
      <c r="Q1667" s="242"/>
      <c r="R1667" s="226"/>
      <c r="S1667" s="30">
        <f t="shared" si="9"/>
        <v>0</v>
      </c>
      <c r="T1667" s="243"/>
      <c r="U1667" s="242"/>
      <c r="V1667" s="242"/>
      <c r="W1667" s="242"/>
      <c r="X1667" s="242"/>
      <c r="Y1667" s="241"/>
      <c r="Z1667" s="242"/>
      <c r="AA1667" s="135"/>
      <c r="AB1667" s="241"/>
      <c r="AC1667" s="242"/>
      <c r="AD1667" s="242"/>
      <c r="AE1667" s="242"/>
      <c r="AF1667" s="242"/>
      <c r="AG1667" s="242"/>
      <c r="AH1667" s="242"/>
      <c r="AI1667" s="242"/>
      <c r="AJ1667" s="242"/>
      <c r="AK1667" s="242"/>
      <c r="AL1667" s="242"/>
      <c r="AM1667" s="242"/>
      <c r="AN1667" s="242"/>
      <c r="AO1667" s="242"/>
      <c r="AP1667" s="242"/>
      <c r="AQ1667" s="242"/>
      <c r="AR1667" s="242"/>
      <c r="AS1667" s="242"/>
      <c r="AT1667" s="242"/>
    </row>
    <row r="1668" spans="1:46" ht="45" customHeight="1">
      <c r="A1668" s="243"/>
      <c r="B1668" s="241"/>
      <c r="C1668" s="66"/>
      <c r="D1668" s="15"/>
      <c r="E1668" s="15"/>
      <c r="F1668" s="242"/>
      <c r="G1668" s="242"/>
      <c r="H1668" s="242"/>
      <c r="I1668" s="242"/>
      <c r="J1668" s="242"/>
      <c r="K1668" s="242"/>
      <c r="L1668" s="242"/>
      <c r="M1668" s="242"/>
      <c r="N1668" s="242"/>
      <c r="O1668" s="242"/>
      <c r="P1668" s="242"/>
      <c r="Q1668" s="242"/>
      <c r="R1668" s="226"/>
      <c r="S1668" s="30">
        <f t="shared" si="9"/>
        <v>0</v>
      </c>
      <c r="T1668" s="243"/>
      <c r="U1668" s="242"/>
      <c r="V1668" s="242"/>
      <c r="W1668" s="242"/>
      <c r="X1668" s="242"/>
      <c r="Y1668" s="241"/>
      <c r="Z1668" s="242"/>
      <c r="AA1668" s="135"/>
      <c r="AB1668" s="241"/>
      <c r="AC1668" s="242"/>
      <c r="AD1668" s="242"/>
      <c r="AE1668" s="242"/>
      <c r="AF1668" s="242"/>
      <c r="AG1668" s="242"/>
      <c r="AH1668" s="242"/>
      <c r="AI1668" s="242"/>
      <c r="AJ1668" s="242"/>
      <c r="AK1668" s="242"/>
      <c r="AL1668" s="242"/>
      <c r="AM1668" s="242"/>
      <c r="AN1668" s="242"/>
      <c r="AO1668" s="242"/>
      <c r="AP1668" s="242"/>
      <c r="AQ1668" s="242"/>
      <c r="AR1668" s="242"/>
      <c r="AS1668" s="242"/>
      <c r="AT1668" s="242"/>
    </row>
    <row r="1669" spans="1:46" ht="45" customHeight="1">
      <c r="A1669" s="243"/>
      <c r="B1669" s="241"/>
      <c r="C1669" s="66"/>
      <c r="D1669" s="15"/>
      <c r="E1669" s="15"/>
      <c r="F1669" s="242"/>
      <c r="G1669" s="242"/>
      <c r="H1669" s="242"/>
      <c r="I1669" s="242"/>
      <c r="J1669" s="242"/>
      <c r="K1669" s="242"/>
      <c r="L1669" s="242"/>
      <c r="M1669" s="242"/>
      <c r="N1669" s="242"/>
      <c r="O1669" s="242"/>
      <c r="P1669" s="242"/>
      <c r="Q1669" s="242"/>
      <c r="R1669" s="226"/>
      <c r="S1669" s="30">
        <f t="shared" si="9"/>
        <v>0</v>
      </c>
      <c r="T1669" s="243"/>
      <c r="U1669" s="242"/>
      <c r="V1669" s="242"/>
      <c r="W1669" s="242"/>
      <c r="X1669" s="242"/>
      <c r="Y1669" s="241"/>
      <c r="Z1669" s="242"/>
      <c r="AA1669" s="135"/>
      <c r="AB1669" s="241"/>
      <c r="AC1669" s="242"/>
      <c r="AD1669" s="242"/>
      <c r="AE1669" s="242"/>
      <c r="AF1669" s="242"/>
      <c r="AG1669" s="242"/>
      <c r="AH1669" s="242"/>
      <c r="AI1669" s="242"/>
      <c r="AJ1669" s="242"/>
      <c r="AK1669" s="242"/>
      <c r="AL1669" s="242"/>
      <c r="AM1669" s="242"/>
      <c r="AN1669" s="242"/>
      <c r="AO1669" s="242"/>
      <c r="AP1669" s="242"/>
      <c r="AQ1669" s="242"/>
      <c r="AR1669" s="242"/>
      <c r="AS1669" s="242"/>
      <c r="AT1669" s="242"/>
    </row>
    <row r="1670" spans="1:46" ht="45" customHeight="1">
      <c r="A1670" s="243"/>
      <c r="B1670" s="241"/>
      <c r="C1670" s="66"/>
      <c r="D1670" s="15"/>
      <c r="E1670" s="15"/>
      <c r="F1670" s="242"/>
      <c r="G1670" s="242"/>
      <c r="H1670" s="242"/>
      <c r="I1670" s="242"/>
      <c r="J1670" s="242"/>
      <c r="K1670" s="242"/>
      <c r="L1670" s="242"/>
      <c r="M1670" s="242"/>
      <c r="N1670" s="242"/>
      <c r="O1670" s="242"/>
      <c r="P1670" s="242"/>
      <c r="Q1670" s="242"/>
      <c r="R1670" s="226"/>
      <c r="S1670" s="30">
        <f t="shared" si="9"/>
        <v>0</v>
      </c>
      <c r="T1670" s="243"/>
      <c r="U1670" s="242"/>
      <c r="V1670" s="242"/>
      <c r="W1670" s="242"/>
      <c r="X1670" s="242"/>
      <c r="Y1670" s="241"/>
      <c r="Z1670" s="242"/>
      <c r="AA1670" s="135"/>
      <c r="AB1670" s="241"/>
      <c r="AC1670" s="242"/>
      <c r="AD1670" s="242"/>
      <c r="AE1670" s="242"/>
      <c r="AF1670" s="242"/>
      <c r="AG1670" s="242"/>
      <c r="AH1670" s="242"/>
      <c r="AI1670" s="242"/>
      <c r="AJ1670" s="242"/>
      <c r="AK1670" s="242"/>
      <c r="AL1670" s="242"/>
      <c r="AM1670" s="242"/>
      <c r="AN1670" s="242"/>
      <c r="AO1670" s="242"/>
      <c r="AP1670" s="242"/>
      <c r="AQ1670" s="242"/>
      <c r="AR1670" s="242"/>
      <c r="AS1670" s="242"/>
      <c r="AT1670" s="242"/>
    </row>
    <row r="1671" spans="1:46" ht="45" customHeight="1">
      <c r="A1671" s="243"/>
      <c r="B1671" s="241"/>
      <c r="C1671" s="66"/>
      <c r="D1671" s="15"/>
      <c r="E1671" s="15"/>
      <c r="F1671" s="242"/>
      <c r="G1671" s="242"/>
      <c r="H1671" s="242"/>
      <c r="I1671" s="242"/>
      <c r="J1671" s="242"/>
      <c r="K1671" s="242"/>
      <c r="L1671" s="242"/>
      <c r="M1671" s="242"/>
      <c r="N1671" s="242"/>
      <c r="O1671" s="242"/>
      <c r="P1671" s="242"/>
      <c r="Q1671" s="242"/>
      <c r="R1671" s="226"/>
      <c r="S1671" s="30">
        <f t="shared" si="9"/>
        <v>0</v>
      </c>
      <c r="T1671" s="243"/>
      <c r="U1671" s="242"/>
      <c r="V1671" s="242"/>
      <c r="W1671" s="242"/>
      <c r="X1671" s="242"/>
      <c r="Y1671" s="241"/>
      <c r="Z1671" s="242"/>
      <c r="AA1671" s="135"/>
      <c r="AB1671" s="241"/>
      <c r="AC1671" s="242"/>
      <c r="AD1671" s="242"/>
      <c r="AE1671" s="242"/>
      <c r="AF1671" s="242"/>
      <c r="AG1671" s="242"/>
      <c r="AH1671" s="242"/>
      <c r="AI1671" s="242"/>
      <c r="AJ1671" s="242"/>
      <c r="AK1671" s="242"/>
      <c r="AL1671" s="242"/>
      <c r="AM1671" s="242"/>
      <c r="AN1671" s="242"/>
      <c r="AO1671" s="242"/>
      <c r="AP1671" s="242"/>
      <c r="AQ1671" s="242"/>
      <c r="AR1671" s="242"/>
      <c r="AS1671" s="242"/>
      <c r="AT1671" s="242"/>
    </row>
    <row r="1672" spans="1:46" ht="45" customHeight="1">
      <c r="A1672" s="243"/>
      <c r="B1672" s="241"/>
      <c r="C1672" s="66"/>
      <c r="D1672" s="15"/>
      <c r="E1672" s="15"/>
      <c r="F1672" s="242"/>
      <c r="G1672" s="242"/>
      <c r="H1672" s="242"/>
      <c r="I1672" s="242"/>
      <c r="J1672" s="242"/>
      <c r="K1672" s="242"/>
      <c r="L1672" s="242"/>
      <c r="M1672" s="242"/>
      <c r="N1672" s="242"/>
      <c r="O1672" s="242"/>
      <c r="P1672" s="242"/>
      <c r="Q1672" s="242"/>
      <c r="R1672" s="226"/>
      <c r="S1672" s="30">
        <f t="shared" si="9"/>
        <v>0</v>
      </c>
      <c r="T1672" s="243"/>
      <c r="U1672" s="242"/>
      <c r="V1672" s="242"/>
      <c r="W1672" s="242"/>
      <c r="X1672" s="242"/>
      <c r="Y1672" s="241"/>
      <c r="Z1672" s="242"/>
      <c r="AA1672" s="135"/>
      <c r="AB1672" s="241"/>
      <c r="AC1672" s="242"/>
      <c r="AD1672" s="242"/>
      <c r="AE1672" s="242"/>
      <c r="AF1672" s="242"/>
      <c r="AG1672" s="242"/>
      <c r="AH1672" s="242"/>
      <c r="AI1672" s="242"/>
      <c r="AJ1672" s="242"/>
      <c r="AK1672" s="242"/>
      <c r="AL1672" s="242"/>
      <c r="AM1672" s="242"/>
      <c r="AN1672" s="242"/>
      <c r="AO1672" s="242"/>
      <c r="AP1672" s="242"/>
      <c r="AQ1672" s="242"/>
      <c r="AR1672" s="242"/>
      <c r="AS1672" s="242"/>
      <c r="AT1672" s="242"/>
    </row>
    <row r="1673" spans="1:46" ht="45" customHeight="1">
      <c r="A1673" s="243"/>
      <c r="B1673" s="241"/>
      <c r="C1673" s="66"/>
      <c r="D1673" s="15"/>
      <c r="E1673" s="15"/>
      <c r="F1673" s="242"/>
      <c r="G1673" s="242"/>
      <c r="H1673" s="242"/>
      <c r="I1673" s="242"/>
      <c r="J1673" s="242"/>
      <c r="K1673" s="242"/>
      <c r="L1673" s="242"/>
      <c r="M1673" s="242"/>
      <c r="N1673" s="242"/>
      <c r="O1673" s="242"/>
      <c r="P1673" s="242"/>
      <c r="Q1673" s="242"/>
      <c r="R1673" s="226"/>
      <c r="S1673" s="30">
        <f t="shared" si="9"/>
        <v>0</v>
      </c>
      <c r="T1673" s="243"/>
      <c r="U1673" s="242"/>
      <c r="V1673" s="242"/>
      <c r="W1673" s="242"/>
      <c r="X1673" s="242"/>
      <c r="Y1673" s="241"/>
      <c r="Z1673" s="242"/>
      <c r="AA1673" s="135"/>
      <c r="AB1673" s="241"/>
      <c r="AC1673" s="242"/>
      <c r="AD1673" s="242"/>
      <c r="AE1673" s="242"/>
      <c r="AF1673" s="242"/>
      <c r="AG1673" s="242"/>
      <c r="AH1673" s="242"/>
      <c r="AI1673" s="242"/>
      <c r="AJ1673" s="242"/>
      <c r="AK1673" s="242"/>
      <c r="AL1673" s="242"/>
      <c r="AM1673" s="242"/>
      <c r="AN1673" s="242"/>
      <c r="AO1673" s="242"/>
      <c r="AP1673" s="242"/>
      <c r="AQ1673" s="242"/>
      <c r="AR1673" s="242"/>
      <c r="AS1673" s="242"/>
      <c r="AT1673" s="242"/>
    </row>
    <row r="1674" spans="1:46" ht="45" customHeight="1">
      <c r="A1674" s="243"/>
      <c r="B1674" s="241"/>
      <c r="C1674" s="66"/>
      <c r="D1674" s="15"/>
      <c r="E1674" s="15"/>
      <c r="F1674" s="242"/>
      <c r="G1674" s="242"/>
      <c r="H1674" s="242"/>
      <c r="I1674" s="242"/>
      <c r="J1674" s="242"/>
      <c r="K1674" s="242"/>
      <c r="L1674" s="242"/>
      <c r="M1674" s="242"/>
      <c r="N1674" s="242"/>
      <c r="O1674" s="242"/>
      <c r="P1674" s="242"/>
      <c r="Q1674" s="242"/>
      <c r="R1674" s="226"/>
      <c r="S1674" s="30">
        <f t="shared" si="9"/>
        <v>0</v>
      </c>
      <c r="T1674" s="243"/>
      <c r="U1674" s="242"/>
      <c r="V1674" s="242"/>
      <c r="W1674" s="242"/>
      <c r="X1674" s="242"/>
      <c r="Y1674" s="241"/>
      <c r="Z1674" s="242"/>
      <c r="AA1674" s="135"/>
      <c r="AB1674" s="241"/>
      <c r="AC1674" s="242"/>
      <c r="AD1674" s="242"/>
      <c r="AE1674" s="242"/>
      <c r="AF1674" s="242"/>
      <c r="AG1674" s="242"/>
      <c r="AH1674" s="242"/>
      <c r="AI1674" s="242"/>
      <c r="AJ1674" s="242"/>
      <c r="AK1674" s="242"/>
      <c r="AL1674" s="242"/>
      <c r="AM1674" s="242"/>
      <c r="AN1674" s="242"/>
      <c r="AO1674" s="242"/>
      <c r="AP1674" s="242"/>
      <c r="AQ1674" s="242"/>
      <c r="AR1674" s="242"/>
      <c r="AS1674" s="242"/>
      <c r="AT1674" s="242"/>
    </row>
    <row r="1675" spans="1:46" ht="45" customHeight="1">
      <c r="A1675" s="243"/>
      <c r="B1675" s="241"/>
      <c r="C1675" s="66"/>
      <c r="D1675" s="15"/>
      <c r="E1675" s="15"/>
      <c r="F1675" s="242"/>
      <c r="G1675" s="242"/>
      <c r="H1675" s="242"/>
      <c r="I1675" s="242"/>
      <c r="J1675" s="242"/>
      <c r="K1675" s="242"/>
      <c r="L1675" s="242"/>
      <c r="M1675" s="242"/>
      <c r="N1675" s="242"/>
      <c r="O1675" s="242"/>
      <c r="P1675" s="242"/>
      <c r="Q1675" s="242"/>
      <c r="R1675" s="226"/>
      <c r="S1675" s="30">
        <f t="shared" si="9"/>
        <v>0</v>
      </c>
      <c r="T1675" s="243"/>
      <c r="U1675" s="242"/>
      <c r="V1675" s="242"/>
      <c r="W1675" s="242"/>
      <c r="X1675" s="242"/>
      <c r="Y1675" s="241"/>
      <c r="Z1675" s="242"/>
      <c r="AA1675" s="135"/>
      <c r="AB1675" s="241"/>
      <c r="AC1675" s="242"/>
      <c r="AD1675" s="242"/>
      <c r="AE1675" s="242"/>
      <c r="AF1675" s="242"/>
      <c r="AG1675" s="242"/>
      <c r="AH1675" s="242"/>
      <c r="AI1675" s="242"/>
      <c r="AJ1675" s="242"/>
      <c r="AK1675" s="242"/>
      <c r="AL1675" s="242"/>
      <c r="AM1675" s="242"/>
      <c r="AN1675" s="242"/>
      <c r="AO1675" s="242"/>
      <c r="AP1675" s="242"/>
      <c r="AQ1675" s="242"/>
      <c r="AR1675" s="242"/>
      <c r="AS1675" s="242"/>
      <c r="AT1675" s="242"/>
    </row>
    <row r="1676" spans="1:46" ht="45" customHeight="1">
      <c r="A1676" s="243"/>
      <c r="B1676" s="241"/>
      <c r="C1676" s="66"/>
      <c r="D1676" s="15"/>
      <c r="E1676" s="15"/>
      <c r="F1676" s="242"/>
      <c r="G1676" s="242"/>
      <c r="H1676" s="242"/>
      <c r="I1676" s="242"/>
      <c r="J1676" s="242"/>
      <c r="K1676" s="242"/>
      <c r="L1676" s="242"/>
      <c r="M1676" s="242"/>
      <c r="N1676" s="242"/>
      <c r="O1676" s="242"/>
      <c r="P1676" s="242"/>
      <c r="Q1676" s="242"/>
      <c r="R1676" s="226"/>
      <c r="S1676" s="30">
        <f t="shared" si="9"/>
        <v>0</v>
      </c>
      <c r="T1676" s="243"/>
      <c r="U1676" s="242"/>
      <c r="V1676" s="242"/>
      <c r="W1676" s="242"/>
      <c r="X1676" s="242"/>
      <c r="Y1676" s="241"/>
      <c r="Z1676" s="242"/>
      <c r="AA1676" s="135"/>
      <c r="AB1676" s="241"/>
      <c r="AC1676" s="242"/>
      <c r="AD1676" s="242"/>
      <c r="AE1676" s="242"/>
      <c r="AF1676" s="242"/>
      <c r="AG1676" s="242"/>
      <c r="AH1676" s="242"/>
      <c r="AI1676" s="242"/>
      <c r="AJ1676" s="242"/>
      <c r="AK1676" s="242"/>
      <c r="AL1676" s="242"/>
      <c r="AM1676" s="242"/>
      <c r="AN1676" s="242"/>
      <c r="AO1676" s="242"/>
      <c r="AP1676" s="242"/>
      <c r="AQ1676" s="242"/>
      <c r="AR1676" s="242"/>
      <c r="AS1676" s="242"/>
      <c r="AT1676" s="242"/>
    </row>
    <row r="1677" spans="1:46" ht="45" customHeight="1">
      <c r="A1677" s="243"/>
      <c r="B1677" s="241"/>
      <c r="C1677" s="66"/>
      <c r="D1677" s="15"/>
      <c r="E1677" s="15"/>
      <c r="F1677" s="242"/>
      <c r="G1677" s="242"/>
      <c r="H1677" s="242"/>
      <c r="I1677" s="242"/>
      <c r="J1677" s="242"/>
      <c r="K1677" s="242"/>
      <c r="L1677" s="242"/>
      <c r="M1677" s="242"/>
      <c r="N1677" s="242"/>
      <c r="O1677" s="242"/>
      <c r="P1677" s="242"/>
      <c r="Q1677" s="242"/>
      <c r="R1677" s="226"/>
      <c r="S1677" s="30">
        <f t="shared" si="9"/>
        <v>0</v>
      </c>
      <c r="T1677" s="243"/>
      <c r="U1677" s="242"/>
      <c r="V1677" s="242"/>
      <c r="W1677" s="242"/>
      <c r="X1677" s="242"/>
      <c r="Y1677" s="241"/>
      <c r="Z1677" s="242"/>
      <c r="AA1677" s="135"/>
      <c r="AB1677" s="241"/>
      <c r="AC1677" s="242"/>
      <c r="AD1677" s="242"/>
      <c r="AE1677" s="242"/>
      <c r="AF1677" s="242"/>
      <c r="AG1677" s="242"/>
      <c r="AH1677" s="242"/>
      <c r="AI1677" s="242"/>
      <c r="AJ1677" s="242"/>
      <c r="AK1677" s="242"/>
      <c r="AL1677" s="242"/>
      <c r="AM1677" s="242"/>
      <c r="AN1677" s="242"/>
      <c r="AO1677" s="242"/>
      <c r="AP1677" s="242"/>
      <c r="AQ1677" s="242"/>
      <c r="AR1677" s="242"/>
      <c r="AS1677" s="242"/>
      <c r="AT1677" s="242"/>
    </row>
    <row r="1678" spans="1:46" ht="45" customHeight="1">
      <c r="A1678" s="243"/>
      <c r="B1678" s="241"/>
      <c r="C1678" s="66"/>
      <c r="D1678" s="15"/>
      <c r="E1678" s="15"/>
      <c r="F1678" s="242"/>
      <c r="G1678" s="242"/>
      <c r="H1678" s="242"/>
      <c r="I1678" s="242"/>
      <c r="J1678" s="242"/>
      <c r="K1678" s="242"/>
      <c r="L1678" s="242"/>
      <c r="M1678" s="242"/>
      <c r="N1678" s="242"/>
      <c r="O1678" s="242"/>
      <c r="P1678" s="242"/>
      <c r="Q1678" s="242"/>
      <c r="R1678" s="226"/>
      <c r="S1678" s="30">
        <f t="shared" si="9"/>
        <v>0</v>
      </c>
      <c r="T1678" s="243"/>
      <c r="U1678" s="242"/>
      <c r="V1678" s="242"/>
      <c r="W1678" s="242"/>
      <c r="X1678" s="242"/>
      <c r="Y1678" s="241"/>
      <c r="Z1678" s="242"/>
      <c r="AA1678" s="135"/>
      <c r="AB1678" s="241"/>
      <c r="AC1678" s="242"/>
      <c r="AD1678" s="242"/>
      <c r="AE1678" s="242"/>
      <c r="AF1678" s="242"/>
      <c r="AG1678" s="242"/>
      <c r="AH1678" s="242"/>
      <c r="AI1678" s="242"/>
      <c r="AJ1678" s="242"/>
      <c r="AK1678" s="242"/>
      <c r="AL1678" s="242"/>
      <c r="AM1678" s="242"/>
      <c r="AN1678" s="242"/>
      <c r="AO1678" s="242"/>
      <c r="AP1678" s="242"/>
      <c r="AQ1678" s="242"/>
      <c r="AR1678" s="242"/>
      <c r="AS1678" s="242"/>
      <c r="AT1678" s="242"/>
    </row>
    <row r="1679" spans="1:46" ht="45" customHeight="1">
      <c r="A1679" s="243"/>
      <c r="B1679" s="241"/>
      <c r="C1679" s="66"/>
      <c r="D1679" s="15"/>
      <c r="E1679" s="15"/>
      <c r="F1679" s="242"/>
      <c r="G1679" s="242"/>
      <c r="H1679" s="242"/>
      <c r="I1679" s="242"/>
      <c r="J1679" s="242"/>
      <c r="K1679" s="242"/>
      <c r="L1679" s="242"/>
      <c r="M1679" s="242"/>
      <c r="N1679" s="242"/>
      <c r="O1679" s="242"/>
      <c r="P1679" s="242"/>
      <c r="Q1679" s="242"/>
      <c r="R1679" s="226"/>
      <c r="S1679" s="30">
        <f t="shared" si="9"/>
        <v>0</v>
      </c>
      <c r="T1679" s="243"/>
      <c r="U1679" s="242"/>
      <c r="V1679" s="242"/>
      <c r="W1679" s="242"/>
      <c r="X1679" s="242"/>
      <c r="Y1679" s="241"/>
      <c r="Z1679" s="242"/>
      <c r="AA1679" s="135"/>
      <c r="AB1679" s="241"/>
      <c r="AC1679" s="242"/>
      <c r="AD1679" s="242"/>
      <c r="AE1679" s="242"/>
      <c r="AF1679" s="242"/>
      <c r="AG1679" s="242"/>
      <c r="AH1679" s="242"/>
      <c r="AI1679" s="242"/>
      <c r="AJ1679" s="242"/>
      <c r="AK1679" s="242"/>
      <c r="AL1679" s="242"/>
      <c r="AM1679" s="242"/>
      <c r="AN1679" s="242"/>
      <c r="AO1679" s="242"/>
      <c r="AP1679" s="242"/>
      <c r="AQ1679" s="242"/>
      <c r="AR1679" s="242"/>
      <c r="AS1679" s="242"/>
      <c r="AT1679" s="242"/>
    </row>
    <row r="1680" spans="1:46" ht="45" customHeight="1">
      <c r="A1680" s="243"/>
      <c r="B1680" s="241"/>
      <c r="C1680" s="66"/>
      <c r="D1680" s="15"/>
      <c r="E1680" s="15"/>
      <c r="F1680" s="242"/>
      <c r="G1680" s="242"/>
      <c r="H1680" s="242"/>
      <c r="I1680" s="242"/>
      <c r="J1680" s="242"/>
      <c r="K1680" s="242"/>
      <c r="L1680" s="242"/>
      <c r="M1680" s="242"/>
      <c r="N1680" s="242"/>
      <c r="O1680" s="242"/>
      <c r="P1680" s="242"/>
      <c r="Q1680" s="242"/>
      <c r="R1680" s="226"/>
      <c r="S1680" s="30">
        <f t="shared" si="9"/>
        <v>0</v>
      </c>
      <c r="T1680" s="243"/>
      <c r="U1680" s="242"/>
      <c r="V1680" s="242"/>
      <c r="W1680" s="242"/>
      <c r="X1680" s="242"/>
      <c r="Y1680" s="241"/>
      <c r="Z1680" s="242"/>
      <c r="AA1680" s="135"/>
      <c r="AB1680" s="241"/>
      <c r="AC1680" s="242"/>
      <c r="AD1680" s="242"/>
      <c r="AE1680" s="242"/>
      <c r="AF1680" s="242"/>
      <c r="AG1680" s="242"/>
      <c r="AH1680" s="242"/>
      <c r="AI1680" s="242"/>
      <c r="AJ1680" s="242"/>
      <c r="AK1680" s="242"/>
      <c r="AL1680" s="242"/>
      <c r="AM1680" s="242"/>
      <c r="AN1680" s="242"/>
      <c r="AO1680" s="242"/>
      <c r="AP1680" s="242"/>
      <c r="AQ1680" s="242"/>
      <c r="AR1680" s="242"/>
      <c r="AS1680" s="242"/>
      <c r="AT1680" s="242"/>
    </row>
    <row r="1681" spans="1:46" ht="45" customHeight="1">
      <c r="A1681" s="243"/>
      <c r="B1681" s="241"/>
      <c r="C1681" s="66"/>
      <c r="D1681" s="15"/>
      <c r="E1681" s="15"/>
      <c r="F1681" s="242"/>
      <c r="G1681" s="242"/>
      <c r="H1681" s="242"/>
      <c r="I1681" s="242"/>
      <c r="J1681" s="242"/>
      <c r="K1681" s="242"/>
      <c r="L1681" s="242"/>
      <c r="M1681" s="242"/>
      <c r="N1681" s="242"/>
      <c r="O1681" s="242"/>
      <c r="P1681" s="242"/>
      <c r="Q1681" s="242"/>
      <c r="R1681" s="226"/>
      <c r="S1681" s="30">
        <f t="shared" si="9"/>
        <v>0</v>
      </c>
      <c r="T1681" s="243"/>
      <c r="U1681" s="242"/>
      <c r="V1681" s="242"/>
      <c r="W1681" s="242"/>
      <c r="X1681" s="242"/>
      <c r="Y1681" s="241"/>
      <c r="Z1681" s="242"/>
      <c r="AA1681" s="135"/>
      <c r="AB1681" s="241"/>
      <c r="AC1681" s="242"/>
      <c r="AD1681" s="242"/>
      <c r="AE1681" s="242"/>
      <c r="AF1681" s="242"/>
      <c r="AG1681" s="242"/>
      <c r="AH1681" s="242"/>
      <c r="AI1681" s="242"/>
      <c r="AJ1681" s="242"/>
      <c r="AK1681" s="242"/>
      <c r="AL1681" s="242"/>
      <c r="AM1681" s="242"/>
      <c r="AN1681" s="242"/>
      <c r="AO1681" s="242"/>
      <c r="AP1681" s="242"/>
      <c r="AQ1681" s="242"/>
      <c r="AR1681" s="242"/>
      <c r="AS1681" s="242"/>
      <c r="AT1681" s="242"/>
    </row>
    <row r="1682" spans="1:46" ht="45" customHeight="1">
      <c r="A1682" s="243"/>
      <c r="B1682" s="241"/>
      <c r="C1682" s="66"/>
      <c r="D1682" s="15"/>
      <c r="E1682" s="15"/>
      <c r="F1682" s="242"/>
      <c r="G1682" s="242"/>
      <c r="H1682" s="242"/>
      <c r="I1682" s="242"/>
      <c r="J1682" s="242"/>
      <c r="K1682" s="242"/>
      <c r="L1682" s="242"/>
      <c r="M1682" s="242"/>
      <c r="N1682" s="242"/>
      <c r="O1682" s="242"/>
      <c r="P1682" s="242"/>
      <c r="Q1682" s="242"/>
      <c r="R1682" s="226"/>
      <c r="S1682" s="30">
        <f t="shared" si="9"/>
        <v>0</v>
      </c>
      <c r="T1682" s="243"/>
      <c r="U1682" s="242"/>
      <c r="V1682" s="242"/>
      <c r="W1682" s="242"/>
      <c r="X1682" s="242"/>
      <c r="Y1682" s="241"/>
      <c r="Z1682" s="242"/>
      <c r="AA1682" s="135"/>
      <c r="AB1682" s="241"/>
      <c r="AC1682" s="242"/>
      <c r="AD1682" s="242"/>
      <c r="AE1682" s="242"/>
      <c r="AF1682" s="242"/>
      <c r="AG1682" s="242"/>
      <c r="AH1682" s="242"/>
      <c r="AI1682" s="242"/>
      <c r="AJ1682" s="242"/>
      <c r="AK1682" s="242"/>
      <c r="AL1682" s="242"/>
      <c r="AM1682" s="242"/>
      <c r="AN1682" s="242"/>
      <c r="AO1682" s="242"/>
      <c r="AP1682" s="242"/>
      <c r="AQ1682" s="242"/>
      <c r="AR1682" s="242"/>
      <c r="AS1682" s="242"/>
      <c r="AT1682" s="242"/>
    </row>
    <row r="1683" spans="1:46" ht="45" customHeight="1">
      <c r="A1683" s="243"/>
      <c r="B1683" s="241"/>
      <c r="C1683" s="66"/>
      <c r="D1683" s="15"/>
      <c r="E1683" s="15"/>
      <c r="F1683" s="242"/>
      <c r="G1683" s="242"/>
      <c r="H1683" s="242"/>
      <c r="I1683" s="242"/>
      <c r="J1683" s="242"/>
      <c r="K1683" s="242"/>
      <c r="L1683" s="242"/>
      <c r="M1683" s="242"/>
      <c r="N1683" s="242"/>
      <c r="O1683" s="242"/>
      <c r="P1683" s="242"/>
      <c r="Q1683" s="242"/>
      <c r="R1683" s="226"/>
      <c r="S1683" s="30">
        <f t="shared" si="9"/>
        <v>0</v>
      </c>
      <c r="T1683" s="243"/>
      <c r="U1683" s="242"/>
      <c r="V1683" s="242"/>
      <c r="W1683" s="242"/>
      <c r="X1683" s="242"/>
      <c r="Y1683" s="241"/>
      <c r="Z1683" s="242"/>
      <c r="AA1683" s="135"/>
      <c r="AB1683" s="241"/>
      <c r="AC1683" s="242"/>
      <c r="AD1683" s="242"/>
      <c r="AE1683" s="242"/>
      <c r="AF1683" s="242"/>
      <c r="AG1683" s="242"/>
      <c r="AH1683" s="242"/>
      <c r="AI1683" s="242"/>
      <c r="AJ1683" s="242"/>
      <c r="AK1683" s="242"/>
      <c r="AL1683" s="242"/>
      <c r="AM1683" s="242"/>
      <c r="AN1683" s="242"/>
      <c r="AO1683" s="242"/>
      <c r="AP1683" s="242"/>
      <c r="AQ1683" s="242"/>
      <c r="AR1683" s="242"/>
      <c r="AS1683" s="242"/>
      <c r="AT1683" s="242"/>
    </row>
    <row r="1684" spans="1:46" ht="45" customHeight="1">
      <c r="A1684" s="243"/>
      <c r="B1684" s="241"/>
      <c r="C1684" s="66"/>
      <c r="D1684" s="15"/>
      <c r="E1684" s="15"/>
      <c r="F1684" s="242"/>
      <c r="G1684" s="242"/>
      <c r="H1684" s="242"/>
      <c r="I1684" s="242"/>
      <c r="J1684" s="242"/>
      <c r="K1684" s="242"/>
      <c r="L1684" s="242"/>
      <c r="M1684" s="242"/>
      <c r="N1684" s="242"/>
      <c r="O1684" s="242"/>
      <c r="P1684" s="242"/>
      <c r="Q1684" s="242"/>
      <c r="R1684" s="226"/>
      <c r="S1684" s="30">
        <f t="shared" si="9"/>
        <v>0</v>
      </c>
      <c r="T1684" s="243"/>
      <c r="U1684" s="242"/>
      <c r="V1684" s="242"/>
      <c r="W1684" s="242"/>
      <c r="X1684" s="242"/>
      <c r="Y1684" s="241"/>
      <c r="Z1684" s="242"/>
      <c r="AA1684" s="135"/>
      <c r="AB1684" s="241"/>
      <c r="AC1684" s="242"/>
      <c r="AD1684" s="242"/>
      <c r="AE1684" s="242"/>
      <c r="AF1684" s="242"/>
      <c r="AG1684" s="242"/>
      <c r="AH1684" s="242"/>
      <c r="AI1684" s="242"/>
      <c r="AJ1684" s="242"/>
      <c r="AK1684" s="242"/>
      <c r="AL1684" s="242"/>
      <c r="AM1684" s="242"/>
      <c r="AN1684" s="242"/>
      <c r="AO1684" s="242"/>
      <c r="AP1684" s="242"/>
      <c r="AQ1684" s="242"/>
      <c r="AR1684" s="242"/>
      <c r="AS1684" s="242"/>
      <c r="AT1684" s="242"/>
    </row>
    <row r="1685" spans="1:46" ht="45" customHeight="1">
      <c r="A1685" s="243"/>
      <c r="B1685" s="241"/>
      <c r="C1685" s="66"/>
      <c r="D1685" s="15"/>
      <c r="E1685" s="15"/>
      <c r="F1685" s="242"/>
      <c r="G1685" s="242"/>
      <c r="H1685" s="242"/>
      <c r="I1685" s="242"/>
      <c r="J1685" s="242"/>
      <c r="K1685" s="242"/>
      <c r="L1685" s="242"/>
      <c r="M1685" s="242"/>
      <c r="N1685" s="242"/>
      <c r="O1685" s="242"/>
      <c r="P1685" s="242"/>
      <c r="Q1685" s="242"/>
      <c r="R1685" s="226"/>
      <c r="S1685" s="30">
        <f t="shared" si="9"/>
        <v>0</v>
      </c>
      <c r="T1685" s="243"/>
      <c r="U1685" s="242"/>
      <c r="V1685" s="242"/>
      <c r="W1685" s="242"/>
      <c r="X1685" s="242"/>
      <c r="Y1685" s="241"/>
      <c r="Z1685" s="242"/>
      <c r="AA1685" s="135"/>
      <c r="AB1685" s="241"/>
      <c r="AC1685" s="242"/>
      <c r="AD1685" s="242"/>
      <c r="AE1685" s="242"/>
      <c r="AF1685" s="242"/>
      <c r="AG1685" s="242"/>
      <c r="AH1685" s="242"/>
      <c r="AI1685" s="242"/>
      <c r="AJ1685" s="242"/>
      <c r="AK1685" s="242"/>
      <c r="AL1685" s="242"/>
      <c r="AM1685" s="242"/>
      <c r="AN1685" s="242"/>
      <c r="AO1685" s="242"/>
      <c r="AP1685" s="242"/>
      <c r="AQ1685" s="242"/>
      <c r="AR1685" s="242"/>
      <c r="AS1685" s="242"/>
      <c r="AT1685" s="242"/>
    </row>
    <row r="1686" spans="1:46" ht="45" customHeight="1">
      <c r="A1686" s="243"/>
      <c r="B1686" s="241"/>
      <c r="C1686" s="66"/>
      <c r="D1686" s="15"/>
      <c r="E1686" s="15"/>
      <c r="F1686" s="242"/>
      <c r="G1686" s="242"/>
      <c r="H1686" s="242"/>
      <c r="I1686" s="242"/>
      <c r="J1686" s="242"/>
      <c r="K1686" s="242"/>
      <c r="L1686" s="242"/>
      <c r="M1686" s="242"/>
      <c r="N1686" s="242"/>
      <c r="O1686" s="242"/>
      <c r="P1686" s="242"/>
      <c r="Q1686" s="242"/>
      <c r="R1686" s="226"/>
      <c r="S1686" s="30">
        <f t="shared" si="9"/>
        <v>0</v>
      </c>
      <c r="T1686" s="243"/>
      <c r="U1686" s="242"/>
      <c r="V1686" s="242"/>
      <c r="W1686" s="242"/>
      <c r="X1686" s="242"/>
      <c r="Y1686" s="241"/>
      <c r="Z1686" s="242"/>
      <c r="AA1686" s="135"/>
      <c r="AB1686" s="241"/>
      <c r="AC1686" s="242"/>
      <c r="AD1686" s="242"/>
      <c r="AE1686" s="242"/>
      <c r="AF1686" s="242"/>
      <c r="AG1686" s="242"/>
      <c r="AH1686" s="242"/>
      <c r="AI1686" s="242"/>
      <c r="AJ1686" s="242"/>
      <c r="AK1686" s="242"/>
      <c r="AL1686" s="242"/>
      <c r="AM1686" s="242"/>
      <c r="AN1686" s="242"/>
      <c r="AO1686" s="242"/>
      <c r="AP1686" s="242"/>
      <c r="AQ1686" s="242"/>
      <c r="AR1686" s="242"/>
      <c r="AS1686" s="242"/>
      <c r="AT1686" s="242"/>
    </row>
    <row r="1687" spans="1:46" ht="45" customHeight="1">
      <c r="A1687" s="243"/>
      <c r="B1687" s="241"/>
      <c r="C1687" s="66"/>
      <c r="D1687" s="15"/>
      <c r="E1687" s="15"/>
      <c r="F1687" s="242"/>
      <c r="G1687" s="242"/>
      <c r="H1687" s="242"/>
      <c r="I1687" s="242"/>
      <c r="J1687" s="242"/>
      <c r="K1687" s="242"/>
      <c r="L1687" s="242"/>
      <c r="M1687" s="242"/>
      <c r="N1687" s="242"/>
      <c r="O1687" s="242"/>
      <c r="P1687" s="242"/>
      <c r="Q1687" s="242"/>
      <c r="R1687" s="226"/>
      <c r="S1687" s="30">
        <f t="shared" si="9"/>
        <v>0</v>
      </c>
      <c r="T1687" s="243"/>
      <c r="U1687" s="242"/>
      <c r="V1687" s="242"/>
      <c r="W1687" s="242"/>
      <c r="X1687" s="242"/>
      <c r="Y1687" s="241"/>
      <c r="Z1687" s="242"/>
      <c r="AA1687" s="135"/>
      <c r="AB1687" s="241"/>
      <c r="AC1687" s="242"/>
      <c r="AD1687" s="242"/>
      <c r="AE1687" s="242"/>
      <c r="AF1687" s="242"/>
      <c r="AG1687" s="242"/>
      <c r="AH1687" s="242"/>
      <c r="AI1687" s="242"/>
      <c r="AJ1687" s="242"/>
      <c r="AK1687" s="242"/>
      <c r="AL1687" s="242"/>
      <c r="AM1687" s="242"/>
      <c r="AN1687" s="242"/>
      <c r="AO1687" s="242"/>
      <c r="AP1687" s="242"/>
      <c r="AQ1687" s="242"/>
      <c r="AR1687" s="242"/>
      <c r="AS1687" s="242"/>
      <c r="AT1687" s="242"/>
    </row>
    <row r="1688" spans="1:46" ht="45" customHeight="1">
      <c r="A1688" s="243"/>
      <c r="B1688" s="241"/>
      <c r="C1688" s="66"/>
      <c r="D1688" s="15"/>
      <c r="E1688" s="15"/>
      <c r="F1688" s="242"/>
      <c r="G1688" s="242"/>
      <c r="H1688" s="242"/>
      <c r="I1688" s="242"/>
      <c r="J1688" s="242"/>
      <c r="K1688" s="242"/>
      <c r="L1688" s="242"/>
      <c r="M1688" s="242"/>
      <c r="N1688" s="242"/>
      <c r="O1688" s="242"/>
      <c r="P1688" s="242"/>
      <c r="Q1688" s="242"/>
      <c r="R1688" s="226"/>
      <c r="S1688" s="30">
        <f t="shared" si="9"/>
        <v>0</v>
      </c>
      <c r="T1688" s="243"/>
      <c r="U1688" s="242"/>
      <c r="V1688" s="242"/>
      <c r="W1688" s="242"/>
      <c r="X1688" s="242"/>
      <c r="Y1688" s="241"/>
      <c r="Z1688" s="242"/>
      <c r="AA1688" s="135"/>
      <c r="AB1688" s="241"/>
      <c r="AC1688" s="242"/>
      <c r="AD1688" s="242"/>
      <c r="AE1688" s="242"/>
      <c r="AF1688" s="242"/>
      <c r="AG1688" s="242"/>
      <c r="AH1688" s="242"/>
      <c r="AI1688" s="242"/>
      <c r="AJ1688" s="242"/>
      <c r="AK1688" s="242"/>
      <c r="AL1688" s="242"/>
      <c r="AM1688" s="242"/>
      <c r="AN1688" s="242"/>
      <c r="AO1688" s="242"/>
      <c r="AP1688" s="242"/>
      <c r="AQ1688" s="242"/>
      <c r="AR1688" s="242"/>
      <c r="AS1688" s="242"/>
      <c r="AT1688" s="242"/>
    </row>
    <row r="1689" spans="1:46" ht="45" customHeight="1">
      <c r="A1689" s="243"/>
      <c r="B1689" s="241"/>
      <c r="C1689" s="66"/>
      <c r="D1689" s="15"/>
      <c r="E1689" s="15"/>
      <c r="F1689" s="242"/>
      <c r="G1689" s="242"/>
      <c r="H1689" s="242"/>
      <c r="I1689" s="242"/>
      <c r="J1689" s="242"/>
      <c r="K1689" s="242"/>
      <c r="L1689" s="242"/>
      <c r="M1689" s="242"/>
      <c r="N1689" s="242"/>
      <c r="O1689" s="242"/>
      <c r="P1689" s="242"/>
      <c r="Q1689" s="242"/>
      <c r="R1689" s="226"/>
      <c r="S1689" s="30">
        <f t="shared" si="9"/>
        <v>0</v>
      </c>
      <c r="T1689" s="243"/>
      <c r="U1689" s="242"/>
      <c r="V1689" s="242"/>
      <c r="W1689" s="242"/>
      <c r="X1689" s="242"/>
      <c r="Y1689" s="241"/>
      <c r="Z1689" s="242"/>
      <c r="AA1689" s="135"/>
      <c r="AB1689" s="241"/>
      <c r="AC1689" s="242"/>
      <c r="AD1689" s="242"/>
      <c r="AE1689" s="242"/>
      <c r="AF1689" s="242"/>
      <c r="AG1689" s="242"/>
      <c r="AH1689" s="242"/>
      <c r="AI1689" s="242"/>
      <c r="AJ1689" s="242"/>
      <c r="AK1689" s="242"/>
      <c r="AL1689" s="242"/>
      <c r="AM1689" s="242"/>
      <c r="AN1689" s="242"/>
      <c r="AO1689" s="242"/>
      <c r="AP1689" s="242"/>
      <c r="AQ1689" s="242"/>
      <c r="AR1689" s="242"/>
      <c r="AS1689" s="242"/>
      <c r="AT1689" s="242"/>
    </row>
    <row r="1690" spans="1:46" ht="45" customHeight="1">
      <c r="A1690" s="243"/>
      <c r="B1690" s="241"/>
      <c r="C1690" s="66"/>
      <c r="D1690" s="15"/>
      <c r="E1690" s="15"/>
      <c r="F1690" s="242"/>
      <c r="G1690" s="242"/>
      <c r="H1690" s="242"/>
      <c r="I1690" s="242"/>
      <c r="J1690" s="242"/>
      <c r="K1690" s="242"/>
      <c r="L1690" s="242"/>
      <c r="M1690" s="242"/>
      <c r="N1690" s="242"/>
      <c r="O1690" s="242"/>
      <c r="P1690" s="242"/>
      <c r="Q1690" s="242"/>
      <c r="R1690" s="226"/>
      <c r="S1690" s="30">
        <f t="shared" si="9"/>
        <v>0</v>
      </c>
      <c r="T1690" s="243"/>
      <c r="U1690" s="242"/>
      <c r="V1690" s="242"/>
      <c r="W1690" s="242"/>
      <c r="X1690" s="242"/>
      <c r="Y1690" s="241"/>
      <c r="Z1690" s="242"/>
      <c r="AA1690" s="135"/>
      <c r="AB1690" s="241"/>
      <c r="AC1690" s="242"/>
      <c r="AD1690" s="242"/>
      <c r="AE1690" s="242"/>
      <c r="AF1690" s="242"/>
      <c r="AG1690" s="242"/>
      <c r="AH1690" s="242"/>
      <c r="AI1690" s="242"/>
      <c r="AJ1690" s="242"/>
      <c r="AK1690" s="242"/>
      <c r="AL1690" s="242"/>
      <c r="AM1690" s="242"/>
      <c r="AN1690" s="242"/>
      <c r="AO1690" s="242"/>
      <c r="AP1690" s="242"/>
      <c r="AQ1690" s="242"/>
      <c r="AR1690" s="242"/>
      <c r="AS1690" s="242"/>
      <c r="AT1690" s="242"/>
    </row>
    <row r="1691" spans="1:46" ht="45" customHeight="1">
      <c r="A1691" s="243"/>
      <c r="B1691" s="241"/>
      <c r="C1691" s="66"/>
      <c r="D1691" s="15"/>
      <c r="E1691" s="15"/>
      <c r="F1691" s="242"/>
      <c r="G1691" s="242"/>
      <c r="H1691" s="242"/>
      <c r="I1691" s="242"/>
      <c r="J1691" s="242"/>
      <c r="K1691" s="242"/>
      <c r="L1691" s="242"/>
      <c r="M1691" s="242"/>
      <c r="N1691" s="242"/>
      <c r="O1691" s="242"/>
      <c r="P1691" s="242"/>
      <c r="Q1691" s="242"/>
      <c r="R1691" s="226"/>
      <c r="S1691" s="30">
        <f t="shared" si="9"/>
        <v>0</v>
      </c>
      <c r="T1691" s="243"/>
      <c r="U1691" s="242"/>
      <c r="V1691" s="242"/>
      <c r="W1691" s="242"/>
      <c r="X1691" s="242"/>
      <c r="Y1691" s="241"/>
      <c r="Z1691" s="242"/>
      <c r="AA1691" s="135"/>
      <c r="AB1691" s="241"/>
      <c r="AC1691" s="242"/>
      <c r="AD1691" s="242"/>
      <c r="AE1691" s="242"/>
      <c r="AF1691" s="242"/>
      <c r="AG1691" s="242"/>
      <c r="AH1691" s="242"/>
      <c r="AI1691" s="242"/>
      <c r="AJ1691" s="242"/>
      <c r="AK1691" s="242"/>
      <c r="AL1691" s="242"/>
      <c r="AM1691" s="242"/>
      <c r="AN1691" s="242"/>
      <c r="AO1691" s="242"/>
      <c r="AP1691" s="242"/>
      <c r="AQ1691" s="242"/>
      <c r="AR1691" s="242"/>
      <c r="AS1691" s="242"/>
      <c r="AT1691" s="242"/>
    </row>
    <row r="1692" spans="1:46" ht="45" customHeight="1">
      <c r="A1692" s="243"/>
      <c r="B1692" s="241"/>
      <c r="C1692" s="66"/>
      <c r="D1692" s="15"/>
      <c r="E1692" s="15"/>
      <c r="F1692" s="242"/>
      <c r="G1692" s="242"/>
      <c r="H1692" s="242"/>
      <c r="I1692" s="242"/>
      <c r="J1692" s="242"/>
      <c r="K1692" s="242"/>
      <c r="L1692" s="242"/>
      <c r="M1692" s="242"/>
      <c r="N1692" s="242"/>
      <c r="O1692" s="242"/>
      <c r="P1692" s="242"/>
      <c r="Q1692" s="242"/>
      <c r="R1692" s="226"/>
      <c r="S1692" s="30">
        <f t="shared" si="9"/>
        <v>0</v>
      </c>
      <c r="T1692" s="243"/>
      <c r="U1692" s="242"/>
      <c r="V1692" s="242"/>
      <c r="W1692" s="242"/>
      <c r="X1692" s="242"/>
      <c r="Y1692" s="241"/>
      <c r="Z1692" s="242"/>
      <c r="AA1692" s="135"/>
      <c r="AB1692" s="241"/>
      <c r="AC1692" s="242"/>
      <c r="AD1692" s="242"/>
      <c r="AE1692" s="242"/>
      <c r="AF1692" s="242"/>
      <c r="AG1692" s="242"/>
      <c r="AH1692" s="242"/>
      <c r="AI1692" s="242"/>
      <c r="AJ1692" s="242"/>
      <c r="AK1692" s="242"/>
      <c r="AL1692" s="242"/>
      <c r="AM1692" s="242"/>
      <c r="AN1692" s="242"/>
      <c r="AO1692" s="242"/>
      <c r="AP1692" s="242"/>
      <c r="AQ1692" s="242"/>
      <c r="AR1692" s="242"/>
      <c r="AS1692" s="242"/>
      <c r="AT1692" s="242"/>
    </row>
    <row r="1693" spans="1:46" ht="45" customHeight="1">
      <c r="A1693" s="243"/>
      <c r="B1693" s="241"/>
      <c r="C1693" s="66"/>
      <c r="D1693" s="15"/>
      <c r="E1693" s="15"/>
      <c r="F1693" s="242"/>
      <c r="G1693" s="242"/>
      <c r="H1693" s="242"/>
      <c r="I1693" s="242"/>
      <c r="J1693" s="242"/>
      <c r="K1693" s="242"/>
      <c r="L1693" s="242"/>
      <c r="M1693" s="242"/>
      <c r="N1693" s="242"/>
      <c r="O1693" s="242"/>
      <c r="P1693" s="242"/>
      <c r="Q1693" s="242"/>
      <c r="R1693" s="226"/>
      <c r="S1693" s="30">
        <f t="shared" si="9"/>
        <v>0</v>
      </c>
      <c r="T1693" s="243"/>
      <c r="U1693" s="242"/>
      <c r="V1693" s="242"/>
      <c r="W1693" s="242"/>
      <c r="X1693" s="242"/>
      <c r="Y1693" s="241"/>
      <c r="Z1693" s="242"/>
      <c r="AA1693" s="135"/>
      <c r="AB1693" s="241"/>
      <c r="AC1693" s="242"/>
      <c r="AD1693" s="242"/>
      <c r="AE1693" s="242"/>
      <c r="AF1693" s="242"/>
      <c r="AG1693" s="242"/>
      <c r="AH1693" s="242"/>
      <c r="AI1693" s="242"/>
      <c r="AJ1693" s="242"/>
      <c r="AK1693" s="242"/>
      <c r="AL1693" s="242"/>
      <c r="AM1693" s="242"/>
      <c r="AN1693" s="242"/>
      <c r="AO1693" s="242"/>
      <c r="AP1693" s="242"/>
      <c r="AQ1693" s="242"/>
      <c r="AR1693" s="242"/>
      <c r="AS1693" s="242"/>
      <c r="AT1693" s="242"/>
    </row>
    <row r="1694" spans="1:46" ht="45" customHeight="1">
      <c r="A1694" s="243"/>
      <c r="B1694" s="241"/>
      <c r="C1694" s="66"/>
      <c r="D1694" s="15"/>
      <c r="E1694" s="15"/>
      <c r="F1694" s="242"/>
      <c r="G1694" s="242"/>
      <c r="H1694" s="242"/>
      <c r="I1694" s="242"/>
      <c r="J1694" s="242"/>
      <c r="K1694" s="242"/>
      <c r="L1694" s="242"/>
      <c r="M1694" s="242"/>
      <c r="N1694" s="242"/>
      <c r="O1694" s="242"/>
      <c r="P1694" s="242"/>
      <c r="Q1694" s="242"/>
      <c r="R1694" s="226"/>
      <c r="S1694" s="30">
        <f t="shared" si="9"/>
        <v>0</v>
      </c>
      <c r="T1694" s="243"/>
      <c r="U1694" s="242"/>
      <c r="V1694" s="242"/>
      <c r="W1694" s="242"/>
      <c r="X1694" s="242"/>
      <c r="Y1694" s="241"/>
      <c r="Z1694" s="242"/>
      <c r="AA1694" s="135"/>
      <c r="AB1694" s="241"/>
      <c r="AC1694" s="242"/>
      <c r="AD1694" s="242"/>
      <c r="AE1694" s="242"/>
      <c r="AF1694" s="242"/>
      <c r="AG1694" s="242"/>
      <c r="AH1694" s="242"/>
      <c r="AI1694" s="242"/>
      <c r="AJ1694" s="242"/>
      <c r="AK1694" s="242"/>
      <c r="AL1694" s="242"/>
      <c r="AM1694" s="242"/>
      <c r="AN1694" s="242"/>
      <c r="AO1694" s="242"/>
      <c r="AP1694" s="242"/>
      <c r="AQ1694" s="242"/>
      <c r="AR1694" s="242"/>
      <c r="AS1694" s="242"/>
      <c r="AT1694" s="242"/>
    </row>
    <row r="1695" spans="1:46" ht="45" customHeight="1">
      <c r="A1695" s="243"/>
      <c r="B1695" s="241"/>
      <c r="C1695" s="66"/>
      <c r="D1695" s="15"/>
      <c r="E1695" s="15"/>
      <c r="F1695" s="242"/>
      <c r="G1695" s="242"/>
      <c r="H1695" s="242"/>
      <c r="I1695" s="242"/>
      <c r="J1695" s="242"/>
      <c r="K1695" s="242"/>
      <c r="L1695" s="242"/>
      <c r="M1695" s="242"/>
      <c r="N1695" s="242"/>
      <c r="O1695" s="242"/>
      <c r="P1695" s="242"/>
      <c r="Q1695" s="242"/>
      <c r="R1695" s="226"/>
      <c r="S1695" s="30">
        <f t="shared" si="9"/>
        <v>0</v>
      </c>
      <c r="T1695" s="243"/>
      <c r="U1695" s="242"/>
      <c r="V1695" s="242"/>
      <c r="W1695" s="242"/>
      <c r="X1695" s="242"/>
      <c r="Y1695" s="241"/>
      <c r="Z1695" s="242"/>
      <c r="AA1695" s="135"/>
      <c r="AB1695" s="241"/>
      <c r="AC1695" s="242"/>
      <c r="AD1695" s="242"/>
      <c r="AE1695" s="242"/>
      <c r="AF1695" s="242"/>
      <c r="AG1695" s="242"/>
      <c r="AH1695" s="242"/>
      <c r="AI1695" s="242"/>
      <c r="AJ1695" s="242"/>
      <c r="AK1695" s="242"/>
      <c r="AL1695" s="242"/>
      <c r="AM1695" s="242"/>
      <c r="AN1695" s="242"/>
      <c r="AO1695" s="242"/>
      <c r="AP1695" s="242"/>
      <c r="AQ1695" s="242"/>
      <c r="AR1695" s="242"/>
      <c r="AS1695" s="242"/>
      <c r="AT1695" s="242"/>
    </row>
    <row r="1696" spans="1:46" ht="45" customHeight="1">
      <c r="A1696" s="243"/>
      <c r="B1696" s="241"/>
      <c r="C1696" s="66"/>
      <c r="D1696" s="15"/>
      <c r="E1696" s="15"/>
      <c r="F1696" s="242"/>
      <c r="G1696" s="242"/>
      <c r="H1696" s="242"/>
      <c r="I1696" s="242"/>
      <c r="J1696" s="242"/>
      <c r="K1696" s="242"/>
      <c r="L1696" s="242"/>
      <c r="M1696" s="242"/>
      <c r="N1696" s="242"/>
      <c r="O1696" s="242"/>
      <c r="P1696" s="242"/>
      <c r="Q1696" s="242"/>
      <c r="R1696" s="226"/>
      <c r="S1696" s="30">
        <f t="shared" si="9"/>
        <v>0</v>
      </c>
      <c r="T1696" s="243"/>
      <c r="U1696" s="242"/>
      <c r="V1696" s="242"/>
      <c r="W1696" s="242"/>
      <c r="X1696" s="242"/>
      <c r="Y1696" s="241"/>
      <c r="Z1696" s="242"/>
      <c r="AA1696" s="135"/>
      <c r="AB1696" s="241"/>
      <c r="AC1696" s="242"/>
      <c r="AD1696" s="242"/>
      <c r="AE1696" s="242"/>
      <c r="AF1696" s="242"/>
      <c r="AG1696" s="242"/>
      <c r="AH1696" s="242"/>
      <c r="AI1696" s="242"/>
      <c r="AJ1696" s="242"/>
      <c r="AK1696" s="242"/>
      <c r="AL1696" s="242"/>
      <c r="AM1696" s="242"/>
      <c r="AN1696" s="242"/>
      <c r="AO1696" s="242"/>
      <c r="AP1696" s="242"/>
      <c r="AQ1696" s="242"/>
      <c r="AR1696" s="242"/>
      <c r="AS1696" s="242"/>
      <c r="AT1696" s="242"/>
    </row>
    <row r="1697" spans="1:46" ht="45" customHeight="1">
      <c r="A1697" s="243"/>
      <c r="B1697" s="241"/>
      <c r="C1697" s="66"/>
      <c r="D1697" s="15"/>
      <c r="E1697" s="15"/>
      <c r="F1697" s="242"/>
      <c r="G1697" s="242"/>
      <c r="H1697" s="242"/>
      <c r="I1697" s="242"/>
      <c r="J1697" s="242"/>
      <c r="K1697" s="242"/>
      <c r="L1697" s="242"/>
      <c r="M1697" s="242"/>
      <c r="N1697" s="242"/>
      <c r="O1697" s="242"/>
      <c r="P1697" s="242"/>
      <c r="Q1697" s="242"/>
      <c r="R1697" s="226"/>
      <c r="S1697" s="30">
        <f t="shared" si="9"/>
        <v>0</v>
      </c>
      <c r="T1697" s="243"/>
      <c r="U1697" s="242"/>
      <c r="V1697" s="242"/>
      <c r="W1697" s="242"/>
      <c r="X1697" s="242"/>
      <c r="Y1697" s="241"/>
      <c r="Z1697" s="242"/>
      <c r="AA1697" s="135"/>
      <c r="AB1697" s="241"/>
      <c r="AC1697" s="242"/>
      <c r="AD1697" s="242"/>
      <c r="AE1697" s="242"/>
      <c r="AF1697" s="242"/>
      <c r="AG1697" s="242"/>
      <c r="AH1697" s="242"/>
      <c r="AI1697" s="242"/>
      <c r="AJ1697" s="242"/>
      <c r="AK1697" s="242"/>
      <c r="AL1697" s="242"/>
      <c r="AM1697" s="242"/>
      <c r="AN1697" s="242"/>
      <c r="AO1697" s="242"/>
      <c r="AP1697" s="242"/>
      <c r="AQ1697" s="242"/>
      <c r="AR1697" s="242"/>
      <c r="AS1697" s="242"/>
      <c r="AT1697" s="242"/>
    </row>
    <row r="1698" spans="1:46" ht="45" customHeight="1">
      <c r="A1698" s="243"/>
      <c r="B1698" s="241"/>
      <c r="C1698" s="66"/>
      <c r="D1698" s="15"/>
      <c r="E1698" s="15"/>
      <c r="F1698" s="242"/>
      <c r="G1698" s="242"/>
      <c r="H1698" s="242"/>
      <c r="I1698" s="242"/>
      <c r="J1698" s="242"/>
      <c r="K1698" s="242"/>
      <c r="L1698" s="242"/>
      <c r="M1698" s="242"/>
      <c r="N1698" s="242"/>
      <c r="O1698" s="242"/>
      <c r="P1698" s="242"/>
      <c r="Q1698" s="242"/>
      <c r="R1698" s="226"/>
      <c r="S1698" s="30">
        <f t="shared" si="9"/>
        <v>0</v>
      </c>
      <c r="T1698" s="243"/>
      <c r="U1698" s="242"/>
      <c r="V1698" s="242"/>
      <c r="W1698" s="242"/>
      <c r="X1698" s="242"/>
      <c r="Y1698" s="241"/>
      <c r="Z1698" s="242"/>
      <c r="AA1698" s="135"/>
      <c r="AB1698" s="241"/>
      <c r="AC1698" s="242"/>
      <c r="AD1698" s="242"/>
      <c r="AE1698" s="242"/>
      <c r="AF1698" s="242"/>
      <c r="AG1698" s="242"/>
      <c r="AH1698" s="242"/>
      <c r="AI1698" s="242"/>
      <c r="AJ1698" s="242"/>
      <c r="AK1698" s="242"/>
      <c r="AL1698" s="242"/>
      <c r="AM1698" s="242"/>
      <c r="AN1698" s="242"/>
      <c r="AO1698" s="242"/>
      <c r="AP1698" s="242"/>
      <c r="AQ1698" s="242"/>
      <c r="AR1698" s="242"/>
      <c r="AS1698" s="242"/>
      <c r="AT1698" s="242"/>
    </row>
    <row r="1699" spans="1:46" ht="45" customHeight="1">
      <c r="A1699" s="243"/>
      <c r="B1699" s="241"/>
      <c r="C1699" s="66"/>
      <c r="D1699" s="15"/>
      <c r="E1699" s="15"/>
      <c r="F1699" s="242"/>
      <c r="G1699" s="242"/>
      <c r="H1699" s="242"/>
      <c r="I1699" s="242"/>
      <c r="J1699" s="242"/>
      <c r="K1699" s="242"/>
      <c r="L1699" s="242"/>
      <c r="M1699" s="242"/>
      <c r="N1699" s="242"/>
      <c r="O1699" s="242"/>
      <c r="P1699" s="242"/>
      <c r="Q1699" s="242"/>
      <c r="R1699" s="226"/>
      <c r="S1699" s="30">
        <f t="shared" si="9"/>
        <v>0</v>
      </c>
      <c r="T1699" s="243"/>
      <c r="U1699" s="242"/>
      <c r="V1699" s="242"/>
      <c r="W1699" s="242"/>
      <c r="X1699" s="242"/>
      <c r="Y1699" s="241"/>
      <c r="Z1699" s="242"/>
      <c r="AA1699" s="135"/>
      <c r="AB1699" s="241"/>
      <c r="AC1699" s="242"/>
      <c r="AD1699" s="242"/>
      <c r="AE1699" s="242"/>
      <c r="AF1699" s="242"/>
      <c r="AG1699" s="242"/>
      <c r="AH1699" s="242"/>
      <c r="AI1699" s="242"/>
      <c r="AJ1699" s="242"/>
      <c r="AK1699" s="242"/>
      <c r="AL1699" s="242"/>
      <c r="AM1699" s="242"/>
      <c r="AN1699" s="242"/>
      <c r="AO1699" s="242"/>
      <c r="AP1699" s="242"/>
      <c r="AQ1699" s="242"/>
      <c r="AR1699" s="242"/>
      <c r="AS1699" s="242"/>
      <c r="AT1699" s="242"/>
    </row>
    <row r="1700" spans="1:46" ht="45" customHeight="1">
      <c r="A1700" s="243"/>
      <c r="B1700" s="241"/>
      <c r="C1700" s="66"/>
      <c r="D1700" s="15"/>
      <c r="E1700" s="15"/>
      <c r="F1700" s="242"/>
      <c r="G1700" s="242"/>
      <c r="H1700" s="242"/>
      <c r="I1700" s="242"/>
      <c r="J1700" s="242"/>
      <c r="K1700" s="242"/>
      <c r="L1700" s="242"/>
      <c r="M1700" s="242"/>
      <c r="N1700" s="242"/>
      <c r="O1700" s="242"/>
      <c r="P1700" s="242"/>
      <c r="Q1700" s="242"/>
      <c r="R1700" s="226"/>
      <c r="S1700" s="30">
        <f t="shared" si="9"/>
        <v>0</v>
      </c>
      <c r="T1700" s="243"/>
      <c r="U1700" s="242"/>
      <c r="V1700" s="242"/>
      <c r="W1700" s="242"/>
      <c r="X1700" s="242"/>
      <c r="Y1700" s="241"/>
      <c r="Z1700" s="242"/>
      <c r="AA1700" s="135"/>
      <c r="AB1700" s="241"/>
      <c r="AC1700" s="242"/>
      <c r="AD1700" s="242"/>
      <c r="AE1700" s="242"/>
      <c r="AF1700" s="242"/>
      <c r="AG1700" s="242"/>
      <c r="AH1700" s="242"/>
      <c r="AI1700" s="242"/>
      <c r="AJ1700" s="242"/>
      <c r="AK1700" s="242"/>
      <c r="AL1700" s="242"/>
      <c r="AM1700" s="242"/>
      <c r="AN1700" s="242"/>
      <c r="AO1700" s="242"/>
      <c r="AP1700" s="242"/>
      <c r="AQ1700" s="242"/>
      <c r="AR1700" s="242"/>
      <c r="AS1700" s="242"/>
      <c r="AT1700" s="242"/>
    </row>
    <row r="1701" spans="1:46" ht="45" customHeight="1">
      <c r="A1701" s="243"/>
      <c r="B1701" s="241"/>
      <c r="C1701" s="66"/>
      <c r="D1701" s="15"/>
      <c r="E1701" s="15"/>
      <c r="F1701" s="242"/>
      <c r="G1701" s="242"/>
      <c r="H1701" s="242"/>
      <c r="I1701" s="242"/>
      <c r="J1701" s="242"/>
      <c r="K1701" s="242"/>
      <c r="L1701" s="242"/>
      <c r="M1701" s="242"/>
      <c r="N1701" s="242"/>
      <c r="O1701" s="242"/>
      <c r="P1701" s="242"/>
      <c r="Q1701" s="242"/>
      <c r="R1701" s="226"/>
      <c r="S1701" s="30">
        <f t="shared" si="9"/>
        <v>0</v>
      </c>
      <c r="T1701" s="243"/>
      <c r="U1701" s="242"/>
      <c r="V1701" s="242"/>
      <c r="W1701" s="242"/>
      <c r="X1701" s="242"/>
      <c r="Y1701" s="241"/>
      <c r="Z1701" s="242"/>
      <c r="AA1701" s="135"/>
      <c r="AB1701" s="241"/>
      <c r="AC1701" s="242"/>
      <c r="AD1701" s="242"/>
      <c r="AE1701" s="242"/>
      <c r="AF1701" s="242"/>
      <c r="AG1701" s="242"/>
      <c r="AH1701" s="242"/>
      <c r="AI1701" s="242"/>
      <c r="AJ1701" s="242"/>
      <c r="AK1701" s="242"/>
      <c r="AL1701" s="242"/>
      <c r="AM1701" s="242"/>
      <c r="AN1701" s="242"/>
      <c r="AO1701" s="242"/>
      <c r="AP1701" s="242"/>
      <c r="AQ1701" s="242"/>
      <c r="AR1701" s="242"/>
      <c r="AS1701" s="242"/>
      <c r="AT1701" s="242"/>
    </row>
    <row r="1702" spans="1:46" ht="45" customHeight="1">
      <c r="A1702" s="243"/>
      <c r="B1702" s="241"/>
      <c r="C1702" s="66"/>
      <c r="D1702" s="15"/>
      <c r="E1702" s="15"/>
      <c r="F1702" s="242"/>
      <c r="G1702" s="242"/>
      <c r="H1702" s="242"/>
      <c r="I1702" s="242"/>
      <c r="J1702" s="242"/>
      <c r="K1702" s="242"/>
      <c r="L1702" s="242"/>
      <c r="M1702" s="242"/>
      <c r="N1702" s="242"/>
      <c r="O1702" s="242"/>
      <c r="P1702" s="242"/>
      <c r="Q1702" s="242"/>
      <c r="R1702" s="226"/>
      <c r="S1702" s="30">
        <f t="shared" si="9"/>
        <v>0</v>
      </c>
      <c r="T1702" s="243"/>
      <c r="U1702" s="242"/>
      <c r="V1702" s="242"/>
      <c r="W1702" s="242"/>
      <c r="X1702" s="242"/>
      <c r="Y1702" s="241"/>
      <c r="Z1702" s="242"/>
      <c r="AA1702" s="135"/>
      <c r="AB1702" s="241"/>
      <c r="AC1702" s="242"/>
      <c r="AD1702" s="242"/>
      <c r="AE1702" s="242"/>
      <c r="AF1702" s="242"/>
      <c r="AG1702" s="242"/>
      <c r="AH1702" s="242"/>
      <c r="AI1702" s="242"/>
      <c r="AJ1702" s="242"/>
      <c r="AK1702" s="242"/>
      <c r="AL1702" s="242"/>
      <c r="AM1702" s="242"/>
      <c r="AN1702" s="242"/>
      <c r="AO1702" s="242"/>
      <c r="AP1702" s="242"/>
      <c r="AQ1702" s="242"/>
      <c r="AR1702" s="242"/>
      <c r="AS1702" s="242"/>
      <c r="AT1702" s="242"/>
    </row>
    <row r="1703" spans="1:46" ht="45" customHeight="1">
      <c r="A1703" s="243"/>
      <c r="B1703" s="241"/>
      <c r="C1703" s="66"/>
      <c r="D1703" s="15"/>
      <c r="E1703" s="15"/>
      <c r="F1703" s="242"/>
      <c r="G1703" s="242"/>
      <c r="H1703" s="242"/>
      <c r="I1703" s="242"/>
      <c r="J1703" s="242"/>
      <c r="K1703" s="242"/>
      <c r="L1703" s="242"/>
      <c r="M1703" s="242"/>
      <c r="N1703" s="242"/>
      <c r="O1703" s="242"/>
      <c r="P1703" s="242"/>
      <c r="Q1703" s="242"/>
      <c r="R1703" s="226"/>
      <c r="S1703" s="30">
        <f t="shared" si="9"/>
        <v>0</v>
      </c>
      <c r="T1703" s="243"/>
      <c r="U1703" s="242"/>
      <c r="V1703" s="242"/>
      <c r="W1703" s="242"/>
      <c r="X1703" s="242"/>
      <c r="Y1703" s="241"/>
      <c r="Z1703" s="242"/>
      <c r="AA1703" s="135"/>
      <c r="AB1703" s="241"/>
      <c r="AC1703" s="242"/>
      <c r="AD1703" s="242"/>
      <c r="AE1703" s="242"/>
      <c r="AF1703" s="242"/>
      <c r="AG1703" s="242"/>
      <c r="AH1703" s="242"/>
      <c r="AI1703" s="242"/>
      <c r="AJ1703" s="242"/>
      <c r="AK1703" s="242"/>
      <c r="AL1703" s="242"/>
      <c r="AM1703" s="242"/>
      <c r="AN1703" s="242"/>
      <c r="AO1703" s="242"/>
      <c r="AP1703" s="242"/>
      <c r="AQ1703" s="242"/>
      <c r="AR1703" s="242"/>
      <c r="AS1703" s="242"/>
      <c r="AT1703" s="242"/>
    </row>
    <row r="1704" spans="1:46" ht="45" customHeight="1">
      <c r="A1704" s="243"/>
      <c r="B1704" s="241"/>
      <c r="C1704" s="66"/>
      <c r="D1704" s="15"/>
      <c r="E1704" s="15"/>
      <c r="F1704" s="242"/>
      <c r="G1704" s="242"/>
      <c r="H1704" s="242"/>
      <c r="I1704" s="242"/>
      <c r="J1704" s="242"/>
      <c r="K1704" s="242"/>
      <c r="L1704" s="242"/>
      <c r="M1704" s="242"/>
      <c r="N1704" s="242"/>
      <c r="O1704" s="242"/>
      <c r="P1704" s="242"/>
      <c r="Q1704" s="242"/>
      <c r="R1704" s="226"/>
      <c r="S1704" s="30">
        <f t="shared" si="9"/>
        <v>0</v>
      </c>
      <c r="T1704" s="243"/>
      <c r="U1704" s="242"/>
      <c r="V1704" s="242"/>
      <c r="W1704" s="242"/>
      <c r="X1704" s="242"/>
      <c r="Y1704" s="241"/>
      <c r="Z1704" s="242"/>
      <c r="AA1704" s="135"/>
      <c r="AB1704" s="241"/>
      <c r="AC1704" s="242"/>
      <c r="AD1704" s="242"/>
      <c r="AE1704" s="242"/>
      <c r="AF1704" s="242"/>
      <c r="AG1704" s="242"/>
      <c r="AH1704" s="242"/>
      <c r="AI1704" s="242"/>
      <c r="AJ1704" s="242"/>
      <c r="AK1704" s="242"/>
      <c r="AL1704" s="242"/>
      <c r="AM1704" s="242"/>
      <c r="AN1704" s="242"/>
      <c r="AO1704" s="242"/>
      <c r="AP1704" s="242"/>
      <c r="AQ1704" s="242"/>
      <c r="AR1704" s="242"/>
      <c r="AS1704" s="242"/>
      <c r="AT1704" s="242"/>
    </row>
    <row r="1705" spans="1:46" ht="45" customHeight="1">
      <c r="A1705" s="243"/>
      <c r="B1705" s="241"/>
      <c r="C1705" s="66"/>
      <c r="D1705" s="15"/>
      <c r="E1705" s="15"/>
      <c r="F1705" s="242"/>
      <c r="G1705" s="242"/>
      <c r="H1705" s="242"/>
      <c r="I1705" s="242"/>
      <c r="J1705" s="242"/>
      <c r="K1705" s="242"/>
      <c r="L1705" s="242"/>
      <c r="M1705" s="242"/>
      <c r="N1705" s="242"/>
      <c r="O1705" s="242"/>
      <c r="P1705" s="242"/>
      <c r="Q1705" s="242"/>
      <c r="R1705" s="226"/>
      <c r="S1705" s="30">
        <f t="shared" si="9"/>
        <v>0</v>
      </c>
      <c r="T1705" s="243"/>
      <c r="U1705" s="242"/>
      <c r="V1705" s="242"/>
      <c r="W1705" s="242"/>
      <c r="X1705" s="242"/>
      <c r="Y1705" s="241"/>
      <c r="Z1705" s="242"/>
      <c r="AA1705" s="135"/>
      <c r="AB1705" s="241"/>
      <c r="AC1705" s="242"/>
      <c r="AD1705" s="242"/>
      <c r="AE1705" s="242"/>
      <c r="AF1705" s="242"/>
      <c r="AG1705" s="242"/>
      <c r="AH1705" s="242"/>
      <c r="AI1705" s="242"/>
      <c r="AJ1705" s="242"/>
      <c r="AK1705" s="242"/>
      <c r="AL1705" s="242"/>
      <c r="AM1705" s="242"/>
      <c r="AN1705" s="242"/>
      <c r="AO1705" s="242"/>
      <c r="AP1705" s="242"/>
      <c r="AQ1705" s="242"/>
      <c r="AR1705" s="242"/>
      <c r="AS1705" s="242"/>
      <c r="AT1705" s="242"/>
    </row>
    <row r="1706" spans="1:46" ht="45" customHeight="1">
      <c r="A1706" s="243"/>
      <c r="B1706" s="241"/>
      <c r="C1706" s="66"/>
      <c r="D1706" s="15"/>
      <c r="E1706" s="15"/>
      <c r="F1706" s="242"/>
      <c r="G1706" s="242"/>
      <c r="H1706" s="242"/>
      <c r="I1706" s="242"/>
      <c r="J1706" s="242"/>
      <c r="K1706" s="242"/>
      <c r="L1706" s="242"/>
      <c r="M1706" s="242"/>
      <c r="N1706" s="242"/>
      <c r="O1706" s="242"/>
      <c r="P1706" s="242"/>
      <c r="Q1706" s="242"/>
      <c r="R1706" s="226"/>
      <c r="S1706" s="30">
        <f t="shared" si="9"/>
        <v>0</v>
      </c>
      <c r="T1706" s="243"/>
      <c r="U1706" s="242"/>
      <c r="V1706" s="242"/>
      <c r="W1706" s="242"/>
      <c r="X1706" s="242"/>
      <c r="Y1706" s="241"/>
      <c r="Z1706" s="242"/>
      <c r="AA1706" s="135"/>
      <c r="AB1706" s="241"/>
      <c r="AC1706" s="242"/>
      <c r="AD1706" s="242"/>
      <c r="AE1706" s="242"/>
      <c r="AF1706" s="242"/>
      <c r="AG1706" s="242"/>
      <c r="AH1706" s="242"/>
      <c r="AI1706" s="242"/>
      <c r="AJ1706" s="242"/>
      <c r="AK1706" s="242"/>
      <c r="AL1706" s="242"/>
      <c r="AM1706" s="242"/>
      <c r="AN1706" s="242"/>
      <c r="AO1706" s="242"/>
      <c r="AP1706" s="242"/>
      <c r="AQ1706" s="242"/>
      <c r="AR1706" s="242"/>
      <c r="AS1706" s="242"/>
      <c r="AT1706" s="242"/>
    </row>
    <row r="1707" spans="1:46" ht="45" customHeight="1">
      <c r="A1707" s="243"/>
      <c r="B1707" s="241"/>
      <c r="C1707" s="66"/>
      <c r="D1707" s="15"/>
      <c r="E1707" s="15"/>
      <c r="F1707" s="242"/>
      <c r="G1707" s="242"/>
      <c r="H1707" s="242"/>
      <c r="I1707" s="242"/>
      <c r="J1707" s="242"/>
      <c r="K1707" s="242"/>
      <c r="L1707" s="242"/>
      <c r="M1707" s="242"/>
      <c r="N1707" s="242"/>
      <c r="O1707" s="242"/>
      <c r="P1707" s="242"/>
      <c r="Q1707" s="242"/>
      <c r="R1707" s="226"/>
      <c r="S1707" s="30">
        <f t="shared" si="9"/>
        <v>0</v>
      </c>
      <c r="T1707" s="243"/>
      <c r="U1707" s="242"/>
      <c r="V1707" s="242"/>
      <c r="W1707" s="242"/>
      <c r="X1707" s="242"/>
      <c r="Y1707" s="241"/>
      <c r="Z1707" s="242"/>
      <c r="AA1707" s="135"/>
      <c r="AB1707" s="241"/>
      <c r="AC1707" s="242"/>
      <c r="AD1707" s="242"/>
      <c r="AE1707" s="242"/>
      <c r="AF1707" s="242"/>
      <c r="AG1707" s="242"/>
      <c r="AH1707" s="242"/>
      <c r="AI1707" s="242"/>
      <c r="AJ1707" s="242"/>
      <c r="AK1707" s="242"/>
      <c r="AL1707" s="242"/>
      <c r="AM1707" s="242"/>
      <c r="AN1707" s="242"/>
      <c r="AO1707" s="242"/>
      <c r="AP1707" s="242"/>
      <c r="AQ1707" s="242"/>
      <c r="AR1707" s="242"/>
      <c r="AS1707" s="242"/>
      <c r="AT1707" s="242"/>
    </row>
    <row r="1708" spans="1:46" ht="45" customHeight="1">
      <c r="A1708" s="243"/>
      <c r="B1708" s="241"/>
      <c r="C1708" s="66"/>
      <c r="D1708" s="15"/>
      <c r="E1708" s="15"/>
      <c r="F1708" s="242"/>
      <c r="G1708" s="242"/>
      <c r="H1708" s="242"/>
      <c r="I1708" s="242"/>
      <c r="J1708" s="242"/>
      <c r="K1708" s="242"/>
      <c r="L1708" s="242"/>
      <c r="M1708" s="242"/>
      <c r="N1708" s="242"/>
      <c r="O1708" s="242"/>
      <c r="P1708" s="242"/>
      <c r="Q1708" s="242"/>
      <c r="R1708" s="226"/>
      <c r="S1708" s="30">
        <f t="shared" si="9"/>
        <v>0</v>
      </c>
      <c r="T1708" s="243"/>
      <c r="U1708" s="242"/>
      <c r="V1708" s="242"/>
      <c r="W1708" s="242"/>
      <c r="X1708" s="242"/>
      <c r="Y1708" s="241"/>
      <c r="Z1708" s="242"/>
      <c r="AA1708" s="135"/>
      <c r="AB1708" s="241"/>
      <c r="AC1708" s="242"/>
      <c r="AD1708" s="242"/>
      <c r="AE1708" s="242"/>
      <c r="AF1708" s="242"/>
      <c r="AG1708" s="242"/>
      <c r="AH1708" s="242"/>
      <c r="AI1708" s="242"/>
      <c r="AJ1708" s="242"/>
      <c r="AK1708" s="242"/>
      <c r="AL1708" s="242"/>
      <c r="AM1708" s="242"/>
      <c r="AN1708" s="242"/>
      <c r="AO1708" s="242"/>
      <c r="AP1708" s="242"/>
      <c r="AQ1708" s="242"/>
      <c r="AR1708" s="242"/>
      <c r="AS1708" s="242"/>
      <c r="AT1708" s="242"/>
    </row>
    <row r="1709" spans="1:46" ht="45" customHeight="1">
      <c r="A1709" s="243"/>
      <c r="B1709" s="241"/>
      <c r="C1709" s="66"/>
      <c r="D1709" s="15"/>
      <c r="E1709" s="15"/>
      <c r="F1709" s="242"/>
      <c r="G1709" s="242"/>
      <c r="H1709" s="242"/>
      <c r="I1709" s="242"/>
      <c r="J1709" s="242"/>
      <c r="K1709" s="242"/>
      <c r="L1709" s="242"/>
      <c r="M1709" s="242"/>
      <c r="N1709" s="242"/>
      <c r="O1709" s="242"/>
      <c r="P1709" s="242"/>
      <c r="Q1709" s="242"/>
      <c r="R1709" s="226"/>
      <c r="S1709" s="30">
        <f t="shared" si="9"/>
        <v>0</v>
      </c>
      <c r="T1709" s="243"/>
      <c r="U1709" s="242"/>
      <c r="V1709" s="242"/>
      <c r="W1709" s="242"/>
      <c r="X1709" s="242"/>
      <c r="Y1709" s="241"/>
      <c r="Z1709" s="242"/>
      <c r="AA1709" s="135"/>
      <c r="AB1709" s="241"/>
      <c r="AC1709" s="242"/>
      <c r="AD1709" s="242"/>
      <c r="AE1709" s="242"/>
      <c r="AF1709" s="242"/>
      <c r="AG1709" s="242"/>
      <c r="AH1709" s="242"/>
      <c r="AI1709" s="242"/>
      <c r="AJ1709" s="242"/>
      <c r="AK1709" s="242"/>
      <c r="AL1709" s="242"/>
      <c r="AM1709" s="242"/>
      <c r="AN1709" s="242"/>
      <c r="AO1709" s="242"/>
      <c r="AP1709" s="242"/>
      <c r="AQ1709" s="242"/>
      <c r="AR1709" s="242"/>
      <c r="AS1709" s="242"/>
      <c r="AT1709" s="242"/>
    </row>
    <row r="1710" spans="1:46" ht="45" customHeight="1">
      <c r="A1710" s="243"/>
      <c r="B1710" s="241"/>
      <c r="C1710" s="66"/>
      <c r="D1710" s="15"/>
      <c r="E1710" s="15"/>
      <c r="F1710" s="242"/>
      <c r="G1710" s="242"/>
      <c r="H1710" s="242"/>
      <c r="I1710" s="242"/>
      <c r="J1710" s="242"/>
      <c r="K1710" s="242"/>
      <c r="L1710" s="242"/>
      <c r="M1710" s="242"/>
      <c r="N1710" s="242"/>
      <c r="O1710" s="242"/>
      <c r="P1710" s="242"/>
      <c r="Q1710" s="242"/>
      <c r="R1710" s="226"/>
      <c r="S1710" s="30">
        <f t="shared" si="9"/>
        <v>0</v>
      </c>
      <c r="T1710" s="243"/>
      <c r="U1710" s="242"/>
      <c r="V1710" s="242"/>
      <c r="W1710" s="242"/>
      <c r="X1710" s="242"/>
      <c r="Y1710" s="241"/>
      <c r="Z1710" s="242"/>
      <c r="AA1710" s="135"/>
      <c r="AB1710" s="241"/>
      <c r="AC1710" s="242"/>
      <c r="AD1710" s="242"/>
      <c r="AE1710" s="242"/>
      <c r="AF1710" s="242"/>
      <c r="AG1710" s="242"/>
      <c r="AH1710" s="242"/>
      <c r="AI1710" s="242"/>
      <c r="AJ1710" s="242"/>
      <c r="AK1710" s="242"/>
      <c r="AL1710" s="242"/>
      <c r="AM1710" s="242"/>
      <c r="AN1710" s="242"/>
      <c r="AO1710" s="242"/>
      <c r="AP1710" s="242"/>
      <c r="AQ1710" s="242"/>
      <c r="AR1710" s="242"/>
      <c r="AS1710" s="242"/>
      <c r="AT1710" s="242"/>
    </row>
    <row r="1711" spans="1:46" ht="45" customHeight="1">
      <c r="A1711" s="243"/>
      <c r="B1711" s="241"/>
      <c r="C1711" s="66"/>
      <c r="D1711" s="15"/>
      <c r="E1711" s="15"/>
      <c r="F1711" s="242"/>
      <c r="G1711" s="242"/>
      <c r="H1711" s="242"/>
      <c r="I1711" s="242"/>
      <c r="J1711" s="242"/>
      <c r="K1711" s="242"/>
      <c r="L1711" s="242"/>
      <c r="M1711" s="242"/>
      <c r="N1711" s="242"/>
      <c r="O1711" s="242"/>
      <c r="P1711" s="242"/>
      <c r="Q1711" s="242"/>
      <c r="R1711" s="226"/>
      <c r="S1711" s="30">
        <f t="shared" si="9"/>
        <v>0</v>
      </c>
      <c r="T1711" s="243"/>
      <c r="U1711" s="242"/>
      <c r="V1711" s="242"/>
      <c r="W1711" s="242"/>
      <c r="X1711" s="242"/>
      <c r="Y1711" s="241"/>
      <c r="Z1711" s="242"/>
      <c r="AA1711" s="135"/>
      <c r="AB1711" s="241"/>
      <c r="AC1711" s="242"/>
      <c r="AD1711" s="242"/>
      <c r="AE1711" s="242"/>
      <c r="AF1711" s="242"/>
      <c r="AG1711" s="242"/>
      <c r="AH1711" s="242"/>
      <c r="AI1711" s="242"/>
      <c r="AJ1711" s="242"/>
      <c r="AK1711" s="242"/>
      <c r="AL1711" s="242"/>
      <c r="AM1711" s="242"/>
      <c r="AN1711" s="242"/>
      <c r="AO1711" s="242"/>
      <c r="AP1711" s="242"/>
      <c r="AQ1711" s="242"/>
      <c r="AR1711" s="242"/>
      <c r="AS1711" s="242"/>
      <c r="AT1711" s="242"/>
    </row>
    <row r="1712" spans="1:46" ht="45" customHeight="1">
      <c r="A1712" s="243"/>
      <c r="B1712" s="241"/>
      <c r="C1712" s="66"/>
      <c r="D1712" s="15"/>
      <c r="E1712" s="15"/>
      <c r="F1712" s="242"/>
      <c r="G1712" s="242"/>
      <c r="H1712" s="242"/>
      <c r="I1712" s="242"/>
      <c r="J1712" s="242"/>
      <c r="K1712" s="242"/>
      <c r="L1712" s="242"/>
      <c r="M1712" s="242"/>
      <c r="N1712" s="242"/>
      <c r="O1712" s="242"/>
      <c r="P1712" s="242"/>
      <c r="Q1712" s="242"/>
      <c r="R1712" s="226"/>
      <c r="S1712" s="30">
        <f t="shared" si="9"/>
        <v>0</v>
      </c>
      <c r="T1712" s="243"/>
      <c r="U1712" s="242"/>
      <c r="V1712" s="242"/>
      <c r="W1712" s="242"/>
      <c r="X1712" s="242"/>
      <c r="Y1712" s="241"/>
      <c r="Z1712" s="242"/>
      <c r="AA1712" s="135"/>
      <c r="AB1712" s="241"/>
      <c r="AC1712" s="242"/>
      <c r="AD1712" s="242"/>
      <c r="AE1712" s="242"/>
      <c r="AF1712" s="242"/>
      <c r="AG1712" s="242"/>
      <c r="AH1712" s="242"/>
      <c r="AI1712" s="242"/>
      <c r="AJ1712" s="242"/>
      <c r="AK1712" s="242"/>
      <c r="AL1712" s="242"/>
      <c r="AM1712" s="242"/>
      <c r="AN1712" s="242"/>
      <c r="AO1712" s="242"/>
      <c r="AP1712" s="242"/>
      <c r="AQ1712" s="242"/>
      <c r="AR1712" s="242"/>
      <c r="AS1712" s="242"/>
      <c r="AT1712" s="242"/>
    </row>
    <row r="1713" spans="1:46" ht="45" customHeight="1">
      <c r="A1713" s="243"/>
      <c r="B1713" s="241"/>
      <c r="C1713" s="66"/>
      <c r="D1713" s="15"/>
      <c r="E1713" s="15"/>
      <c r="F1713" s="242"/>
      <c r="G1713" s="242"/>
      <c r="H1713" s="242"/>
      <c r="I1713" s="242"/>
      <c r="J1713" s="242"/>
      <c r="K1713" s="242"/>
      <c r="L1713" s="242"/>
      <c r="M1713" s="242"/>
      <c r="N1713" s="242"/>
      <c r="O1713" s="242"/>
      <c r="P1713" s="242"/>
      <c r="Q1713" s="242"/>
      <c r="R1713" s="226"/>
      <c r="S1713" s="30">
        <f t="shared" si="9"/>
        <v>0</v>
      </c>
      <c r="T1713" s="243"/>
      <c r="U1713" s="242"/>
      <c r="V1713" s="242"/>
      <c r="W1713" s="242"/>
      <c r="X1713" s="242"/>
      <c r="Y1713" s="241"/>
      <c r="Z1713" s="242"/>
      <c r="AA1713" s="135"/>
      <c r="AB1713" s="241"/>
      <c r="AC1713" s="242"/>
      <c r="AD1713" s="242"/>
      <c r="AE1713" s="242"/>
      <c r="AF1713" s="242"/>
      <c r="AG1713" s="242"/>
      <c r="AH1713" s="242"/>
      <c r="AI1713" s="242"/>
      <c r="AJ1713" s="242"/>
      <c r="AK1713" s="242"/>
      <c r="AL1713" s="242"/>
      <c r="AM1713" s="242"/>
      <c r="AN1713" s="242"/>
      <c r="AO1713" s="242"/>
      <c r="AP1713" s="242"/>
      <c r="AQ1713" s="242"/>
      <c r="AR1713" s="242"/>
      <c r="AS1713" s="242"/>
      <c r="AT1713" s="242"/>
    </row>
    <row r="1714" spans="1:46" ht="45" customHeight="1">
      <c r="A1714" s="243"/>
      <c r="B1714" s="241"/>
      <c r="C1714" s="66"/>
      <c r="D1714" s="15"/>
      <c r="E1714" s="15"/>
      <c r="F1714" s="242"/>
      <c r="G1714" s="242"/>
      <c r="H1714" s="242"/>
      <c r="I1714" s="242"/>
      <c r="J1714" s="242"/>
      <c r="K1714" s="242"/>
      <c r="L1714" s="242"/>
      <c r="M1714" s="242"/>
      <c r="N1714" s="242"/>
      <c r="O1714" s="242"/>
      <c r="P1714" s="242"/>
      <c r="Q1714" s="242"/>
      <c r="R1714" s="226"/>
      <c r="S1714" s="30">
        <f t="shared" si="9"/>
        <v>0</v>
      </c>
      <c r="T1714" s="243"/>
      <c r="U1714" s="242"/>
      <c r="V1714" s="242"/>
      <c r="W1714" s="242"/>
      <c r="X1714" s="242"/>
      <c r="Y1714" s="241"/>
      <c r="Z1714" s="242"/>
      <c r="AA1714" s="135"/>
      <c r="AB1714" s="241"/>
      <c r="AC1714" s="242"/>
      <c r="AD1714" s="242"/>
      <c r="AE1714" s="242"/>
      <c r="AF1714" s="242"/>
      <c r="AG1714" s="242"/>
      <c r="AH1714" s="242"/>
      <c r="AI1714" s="242"/>
      <c r="AJ1714" s="242"/>
      <c r="AK1714" s="242"/>
      <c r="AL1714" s="242"/>
      <c r="AM1714" s="242"/>
      <c r="AN1714" s="242"/>
      <c r="AO1714" s="242"/>
      <c r="AP1714" s="242"/>
      <c r="AQ1714" s="242"/>
      <c r="AR1714" s="242"/>
      <c r="AS1714" s="242"/>
      <c r="AT1714" s="242"/>
    </row>
    <row r="1715" spans="1:46" ht="45" customHeight="1">
      <c r="A1715" s="243"/>
      <c r="B1715" s="241"/>
      <c r="C1715" s="66"/>
      <c r="D1715" s="15"/>
      <c r="E1715" s="15"/>
      <c r="F1715" s="242"/>
      <c r="G1715" s="242"/>
      <c r="H1715" s="242"/>
      <c r="I1715" s="242"/>
      <c r="J1715" s="242"/>
      <c r="K1715" s="242"/>
      <c r="L1715" s="242"/>
      <c r="M1715" s="242"/>
      <c r="N1715" s="242"/>
      <c r="O1715" s="242"/>
      <c r="P1715" s="242"/>
      <c r="Q1715" s="242"/>
      <c r="R1715" s="226"/>
      <c r="S1715" s="30">
        <f t="shared" si="9"/>
        <v>0</v>
      </c>
      <c r="T1715" s="243"/>
      <c r="U1715" s="242"/>
      <c r="V1715" s="242"/>
      <c r="W1715" s="242"/>
      <c r="X1715" s="242"/>
      <c r="Y1715" s="241"/>
      <c r="Z1715" s="242"/>
      <c r="AA1715" s="135"/>
      <c r="AB1715" s="241"/>
      <c r="AC1715" s="242"/>
      <c r="AD1715" s="242"/>
      <c r="AE1715" s="242"/>
      <c r="AF1715" s="242"/>
      <c r="AG1715" s="242"/>
      <c r="AH1715" s="242"/>
      <c r="AI1715" s="242"/>
      <c r="AJ1715" s="242"/>
      <c r="AK1715" s="242"/>
      <c r="AL1715" s="242"/>
      <c r="AM1715" s="242"/>
      <c r="AN1715" s="242"/>
      <c r="AO1715" s="242"/>
      <c r="AP1715" s="242"/>
      <c r="AQ1715" s="242"/>
      <c r="AR1715" s="242"/>
      <c r="AS1715" s="242"/>
      <c r="AT1715" s="242"/>
    </row>
    <row r="1716" spans="1:46" ht="45" customHeight="1">
      <c r="A1716" s="243"/>
      <c r="B1716" s="241"/>
      <c r="C1716" s="66"/>
      <c r="D1716" s="15"/>
      <c r="E1716" s="15"/>
      <c r="F1716" s="242"/>
      <c r="G1716" s="242"/>
      <c r="H1716" s="242"/>
      <c r="I1716" s="242"/>
      <c r="J1716" s="242"/>
      <c r="K1716" s="242"/>
      <c r="L1716" s="242"/>
      <c r="M1716" s="242"/>
      <c r="N1716" s="242"/>
      <c r="O1716" s="242"/>
      <c r="P1716" s="242"/>
      <c r="Q1716" s="242"/>
      <c r="R1716" s="226"/>
      <c r="S1716" s="30">
        <f t="shared" si="9"/>
        <v>0</v>
      </c>
      <c r="T1716" s="243"/>
      <c r="U1716" s="242"/>
      <c r="V1716" s="242"/>
      <c r="W1716" s="242"/>
      <c r="X1716" s="242"/>
      <c r="Y1716" s="241"/>
      <c r="Z1716" s="242"/>
      <c r="AA1716" s="135"/>
      <c r="AB1716" s="241"/>
      <c r="AC1716" s="242"/>
      <c r="AD1716" s="242"/>
      <c r="AE1716" s="242"/>
      <c r="AF1716" s="242"/>
      <c r="AG1716" s="242"/>
      <c r="AH1716" s="242"/>
      <c r="AI1716" s="242"/>
      <c r="AJ1716" s="242"/>
      <c r="AK1716" s="242"/>
      <c r="AL1716" s="242"/>
      <c r="AM1716" s="242"/>
      <c r="AN1716" s="242"/>
      <c r="AO1716" s="242"/>
      <c r="AP1716" s="242"/>
      <c r="AQ1716" s="242"/>
      <c r="AR1716" s="242"/>
      <c r="AS1716" s="242"/>
      <c r="AT1716" s="242"/>
    </row>
    <row r="1717" spans="1:46" ht="45" customHeight="1">
      <c r="A1717" s="243"/>
      <c r="B1717" s="241"/>
      <c r="C1717" s="66"/>
      <c r="D1717" s="15"/>
      <c r="E1717" s="15"/>
      <c r="F1717" s="242"/>
      <c r="G1717" s="242"/>
      <c r="H1717" s="242"/>
      <c r="I1717" s="242"/>
      <c r="J1717" s="242"/>
      <c r="K1717" s="242"/>
      <c r="L1717" s="242"/>
      <c r="M1717" s="242"/>
      <c r="N1717" s="242"/>
      <c r="O1717" s="242"/>
      <c r="P1717" s="242"/>
      <c r="Q1717" s="242"/>
      <c r="R1717" s="226"/>
      <c r="S1717" s="30">
        <f t="shared" si="9"/>
        <v>0</v>
      </c>
      <c r="T1717" s="243"/>
      <c r="U1717" s="242"/>
      <c r="V1717" s="242"/>
      <c r="W1717" s="242"/>
      <c r="X1717" s="242"/>
      <c r="Y1717" s="241"/>
      <c r="Z1717" s="242"/>
      <c r="AA1717" s="135"/>
      <c r="AB1717" s="241"/>
      <c r="AC1717" s="242"/>
      <c r="AD1717" s="242"/>
      <c r="AE1717" s="242"/>
      <c r="AF1717" s="242"/>
      <c r="AG1717" s="242"/>
      <c r="AH1717" s="242"/>
      <c r="AI1717" s="242"/>
      <c r="AJ1717" s="242"/>
      <c r="AK1717" s="242"/>
      <c r="AL1717" s="242"/>
      <c r="AM1717" s="242"/>
      <c r="AN1717" s="242"/>
      <c r="AO1717" s="242"/>
      <c r="AP1717" s="242"/>
      <c r="AQ1717" s="242"/>
      <c r="AR1717" s="242"/>
      <c r="AS1717" s="242"/>
      <c r="AT1717" s="242"/>
    </row>
    <row r="1718" spans="1:46" ht="45" customHeight="1">
      <c r="A1718" s="243"/>
      <c r="B1718" s="241"/>
      <c r="C1718" s="66"/>
      <c r="D1718" s="15"/>
      <c r="E1718" s="15"/>
      <c r="F1718" s="242"/>
      <c r="G1718" s="242"/>
      <c r="H1718" s="242"/>
      <c r="I1718" s="242"/>
      <c r="J1718" s="242"/>
      <c r="K1718" s="242"/>
      <c r="L1718" s="242"/>
      <c r="M1718" s="242"/>
      <c r="N1718" s="242"/>
      <c r="O1718" s="242"/>
      <c r="P1718" s="242"/>
      <c r="Q1718" s="242"/>
      <c r="R1718" s="226"/>
      <c r="S1718" s="30">
        <f t="shared" si="9"/>
        <v>0</v>
      </c>
      <c r="T1718" s="243"/>
      <c r="U1718" s="242"/>
      <c r="V1718" s="242"/>
      <c r="W1718" s="242"/>
      <c r="X1718" s="242"/>
      <c r="Y1718" s="241"/>
      <c r="Z1718" s="242"/>
      <c r="AA1718" s="135"/>
      <c r="AB1718" s="241"/>
      <c r="AC1718" s="242"/>
      <c r="AD1718" s="242"/>
      <c r="AE1718" s="242"/>
      <c r="AF1718" s="242"/>
      <c r="AG1718" s="242"/>
      <c r="AH1718" s="242"/>
      <c r="AI1718" s="242"/>
      <c r="AJ1718" s="242"/>
      <c r="AK1718" s="242"/>
      <c r="AL1718" s="242"/>
      <c r="AM1718" s="242"/>
      <c r="AN1718" s="242"/>
      <c r="AO1718" s="242"/>
      <c r="AP1718" s="242"/>
      <c r="AQ1718" s="242"/>
      <c r="AR1718" s="242"/>
      <c r="AS1718" s="242"/>
      <c r="AT1718" s="242"/>
    </row>
    <row r="1719" spans="1:46" ht="45" customHeight="1">
      <c r="A1719" s="243"/>
      <c r="B1719" s="241"/>
      <c r="C1719" s="66"/>
      <c r="D1719" s="15"/>
      <c r="E1719" s="15"/>
      <c r="F1719" s="242"/>
      <c r="G1719" s="242"/>
      <c r="H1719" s="242"/>
      <c r="I1719" s="242"/>
      <c r="J1719" s="242"/>
      <c r="K1719" s="242"/>
      <c r="L1719" s="242"/>
      <c r="M1719" s="242"/>
      <c r="N1719" s="242"/>
      <c r="O1719" s="242"/>
      <c r="P1719" s="242"/>
      <c r="Q1719" s="242"/>
      <c r="R1719" s="226"/>
      <c r="S1719" s="30">
        <f t="shared" si="9"/>
        <v>0</v>
      </c>
      <c r="T1719" s="243"/>
      <c r="U1719" s="242"/>
      <c r="V1719" s="242"/>
      <c r="W1719" s="242"/>
      <c r="X1719" s="242"/>
      <c r="Y1719" s="241"/>
      <c r="Z1719" s="242"/>
      <c r="AA1719" s="135"/>
      <c r="AB1719" s="241"/>
      <c r="AC1719" s="242"/>
      <c r="AD1719" s="242"/>
      <c r="AE1719" s="242"/>
      <c r="AF1719" s="242"/>
      <c r="AG1719" s="242"/>
      <c r="AH1719" s="242"/>
      <c r="AI1719" s="242"/>
      <c r="AJ1719" s="242"/>
      <c r="AK1719" s="242"/>
      <c r="AL1719" s="242"/>
      <c r="AM1719" s="242"/>
      <c r="AN1719" s="242"/>
      <c r="AO1719" s="242"/>
      <c r="AP1719" s="242"/>
      <c r="AQ1719" s="242"/>
      <c r="AR1719" s="242"/>
      <c r="AS1719" s="242"/>
      <c r="AT1719" s="242"/>
    </row>
    <row r="1720" spans="1:46" ht="45" customHeight="1">
      <c r="A1720" s="243"/>
      <c r="B1720" s="241"/>
      <c r="C1720" s="66"/>
      <c r="D1720" s="15"/>
      <c r="E1720" s="15"/>
      <c r="F1720" s="242"/>
      <c r="G1720" s="242"/>
      <c r="H1720" s="242"/>
      <c r="I1720" s="242"/>
      <c r="J1720" s="242"/>
      <c r="K1720" s="242"/>
      <c r="L1720" s="242"/>
      <c r="M1720" s="242"/>
      <c r="N1720" s="242"/>
      <c r="O1720" s="242"/>
      <c r="P1720" s="242"/>
      <c r="Q1720" s="242"/>
      <c r="R1720" s="226"/>
      <c r="S1720" s="30">
        <f t="shared" si="9"/>
        <v>0</v>
      </c>
      <c r="T1720" s="243"/>
      <c r="U1720" s="242"/>
      <c r="V1720" s="242"/>
      <c r="W1720" s="242"/>
      <c r="X1720" s="242"/>
      <c r="Y1720" s="241"/>
      <c r="Z1720" s="242"/>
      <c r="AA1720" s="135"/>
      <c r="AB1720" s="241"/>
      <c r="AC1720" s="242"/>
      <c r="AD1720" s="242"/>
      <c r="AE1720" s="242"/>
      <c r="AF1720" s="242"/>
      <c r="AG1720" s="242"/>
      <c r="AH1720" s="242"/>
      <c r="AI1720" s="242"/>
      <c r="AJ1720" s="242"/>
      <c r="AK1720" s="242"/>
      <c r="AL1720" s="242"/>
      <c r="AM1720" s="242"/>
      <c r="AN1720" s="242"/>
      <c r="AO1720" s="242"/>
      <c r="AP1720" s="242"/>
      <c r="AQ1720" s="242"/>
      <c r="AR1720" s="242"/>
      <c r="AS1720" s="242"/>
      <c r="AT1720" s="242"/>
    </row>
    <row r="1721" spans="1:46" ht="45" customHeight="1">
      <c r="A1721" s="243"/>
      <c r="B1721" s="241"/>
      <c r="C1721" s="66"/>
      <c r="D1721" s="15"/>
      <c r="E1721" s="15"/>
      <c r="F1721" s="242"/>
      <c r="G1721" s="242"/>
      <c r="H1721" s="242"/>
      <c r="I1721" s="242"/>
      <c r="J1721" s="242"/>
      <c r="K1721" s="242"/>
      <c r="L1721" s="242"/>
      <c r="M1721" s="242"/>
      <c r="N1721" s="242"/>
      <c r="O1721" s="242"/>
      <c r="P1721" s="242"/>
      <c r="Q1721" s="242"/>
      <c r="R1721" s="226"/>
      <c r="S1721" s="30">
        <f t="shared" si="9"/>
        <v>0</v>
      </c>
      <c r="T1721" s="243"/>
      <c r="U1721" s="242"/>
      <c r="V1721" s="242"/>
      <c r="W1721" s="242"/>
      <c r="X1721" s="242"/>
      <c r="Y1721" s="241"/>
      <c r="Z1721" s="242"/>
      <c r="AA1721" s="135"/>
      <c r="AB1721" s="241"/>
      <c r="AC1721" s="242"/>
      <c r="AD1721" s="242"/>
      <c r="AE1721" s="242"/>
      <c r="AF1721" s="242"/>
      <c r="AG1721" s="242"/>
      <c r="AH1721" s="242"/>
      <c r="AI1721" s="242"/>
      <c r="AJ1721" s="242"/>
      <c r="AK1721" s="242"/>
      <c r="AL1721" s="242"/>
      <c r="AM1721" s="242"/>
      <c r="AN1721" s="242"/>
      <c r="AO1721" s="242"/>
      <c r="AP1721" s="242"/>
      <c r="AQ1721" s="242"/>
      <c r="AR1721" s="242"/>
      <c r="AS1721" s="242"/>
      <c r="AT1721" s="242"/>
    </row>
    <row r="1722" spans="1:46" ht="45" customHeight="1">
      <c r="A1722" s="243"/>
      <c r="B1722" s="241"/>
      <c r="C1722" s="66"/>
      <c r="D1722" s="15"/>
      <c r="E1722" s="15"/>
      <c r="F1722" s="242"/>
      <c r="G1722" s="242"/>
      <c r="H1722" s="242"/>
      <c r="I1722" s="242"/>
      <c r="J1722" s="242"/>
      <c r="K1722" s="242"/>
      <c r="L1722" s="242"/>
      <c r="M1722" s="242"/>
      <c r="N1722" s="242"/>
      <c r="O1722" s="242"/>
      <c r="P1722" s="242"/>
      <c r="Q1722" s="242"/>
      <c r="R1722" s="226"/>
      <c r="S1722" s="30">
        <f t="shared" si="9"/>
        <v>0</v>
      </c>
      <c r="T1722" s="243"/>
      <c r="U1722" s="242"/>
      <c r="V1722" s="242"/>
      <c r="W1722" s="242"/>
      <c r="X1722" s="242"/>
      <c r="Y1722" s="241"/>
      <c r="Z1722" s="242"/>
      <c r="AA1722" s="135"/>
      <c r="AB1722" s="241"/>
      <c r="AC1722" s="242"/>
      <c r="AD1722" s="242"/>
      <c r="AE1722" s="242"/>
      <c r="AF1722" s="242"/>
      <c r="AG1722" s="242"/>
      <c r="AH1722" s="242"/>
      <c r="AI1722" s="242"/>
      <c r="AJ1722" s="242"/>
      <c r="AK1722" s="242"/>
      <c r="AL1722" s="242"/>
      <c r="AM1722" s="242"/>
      <c r="AN1722" s="242"/>
      <c r="AO1722" s="242"/>
      <c r="AP1722" s="242"/>
      <c r="AQ1722" s="242"/>
      <c r="AR1722" s="242"/>
      <c r="AS1722" s="242"/>
      <c r="AT1722" s="242"/>
    </row>
    <row r="1723" spans="1:46" ht="45" customHeight="1">
      <c r="A1723" s="243"/>
      <c r="B1723" s="241"/>
      <c r="C1723" s="66"/>
      <c r="D1723" s="15"/>
      <c r="E1723" s="15"/>
      <c r="F1723" s="242"/>
      <c r="G1723" s="242"/>
      <c r="H1723" s="242"/>
      <c r="I1723" s="242"/>
      <c r="J1723" s="242"/>
      <c r="K1723" s="242"/>
      <c r="L1723" s="242"/>
      <c r="M1723" s="242"/>
      <c r="N1723" s="242"/>
      <c r="O1723" s="242"/>
      <c r="P1723" s="242"/>
      <c r="Q1723" s="242"/>
      <c r="R1723" s="226"/>
      <c r="S1723" s="30">
        <f t="shared" si="9"/>
        <v>0</v>
      </c>
      <c r="T1723" s="243"/>
      <c r="U1723" s="242"/>
      <c r="V1723" s="242"/>
      <c r="W1723" s="242"/>
      <c r="X1723" s="242"/>
      <c r="Y1723" s="241"/>
      <c r="Z1723" s="242"/>
      <c r="AA1723" s="135"/>
      <c r="AB1723" s="241"/>
      <c r="AC1723" s="242"/>
      <c r="AD1723" s="242"/>
      <c r="AE1723" s="242"/>
      <c r="AF1723" s="242"/>
      <c r="AG1723" s="242"/>
      <c r="AH1723" s="242"/>
      <c r="AI1723" s="242"/>
      <c r="AJ1723" s="242"/>
      <c r="AK1723" s="242"/>
      <c r="AL1723" s="242"/>
      <c r="AM1723" s="242"/>
      <c r="AN1723" s="242"/>
      <c r="AO1723" s="242"/>
      <c r="AP1723" s="242"/>
      <c r="AQ1723" s="242"/>
      <c r="AR1723" s="242"/>
      <c r="AS1723" s="242"/>
      <c r="AT1723" s="242"/>
    </row>
    <row r="1724" spans="1:46" ht="45" customHeight="1">
      <c r="A1724" s="243"/>
      <c r="B1724" s="241"/>
      <c r="C1724" s="66"/>
      <c r="D1724" s="15"/>
      <c r="E1724" s="15"/>
      <c r="F1724" s="242"/>
      <c r="G1724" s="242"/>
      <c r="H1724" s="242"/>
      <c r="I1724" s="242"/>
      <c r="J1724" s="242"/>
      <c r="K1724" s="242"/>
      <c r="L1724" s="242"/>
      <c r="M1724" s="242"/>
      <c r="N1724" s="242"/>
      <c r="O1724" s="242"/>
      <c r="P1724" s="242"/>
      <c r="Q1724" s="242"/>
      <c r="R1724" s="226"/>
      <c r="S1724" s="30">
        <f t="shared" si="9"/>
        <v>0</v>
      </c>
      <c r="T1724" s="243"/>
      <c r="U1724" s="242"/>
      <c r="V1724" s="242"/>
      <c r="W1724" s="242"/>
      <c r="X1724" s="242"/>
      <c r="Y1724" s="241"/>
      <c r="Z1724" s="242"/>
      <c r="AA1724" s="135"/>
      <c r="AB1724" s="241"/>
      <c r="AC1724" s="242"/>
      <c r="AD1724" s="242"/>
      <c r="AE1724" s="242"/>
      <c r="AF1724" s="242"/>
      <c r="AG1724" s="242"/>
      <c r="AH1724" s="242"/>
      <c r="AI1724" s="242"/>
      <c r="AJ1724" s="242"/>
      <c r="AK1724" s="242"/>
      <c r="AL1724" s="242"/>
      <c r="AM1724" s="242"/>
      <c r="AN1724" s="242"/>
      <c r="AO1724" s="242"/>
      <c r="AP1724" s="242"/>
      <c r="AQ1724" s="242"/>
      <c r="AR1724" s="242"/>
      <c r="AS1724" s="242"/>
      <c r="AT1724" s="242"/>
    </row>
    <row r="1725" spans="1:46" ht="45" customHeight="1">
      <c r="A1725" s="243"/>
      <c r="B1725" s="241"/>
      <c r="C1725" s="66"/>
      <c r="D1725" s="15"/>
      <c r="E1725" s="15"/>
      <c r="F1725" s="242"/>
      <c r="G1725" s="242"/>
      <c r="H1725" s="242"/>
      <c r="I1725" s="242"/>
      <c r="J1725" s="242"/>
      <c r="K1725" s="242"/>
      <c r="L1725" s="242"/>
      <c r="M1725" s="242"/>
      <c r="N1725" s="242"/>
      <c r="O1725" s="242"/>
      <c r="P1725" s="242"/>
      <c r="Q1725" s="242"/>
      <c r="R1725" s="226"/>
      <c r="S1725" s="30">
        <f t="shared" si="9"/>
        <v>0</v>
      </c>
      <c r="T1725" s="243"/>
      <c r="U1725" s="242"/>
      <c r="V1725" s="242"/>
      <c r="W1725" s="242"/>
      <c r="X1725" s="242"/>
      <c r="Y1725" s="241"/>
      <c r="Z1725" s="242"/>
      <c r="AA1725" s="135"/>
      <c r="AB1725" s="241"/>
      <c r="AC1725" s="242"/>
      <c r="AD1725" s="242"/>
      <c r="AE1725" s="242"/>
      <c r="AF1725" s="242"/>
      <c r="AG1725" s="242"/>
      <c r="AH1725" s="242"/>
      <c r="AI1725" s="242"/>
      <c r="AJ1725" s="242"/>
      <c r="AK1725" s="242"/>
      <c r="AL1725" s="242"/>
      <c r="AM1725" s="242"/>
      <c r="AN1725" s="242"/>
      <c r="AO1725" s="242"/>
      <c r="AP1725" s="242"/>
      <c r="AQ1725" s="242"/>
      <c r="AR1725" s="242"/>
      <c r="AS1725" s="242"/>
      <c r="AT1725" s="242"/>
    </row>
    <row r="1726" spans="1:46" ht="45" customHeight="1">
      <c r="A1726" s="243"/>
      <c r="B1726" s="241"/>
      <c r="C1726" s="66"/>
      <c r="D1726" s="15"/>
      <c r="E1726" s="15"/>
      <c r="F1726" s="242"/>
      <c r="G1726" s="242"/>
      <c r="H1726" s="242"/>
      <c r="I1726" s="242"/>
      <c r="J1726" s="242"/>
      <c r="K1726" s="242"/>
      <c r="L1726" s="242"/>
      <c r="M1726" s="242"/>
      <c r="N1726" s="242"/>
      <c r="O1726" s="242"/>
      <c r="P1726" s="242"/>
      <c r="Q1726" s="242"/>
      <c r="R1726" s="226"/>
      <c r="S1726" s="30">
        <f t="shared" si="9"/>
        <v>0</v>
      </c>
      <c r="T1726" s="243"/>
      <c r="U1726" s="242"/>
      <c r="V1726" s="242"/>
      <c r="W1726" s="242"/>
      <c r="X1726" s="242"/>
      <c r="Y1726" s="241"/>
      <c r="Z1726" s="242"/>
      <c r="AA1726" s="135"/>
      <c r="AB1726" s="241"/>
      <c r="AC1726" s="242"/>
      <c r="AD1726" s="242"/>
      <c r="AE1726" s="242"/>
      <c r="AF1726" s="242"/>
      <c r="AG1726" s="242"/>
      <c r="AH1726" s="242"/>
      <c r="AI1726" s="242"/>
      <c r="AJ1726" s="242"/>
      <c r="AK1726" s="242"/>
      <c r="AL1726" s="242"/>
      <c r="AM1726" s="242"/>
      <c r="AN1726" s="242"/>
      <c r="AO1726" s="242"/>
      <c r="AP1726" s="242"/>
      <c r="AQ1726" s="242"/>
      <c r="AR1726" s="242"/>
      <c r="AS1726" s="242"/>
      <c r="AT1726" s="242"/>
    </row>
    <row r="1727" spans="1:46" ht="45" customHeight="1">
      <c r="A1727" s="243"/>
      <c r="B1727" s="241"/>
      <c r="C1727" s="66"/>
      <c r="D1727" s="15"/>
      <c r="E1727" s="15"/>
      <c r="F1727" s="242"/>
      <c r="G1727" s="242"/>
      <c r="H1727" s="242"/>
      <c r="I1727" s="242"/>
      <c r="J1727" s="242"/>
      <c r="K1727" s="242"/>
      <c r="L1727" s="242"/>
      <c r="M1727" s="242"/>
      <c r="N1727" s="242"/>
      <c r="O1727" s="242"/>
      <c r="P1727" s="242"/>
      <c r="Q1727" s="242"/>
      <c r="R1727" s="226"/>
      <c r="S1727" s="30">
        <f t="shared" si="9"/>
        <v>0</v>
      </c>
      <c r="T1727" s="243"/>
      <c r="U1727" s="242"/>
      <c r="V1727" s="242"/>
      <c r="W1727" s="242"/>
      <c r="X1727" s="242"/>
      <c r="Y1727" s="241"/>
      <c r="Z1727" s="242"/>
      <c r="AA1727" s="135"/>
      <c r="AB1727" s="241"/>
      <c r="AC1727" s="242"/>
      <c r="AD1727" s="242"/>
      <c r="AE1727" s="242"/>
      <c r="AF1727" s="242"/>
      <c r="AG1727" s="242"/>
      <c r="AH1727" s="242"/>
      <c r="AI1727" s="242"/>
      <c r="AJ1727" s="242"/>
      <c r="AK1727" s="242"/>
      <c r="AL1727" s="242"/>
      <c r="AM1727" s="242"/>
      <c r="AN1727" s="242"/>
      <c r="AO1727" s="242"/>
      <c r="AP1727" s="242"/>
      <c r="AQ1727" s="242"/>
      <c r="AR1727" s="242"/>
      <c r="AS1727" s="242"/>
      <c r="AT1727" s="242"/>
    </row>
    <row r="1728" spans="1:46" ht="45" customHeight="1">
      <c r="A1728" s="243"/>
      <c r="B1728" s="241"/>
      <c r="C1728" s="66"/>
      <c r="D1728" s="15"/>
      <c r="E1728" s="15"/>
      <c r="F1728" s="242"/>
      <c r="G1728" s="242"/>
      <c r="H1728" s="242"/>
      <c r="I1728" s="242"/>
      <c r="J1728" s="242"/>
      <c r="K1728" s="242"/>
      <c r="L1728" s="242"/>
      <c r="M1728" s="242"/>
      <c r="N1728" s="242"/>
      <c r="O1728" s="242"/>
      <c r="P1728" s="242"/>
      <c r="Q1728" s="242"/>
      <c r="R1728" s="226"/>
      <c r="S1728" s="30">
        <f t="shared" si="9"/>
        <v>0</v>
      </c>
      <c r="T1728" s="243"/>
      <c r="U1728" s="242"/>
      <c r="V1728" s="242"/>
      <c r="W1728" s="242"/>
      <c r="X1728" s="242"/>
      <c r="Y1728" s="241"/>
      <c r="Z1728" s="242"/>
      <c r="AA1728" s="135"/>
      <c r="AB1728" s="241"/>
      <c r="AC1728" s="242"/>
      <c r="AD1728" s="242"/>
      <c r="AE1728" s="242"/>
      <c r="AF1728" s="242"/>
      <c r="AG1728" s="242"/>
      <c r="AH1728" s="242"/>
      <c r="AI1728" s="242"/>
      <c r="AJ1728" s="242"/>
      <c r="AK1728" s="242"/>
      <c r="AL1728" s="242"/>
      <c r="AM1728" s="242"/>
      <c r="AN1728" s="242"/>
      <c r="AO1728" s="242"/>
      <c r="AP1728" s="242"/>
      <c r="AQ1728" s="242"/>
      <c r="AR1728" s="242"/>
      <c r="AS1728" s="242"/>
      <c r="AT1728" s="242"/>
    </row>
    <row r="1729" spans="1:46" ht="45" customHeight="1">
      <c r="A1729" s="243"/>
      <c r="B1729" s="241"/>
      <c r="C1729" s="66"/>
      <c r="D1729" s="15"/>
      <c r="E1729" s="15"/>
      <c r="F1729" s="242"/>
      <c r="G1729" s="242"/>
      <c r="H1729" s="242"/>
      <c r="I1729" s="242"/>
      <c r="J1729" s="242"/>
      <c r="K1729" s="242"/>
      <c r="L1729" s="242"/>
      <c r="M1729" s="242"/>
      <c r="N1729" s="242"/>
      <c r="O1729" s="242"/>
      <c r="P1729" s="242"/>
      <c r="Q1729" s="242"/>
      <c r="R1729" s="226"/>
      <c r="S1729" s="30">
        <f t="shared" si="9"/>
        <v>0</v>
      </c>
      <c r="T1729" s="243"/>
      <c r="U1729" s="242"/>
      <c r="V1729" s="242"/>
      <c r="W1729" s="242"/>
      <c r="X1729" s="242"/>
      <c r="Y1729" s="241"/>
      <c r="Z1729" s="242"/>
      <c r="AA1729" s="135"/>
      <c r="AB1729" s="241"/>
      <c r="AC1729" s="242"/>
      <c r="AD1729" s="242"/>
      <c r="AE1729" s="242"/>
      <c r="AF1729" s="242"/>
      <c r="AG1729" s="242"/>
      <c r="AH1729" s="242"/>
      <c r="AI1729" s="242"/>
      <c r="AJ1729" s="242"/>
      <c r="AK1729" s="242"/>
      <c r="AL1729" s="242"/>
      <c r="AM1729" s="242"/>
      <c r="AN1729" s="242"/>
      <c r="AO1729" s="242"/>
      <c r="AP1729" s="242"/>
      <c r="AQ1729" s="242"/>
      <c r="AR1729" s="242"/>
      <c r="AS1729" s="242"/>
      <c r="AT1729" s="242"/>
    </row>
    <row r="1730" spans="1:46" ht="45" customHeight="1">
      <c r="A1730" s="243"/>
      <c r="B1730" s="241"/>
      <c r="C1730" s="66"/>
      <c r="D1730" s="15"/>
      <c r="E1730" s="15"/>
      <c r="F1730" s="242"/>
      <c r="G1730" s="242"/>
      <c r="H1730" s="242"/>
      <c r="I1730" s="242"/>
      <c r="J1730" s="242"/>
      <c r="K1730" s="242"/>
      <c r="L1730" s="242"/>
      <c r="M1730" s="242"/>
      <c r="N1730" s="242"/>
      <c r="O1730" s="242"/>
      <c r="P1730" s="242"/>
      <c r="Q1730" s="242"/>
      <c r="R1730" s="226"/>
      <c r="S1730" s="30">
        <f t="shared" si="9"/>
        <v>0</v>
      </c>
      <c r="T1730" s="243"/>
      <c r="U1730" s="242"/>
      <c r="V1730" s="242"/>
      <c r="W1730" s="242"/>
      <c r="X1730" s="242"/>
      <c r="Y1730" s="241"/>
      <c r="Z1730" s="242"/>
      <c r="AA1730" s="135"/>
      <c r="AB1730" s="241"/>
      <c r="AC1730" s="242"/>
      <c r="AD1730" s="242"/>
      <c r="AE1730" s="242"/>
      <c r="AF1730" s="242"/>
      <c r="AG1730" s="242"/>
      <c r="AH1730" s="242"/>
      <c r="AI1730" s="242"/>
      <c r="AJ1730" s="242"/>
      <c r="AK1730" s="242"/>
      <c r="AL1730" s="242"/>
      <c r="AM1730" s="242"/>
      <c r="AN1730" s="242"/>
      <c r="AO1730" s="242"/>
      <c r="AP1730" s="242"/>
      <c r="AQ1730" s="242"/>
      <c r="AR1730" s="242"/>
      <c r="AS1730" s="242"/>
      <c r="AT1730" s="242"/>
    </row>
    <row r="1731" spans="1:46" ht="45" customHeight="1">
      <c r="A1731" s="243"/>
      <c r="B1731" s="241"/>
      <c r="C1731" s="66"/>
      <c r="D1731" s="15"/>
      <c r="E1731" s="15"/>
      <c r="F1731" s="242"/>
      <c r="G1731" s="242"/>
      <c r="H1731" s="242"/>
      <c r="I1731" s="242"/>
      <c r="J1731" s="242"/>
      <c r="K1731" s="242"/>
      <c r="L1731" s="242"/>
      <c r="M1731" s="242"/>
      <c r="N1731" s="242"/>
      <c r="O1731" s="242"/>
      <c r="P1731" s="242"/>
      <c r="Q1731" s="242"/>
      <c r="R1731" s="226"/>
      <c r="S1731" s="30">
        <f t="shared" si="9"/>
        <v>0</v>
      </c>
      <c r="T1731" s="243"/>
      <c r="U1731" s="242"/>
      <c r="V1731" s="242"/>
      <c r="W1731" s="242"/>
      <c r="X1731" s="242"/>
      <c r="Y1731" s="241"/>
      <c r="Z1731" s="242"/>
      <c r="AA1731" s="135"/>
      <c r="AB1731" s="241"/>
      <c r="AC1731" s="242"/>
      <c r="AD1731" s="242"/>
      <c r="AE1731" s="242"/>
      <c r="AF1731" s="242"/>
      <c r="AG1731" s="242"/>
      <c r="AH1731" s="242"/>
      <c r="AI1731" s="242"/>
      <c r="AJ1731" s="242"/>
      <c r="AK1731" s="242"/>
      <c r="AL1731" s="242"/>
      <c r="AM1731" s="242"/>
      <c r="AN1731" s="242"/>
      <c r="AO1731" s="242"/>
      <c r="AP1731" s="242"/>
      <c r="AQ1731" s="242"/>
      <c r="AR1731" s="242"/>
      <c r="AS1731" s="242"/>
      <c r="AT1731" s="242"/>
    </row>
    <row r="1732" spans="1:46" ht="45" customHeight="1">
      <c r="A1732" s="243"/>
      <c r="B1732" s="241"/>
      <c r="C1732" s="66"/>
      <c r="D1732" s="15"/>
      <c r="E1732" s="15"/>
      <c r="F1732" s="242"/>
      <c r="G1732" s="242"/>
      <c r="H1732" s="242"/>
      <c r="I1732" s="242"/>
      <c r="J1732" s="242"/>
      <c r="K1732" s="242"/>
      <c r="L1732" s="242"/>
      <c r="M1732" s="242"/>
      <c r="N1732" s="242"/>
      <c r="O1732" s="242"/>
      <c r="P1732" s="242"/>
      <c r="Q1732" s="242"/>
      <c r="R1732" s="226"/>
      <c r="S1732" s="30">
        <f t="shared" si="9"/>
        <v>0</v>
      </c>
      <c r="T1732" s="243"/>
      <c r="U1732" s="242"/>
      <c r="V1732" s="242"/>
      <c r="W1732" s="242"/>
      <c r="X1732" s="242"/>
      <c r="Y1732" s="241"/>
      <c r="Z1732" s="242"/>
      <c r="AA1732" s="135"/>
      <c r="AB1732" s="241"/>
      <c r="AC1732" s="242"/>
      <c r="AD1732" s="242"/>
      <c r="AE1732" s="242"/>
      <c r="AF1732" s="242"/>
      <c r="AG1732" s="242"/>
      <c r="AH1732" s="242"/>
      <c r="AI1732" s="242"/>
      <c r="AJ1732" s="242"/>
      <c r="AK1732" s="242"/>
      <c r="AL1732" s="242"/>
      <c r="AM1732" s="242"/>
      <c r="AN1732" s="242"/>
      <c r="AO1732" s="242"/>
      <c r="AP1732" s="242"/>
      <c r="AQ1732" s="242"/>
      <c r="AR1732" s="242"/>
      <c r="AS1732" s="242"/>
      <c r="AT1732" s="242"/>
    </row>
    <row r="1733" spans="1:46" ht="45" customHeight="1">
      <c r="A1733" s="243"/>
      <c r="B1733" s="241"/>
      <c r="C1733" s="66"/>
      <c r="D1733" s="15"/>
      <c r="E1733" s="15"/>
      <c r="F1733" s="242"/>
      <c r="G1733" s="242"/>
      <c r="H1733" s="242"/>
      <c r="I1733" s="242"/>
      <c r="J1733" s="242"/>
      <c r="K1733" s="242"/>
      <c r="L1733" s="242"/>
      <c r="M1733" s="242"/>
      <c r="N1733" s="242"/>
      <c r="O1733" s="242"/>
      <c r="P1733" s="242"/>
      <c r="Q1733" s="242"/>
      <c r="R1733" s="226"/>
      <c r="S1733" s="30">
        <f t="shared" si="9"/>
        <v>0</v>
      </c>
      <c r="T1733" s="243"/>
      <c r="U1733" s="242"/>
      <c r="V1733" s="242"/>
      <c r="W1733" s="242"/>
      <c r="X1733" s="242"/>
      <c r="Y1733" s="241"/>
      <c r="Z1733" s="242"/>
      <c r="AA1733" s="135"/>
      <c r="AB1733" s="241"/>
      <c r="AC1733" s="242"/>
      <c r="AD1733" s="242"/>
      <c r="AE1733" s="242"/>
      <c r="AF1733" s="242"/>
      <c r="AG1733" s="242"/>
      <c r="AH1733" s="242"/>
      <c r="AI1733" s="242"/>
      <c r="AJ1733" s="242"/>
      <c r="AK1733" s="242"/>
      <c r="AL1733" s="242"/>
      <c r="AM1733" s="242"/>
      <c r="AN1733" s="242"/>
      <c r="AO1733" s="242"/>
      <c r="AP1733" s="242"/>
      <c r="AQ1733" s="242"/>
      <c r="AR1733" s="242"/>
      <c r="AS1733" s="242"/>
      <c r="AT1733" s="242"/>
    </row>
    <row r="1734" spans="1:46" ht="45" customHeight="1">
      <c r="A1734" s="243"/>
      <c r="B1734" s="241"/>
      <c r="C1734" s="66"/>
      <c r="D1734" s="15"/>
      <c r="E1734" s="15"/>
      <c r="F1734" s="242"/>
      <c r="G1734" s="242"/>
      <c r="H1734" s="242"/>
      <c r="I1734" s="242"/>
      <c r="J1734" s="242"/>
      <c r="K1734" s="242"/>
      <c r="L1734" s="242"/>
      <c r="M1734" s="242"/>
      <c r="N1734" s="242"/>
      <c r="O1734" s="242"/>
      <c r="P1734" s="242"/>
      <c r="Q1734" s="242"/>
      <c r="R1734" s="226"/>
      <c r="S1734" s="30">
        <f t="shared" si="9"/>
        <v>0</v>
      </c>
      <c r="T1734" s="243"/>
      <c r="U1734" s="242"/>
      <c r="V1734" s="242"/>
      <c r="W1734" s="242"/>
      <c r="X1734" s="242"/>
      <c r="Y1734" s="241"/>
      <c r="Z1734" s="242"/>
      <c r="AA1734" s="135"/>
      <c r="AB1734" s="241"/>
      <c r="AC1734" s="242"/>
      <c r="AD1734" s="242"/>
      <c r="AE1734" s="242"/>
      <c r="AF1734" s="242"/>
      <c r="AG1734" s="242"/>
      <c r="AH1734" s="242"/>
      <c r="AI1734" s="242"/>
      <c r="AJ1734" s="242"/>
      <c r="AK1734" s="242"/>
      <c r="AL1734" s="242"/>
      <c r="AM1734" s="242"/>
      <c r="AN1734" s="242"/>
      <c r="AO1734" s="242"/>
      <c r="AP1734" s="242"/>
      <c r="AQ1734" s="242"/>
      <c r="AR1734" s="242"/>
      <c r="AS1734" s="242"/>
      <c r="AT1734" s="242"/>
    </row>
    <row r="1735" spans="1:46" ht="45" customHeight="1">
      <c r="A1735" s="243"/>
      <c r="B1735" s="241"/>
      <c r="C1735" s="66"/>
      <c r="D1735" s="15"/>
      <c r="E1735" s="15"/>
      <c r="F1735" s="242"/>
      <c r="G1735" s="242"/>
      <c r="H1735" s="242"/>
      <c r="I1735" s="242"/>
      <c r="J1735" s="242"/>
      <c r="K1735" s="242"/>
      <c r="L1735" s="242"/>
      <c r="M1735" s="242"/>
      <c r="N1735" s="242"/>
      <c r="O1735" s="242"/>
      <c r="P1735" s="242"/>
      <c r="Q1735" s="242"/>
      <c r="R1735" s="226"/>
      <c r="S1735" s="30">
        <f t="shared" si="9"/>
        <v>0</v>
      </c>
      <c r="T1735" s="243"/>
      <c r="U1735" s="242"/>
      <c r="V1735" s="242"/>
      <c r="W1735" s="242"/>
      <c r="X1735" s="242"/>
      <c r="Y1735" s="241"/>
      <c r="Z1735" s="242"/>
      <c r="AA1735" s="135"/>
      <c r="AB1735" s="241"/>
      <c r="AC1735" s="242"/>
      <c r="AD1735" s="242"/>
      <c r="AE1735" s="242"/>
      <c r="AF1735" s="242"/>
      <c r="AG1735" s="242"/>
      <c r="AH1735" s="242"/>
      <c r="AI1735" s="242"/>
      <c r="AJ1735" s="242"/>
      <c r="AK1735" s="242"/>
      <c r="AL1735" s="242"/>
      <c r="AM1735" s="242"/>
      <c r="AN1735" s="242"/>
      <c r="AO1735" s="242"/>
      <c r="AP1735" s="242"/>
      <c r="AQ1735" s="242"/>
      <c r="AR1735" s="242"/>
      <c r="AS1735" s="242"/>
      <c r="AT1735" s="242"/>
    </row>
    <row r="1736" spans="1:46" ht="45" customHeight="1">
      <c r="A1736" s="243"/>
      <c r="B1736" s="241"/>
      <c r="C1736" s="66"/>
      <c r="D1736" s="15"/>
      <c r="E1736" s="15"/>
      <c r="F1736" s="242"/>
      <c r="G1736" s="242"/>
      <c r="H1736" s="242"/>
      <c r="I1736" s="242"/>
      <c r="J1736" s="242"/>
      <c r="K1736" s="242"/>
      <c r="L1736" s="242"/>
      <c r="M1736" s="242"/>
      <c r="N1736" s="242"/>
      <c r="O1736" s="242"/>
      <c r="P1736" s="242"/>
      <c r="Q1736" s="242"/>
      <c r="R1736" s="226"/>
      <c r="S1736" s="30">
        <f t="shared" si="9"/>
        <v>0</v>
      </c>
      <c r="T1736" s="243"/>
      <c r="U1736" s="242"/>
      <c r="V1736" s="242"/>
      <c r="W1736" s="242"/>
      <c r="X1736" s="242"/>
      <c r="Y1736" s="241"/>
      <c r="Z1736" s="242"/>
      <c r="AA1736" s="135"/>
      <c r="AB1736" s="241"/>
      <c r="AC1736" s="242"/>
      <c r="AD1736" s="242"/>
      <c r="AE1736" s="242"/>
      <c r="AF1736" s="242"/>
      <c r="AG1736" s="242"/>
      <c r="AH1736" s="242"/>
      <c r="AI1736" s="242"/>
      <c r="AJ1736" s="242"/>
      <c r="AK1736" s="242"/>
      <c r="AL1736" s="242"/>
      <c r="AM1736" s="242"/>
      <c r="AN1736" s="242"/>
      <c r="AO1736" s="242"/>
      <c r="AP1736" s="242"/>
      <c r="AQ1736" s="242"/>
      <c r="AR1736" s="242"/>
      <c r="AS1736" s="242"/>
      <c r="AT1736" s="242"/>
    </row>
    <row r="1737" spans="1:46" ht="45" customHeight="1">
      <c r="A1737" s="243"/>
      <c r="B1737" s="241"/>
      <c r="C1737" s="66"/>
      <c r="D1737" s="15"/>
      <c r="E1737" s="15"/>
      <c r="F1737" s="242"/>
      <c r="G1737" s="242"/>
      <c r="H1737" s="242"/>
      <c r="I1737" s="242"/>
      <c r="J1737" s="242"/>
      <c r="K1737" s="242"/>
      <c r="L1737" s="242"/>
      <c r="M1737" s="242"/>
      <c r="N1737" s="242"/>
      <c r="O1737" s="242"/>
      <c r="P1737" s="242"/>
      <c r="Q1737" s="242"/>
      <c r="R1737" s="226"/>
      <c r="S1737" s="30">
        <f t="shared" si="9"/>
        <v>0</v>
      </c>
      <c r="T1737" s="243"/>
      <c r="U1737" s="242"/>
      <c r="V1737" s="242"/>
      <c r="W1737" s="242"/>
      <c r="X1737" s="242"/>
      <c r="Y1737" s="241"/>
      <c r="Z1737" s="242"/>
      <c r="AA1737" s="135"/>
      <c r="AB1737" s="241"/>
      <c r="AC1737" s="242"/>
      <c r="AD1737" s="242"/>
      <c r="AE1737" s="242"/>
      <c r="AF1737" s="242"/>
      <c r="AG1737" s="242"/>
      <c r="AH1737" s="242"/>
      <c r="AI1737" s="242"/>
      <c r="AJ1737" s="242"/>
      <c r="AK1737" s="242"/>
      <c r="AL1737" s="242"/>
      <c r="AM1737" s="242"/>
      <c r="AN1737" s="242"/>
      <c r="AO1737" s="242"/>
      <c r="AP1737" s="242"/>
      <c r="AQ1737" s="242"/>
      <c r="AR1737" s="242"/>
      <c r="AS1737" s="242"/>
      <c r="AT1737" s="242"/>
    </row>
    <row r="1738" spans="1:46" ht="45" customHeight="1">
      <c r="A1738" s="243"/>
      <c r="B1738" s="241"/>
      <c r="C1738" s="66"/>
      <c r="D1738" s="15"/>
      <c r="E1738" s="15"/>
      <c r="F1738" s="242"/>
      <c r="G1738" s="242"/>
      <c r="H1738" s="242"/>
      <c r="I1738" s="242"/>
      <c r="J1738" s="242"/>
      <c r="K1738" s="242"/>
      <c r="L1738" s="242"/>
      <c r="M1738" s="242"/>
      <c r="N1738" s="242"/>
      <c r="O1738" s="242"/>
      <c r="P1738" s="242"/>
      <c r="Q1738" s="242"/>
      <c r="R1738" s="226"/>
      <c r="S1738" s="30">
        <f t="shared" si="9"/>
        <v>0</v>
      </c>
      <c r="T1738" s="243"/>
      <c r="U1738" s="242"/>
      <c r="V1738" s="242"/>
      <c r="W1738" s="242"/>
      <c r="X1738" s="242"/>
      <c r="Y1738" s="241"/>
      <c r="Z1738" s="242"/>
      <c r="AA1738" s="135"/>
      <c r="AB1738" s="241"/>
      <c r="AC1738" s="242"/>
      <c r="AD1738" s="242"/>
      <c r="AE1738" s="242"/>
      <c r="AF1738" s="242"/>
      <c r="AG1738" s="242"/>
      <c r="AH1738" s="242"/>
      <c r="AI1738" s="242"/>
      <c r="AJ1738" s="242"/>
      <c r="AK1738" s="242"/>
      <c r="AL1738" s="242"/>
      <c r="AM1738" s="242"/>
      <c r="AN1738" s="242"/>
      <c r="AO1738" s="242"/>
      <c r="AP1738" s="242"/>
      <c r="AQ1738" s="242"/>
      <c r="AR1738" s="242"/>
      <c r="AS1738" s="242"/>
      <c r="AT1738" s="242"/>
    </row>
    <row r="1739" spans="1:46" ht="45" customHeight="1">
      <c r="A1739" s="243"/>
      <c r="B1739" s="241"/>
      <c r="C1739" s="66"/>
      <c r="D1739" s="15"/>
      <c r="E1739" s="15"/>
      <c r="F1739" s="242"/>
      <c r="G1739" s="242"/>
      <c r="H1739" s="242"/>
      <c r="I1739" s="242"/>
      <c r="J1739" s="242"/>
      <c r="K1739" s="242"/>
      <c r="L1739" s="242"/>
      <c r="M1739" s="242"/>
      <c r="N1739" s="242"/>
      <c r="O1739" s="242"/>
      <c r="P1739" s="242"/>
      <c r="Q1739" s="242"/>
      <c r="R1739" s="226"/>
      <c r="S1739" s="30">
        <f t="shared" si="9"/>
        <v>0</v>
      </c>
      <c r="T1739" s="243"/>
      <c r="U1739" s="242"/>
      <c r="V1739" s="242"/>
      <c r="W1739" s="242"/>
      <c r="X1739" s="242"/>
      <c r="Y1739" s="241"/>
      <c r="Z1739" s="242"/>
      <c r="AA1739" s="135"/>
      <c r="AB1739" s="241"/>
      <c r="AC1739" s="242"/>
      <c r="AD1739" s="242"/>
      <c r="AE1739" s="242"/>
      <c r="AF1739" s="242"/>
      <c r="AG1739" s="242"/>
      <c r="AH1739" s="242"/>
      <c r="AI1739" s="242"/>
      <c r="AJ1739" s="242"/>
      <c r="AK1739" s="242"/>
      <c r="AL1739" s="242"/>
      <c r="AM1739" s="242"/>
      <c r="AN1739" s="242"/>
      <c r="AO1739" s="242"/>
      <c r="AP1739" s="242"/>
      <c r="AQ1739" s="242"/>
      <c r="AR1739" s="242"/>
      <c r="AS1739" s="242"/>
      <c r="AT1739" s="242"/>
    </row>
    <row r="1740" spans="1:46" ht="45" customHeight="1">
      <c r="A1740" s="243"/>
      <c r="B1740" s="241"/>
      <c r="C1740" s="66"/>
      <c r="D1740" s="15"/>
      <c r="E1740" s="15"/>
      <c r="F1740" s="242"/>
      <c r="G1740" s="242"/>
      <c r="H1740" s="242"/>
      <c r="I1740" s="242"/>
      <c r="J1740" s="242"/>
      <c r="K1740" s="242"/>
      <c r="L1740" s="242"/>
      <c r="M1740" s="242"/>
      <c r="N1740" s="242"/>
      <c r="O1740" s="242"/>
      <c r="P1740" s="242"/>
      <c r="Q1740" s="242"/>
      <c r="R1740" s="226"/>
      <c r="S1740" s="30">
        <f t="shared" si="9"/>
        <v>0</v>
      </c>
      <c r="T1740" s="243"/>
      <c r="U1740" s="242"/>
      <c r="V1740" s="242"/>
      <c r="W1740" s="242"/>
      <c r="X1740" s="242"/>
      <c r="Y1740" s="241"/>
      <c r="Z1740" s="242"/>
      <c r="AA1740" s="135"/>
      <c r="AB1740" s="241"/>
      <c r="AC1740" s="242"/>
      <c r="AD1740" s="242"/>
      <c r="AE1740" s="242"/>
      <c r="AF1740" s="242"/>
      <c r="AG1740" s="242"/>
      <c r="AH1740" s="242"/>
      <c r="AI1740" s="242"/>
      <c r="AJ1740" s="242"/>
      <c r="AK1740" s="242"/>
      <c r="AL1740" s="242"/>
      <c r="AM1740" s="242"/>
      <c r="AN1740" s="242"/>
      <c r="AO1740" s="242"/>
      <c r="AP1740" s="242"/>
      <c r="AQ1740" s="242"/>
      <c r="AR1740" s="242"/>
      <c r="AS1740" s="242"/>
      <c r="AT1740" s="242"/>
    </row>
    <row r="1741" spans="1:46" ht="45" customHeight="1">
      <c r="A1741" s="243"/>
      <c r="B1741" s="241"/>
      <c r="C1741" s="66"/>
      <c r="D1741" s="15"/>
      <c r="E1741" s="15"/>
      <c r="F1741" s="242"/>
      <c r="G1741" s="242"/>
      <c r="H1741" s="242"/>
      <c r="I1741" s="242"/>
      <c r="J1741" s="242"/>
      <c r="K1741" s="242"/>
      <c r="L1741" s="242"/>
      <c r="M1741" s="242"/>
      <c r="N1741" s="242"/>
      <c r="O1741" s="242"/>
      <c r="P1741" s="242"/>
      <c r="Q1741" s="242"/>
      <c r="R1741" s="226"/>
      <c r="S1741" s="30">
        <f t="shared" si="9"/>
        <v>0</v>
      </c>
      <c r="T1741" s="243"/>
      <c r="U1741" s="242"/>
      <c r="V1741" s="242"/>
      <c r="W1741" s="242"/>
      <c r="X1741" s="242"/>
      <c r="Y1741" s="241"/>
      <c r="Z1741" s="242"/>
      <c r="AA1741" s="135"/>
      <c r="AB1741" s="241"/>
      <c r="AC1741" s="242"/>
      <c r="AD1741" s="242"/>
      <c r="AE1741" s="242"/>
      <c r="AF1741" s="242"/>
      <c r="AG1741" s="242"/>
      <c r="AH1741" s="242"/>
      <c r="AI1741" s="242"/>
      <c r="AJ1741" s="242"/>
      <c r="AK1741" s="242"/>
      <c r="AL1741" s="242"/>
      <c r="AM1741" s="242"/>
      <c r="AN1741" s="242"/>
      <c r="AO1741" s="242"/>
      <c r="AP1741" s="242"/>
      <c r="AQ1741" s="242"/>
      <c r="AR1741" s="242"/>
      <c r="AS1741" s="242"/>
      <c r="AT1741" s="242"/>
    </row>
    <row r="1742" spans="1:46" ht="45" customHeight="1">
      <c r="A1742" s="243"/>
      <c r="B1742" s="241"/>
      <c r="C1742" s="66"/>
      <c r="D1742" s="15"/>
      <c r="E1742" s="15"/>
      <c r="F1742" s="242"/>
      <c r="G1742" s="242"/>
      <c r="H1742" s="242"/>
      <c r="I1742" s="242"/>
      <c r="J1742" s="242"/>
      <c r="K1742" s="242"/>
      <c r="L1742" s="242"/>
      <c r="M1742" s="242"/>
      <c r="N1742" s="242"/>
      <c r="O1742" s="242"/>
      <c r="P1742" s="242"/>
      <c r="Q1742" s="242"/>
      <c r="R1742" s="226"/>
      <c r="S1742" s="30">
        <f t="shared" si="9"/>
        <v>0</v>
      </c>
      <c r="T1742" s="243"/>
      <c r="U1742" s="242"/>
      <c r="V1742" s="242"/>
      <c r="W1742" s="242"/>
      <c r="X1742" s="242"/>
      <c r="Y1742" s="241"/>
      <c r="Z1742" s="242"/>
      <c r="AA1742" s="135"/>
      <c r="AB1742" s="241"/>
      <c r="AC1742" s="242"/>
      <c r="AD1742" s="242"/>
      <c r="AE1742" s="242"/>
      <c r="AF1742" s="242"/>
      <c r="AG1742" s="242"/>
      <c r="AH1742" s="242"/>
      <c r="AI1742" s="242"/>
      <c r="AJ1742" s="242"/>
      <c r="AK1742" s="242"/>
      <c r="AL1742" s="242"/>
      <c r="AM1742" s="242"/>
      <c r="AN1742" s="242"/>
      <c r="AO1742" s="242"/>
      <c r="AP1742" s="242"/>
      <c r="AQ1742" s="242"/>
      <c r="AR1742" s="242"/>
      <c r="AS1742" s="242"/>
      <c r="AT1742" s="242"/>
    </row>
    <row r="1743" spans="1:46" ht="45" customHeight="1">
      <c r="A1743" s="243"/>
      <c r="B1743" s="241"/>
      <c r="C1743" s="66"/>
      <c r="D1743" s="15"/>
      <c r="E1743" s="15"/>
      <c r="F1743" s="242"/>
      <c r="G1743" s="242"/>
      <c r="H1743" s="242"/>
      <c r="I1743" s="242"/>
      <c r="J1743" s="242"/>
      <c r="K1743" s="242"/>
      <c r="L1743" s="242"/>
      <c r="M1743" s="242"/>
      <c r="N1743" s="242"/>
      <c r="O1743" s="242"/>
      <c r="P1743" s="242"/>
      <c r="Q1743" s="242"/>
      <c r="R1743" s="226"/>
      <c r="S1743" s="30">
        <f t="shared" si="9"/>
        <v>0</v>
      </c>
      <c r="T1743" s="243"/>
      <c r="U1743" s="242"/>
      <c r="V1743" s="242"/>
      <c r="W1743" s="242"/>
      <c r="X1743" s="242"/>
      <c r="Y1743" s="241"/>
      <c r="Z1743" s="242"/>
      <c r="AA1743" s="135"/>
      <c r="AB1743" s="241"/>
      <c r="AC1743" s="242"/>
      <c r="AD1743" s="242"/>
      <c r="AE1743" s="242"/>
      <c r="AF1743" s="242"/>
      <c r="AG1743" s="242"/>
      <c r="AH1743" s="242"/>
      <c r="AI1743" s="242"/>
      <c r="AJ1743" s="242"/>
      <c r="AK1743" s="242"/>
      <c r="AL1743" s="242"/>
      <c r="AM1743" s="242"/>
      <c r="AN1743" s="242"/>
      <c r="AO1743" s="242"/>
      <c r="AP1743" s="242"/>
      <c r="AQ1743" s="242"/>
      <c r="AR1743" s="242"/>
      <c r="AS1743" s="242"/>
      <c r="AT1743" s="242"/>
    </row>
    <row r="1744" spans="1:46" ht="45" customHeight="1">
      <c r="A1744" s="243"/>
      <c r="B1744" s="241"/>
      <c r="C1744" s="66"/>
      <c r="D1744" s="15"/>
      <c r="E1744" s="15"/>
      <c r="F1744" s="242"/>
      <c r="G1744" s="242"/>
      <c r="H1744" s="242"/>
      <c r="I1744" s="242"/>
      <c r="J1744" s="242"/>
      <c r="K1744" s="242"/>
      <c r="L1744" s="242"/>
      <c r="M1744" s="242"/>
      <c r="N1744" s="242"/>
      <c r="O1744" s="242"/>
      <c r="P1744" s="242"/>
      <c r="Q1744" s="242"/>
      <c r="R1744" s="226"/>
      <c r="S1744" s="30">
        <f t="shared" si="9"/>
        <v>0</v>
      </c>
      <c r="T1744" s="243"/>
      <c r="U1744" s="242"/>
      <c r="V1744" s="242"/>
      <c r="W1744" s="242"/>
      <c r="X1744" s="242"/>
      <c r="Y1744" s="241"/>
      <c r="Z1744" s="242"/>
      <c r="AA1744" s="135"/>
      <c r="AB1744" s="241"/>
      <c r="AC1744" s="242"/>
      <c r="AD1744" s="242"/>
      <c r="AE1744" s="242"/>
      <c r="AF1744" s="242"/>
      <c r="AG1744" s="242"/>
      <c r="AH1744" s="242"/>
      <c r="AI1744" s="242"/>
      <c r="AJ1744" s="242"/>
      <c r="AK1744" s="242"/>
      <c r="AL1744" s="242"/>
      <c r="AM1744" s="242"/>
      <c r="AN1744" s="242"/>
      <c r="AO1744" s="242"/>
      <c r="AP1744" s="242"/>
      <c r="AQ1744" s="242"/>
      <c r="AR1744" s="242"/>
      <c r="AS1744" s="242"/>
      <c r="AT1744" s="242"/>
    </row>
    <row r="1745" spans="1:46" ht="45" customHeight="1">
      <c r="A1745" s="243"/>
      <c r="B1745" s="241"/>
      <c r="C1745" s="66"/>
      <c r="D1745" s="15"/>
      <c r="E1745" s="15"/>
      <c r="F1745" s="242"/>
      <c r="G1745" s="242"/>
      <c r="H1745" s="242"/>
      <c r="I1745" s="242"/>
      <c r="J1745" s="242"/>
      <c r="K1745" s="242"/>
      <c r="L1745" s="242"/>
      <c r="M1745" s="242"/>
      <c r="N1745" s="242"/>
      <c r="O1745" s="242"/>
      <c r="P1745" s="242"/>
      <c r="Q1745" s="242"/>
      <c r="R1745" s="226"/>
      <c r="S1745" s="30">
        <f t="shared" si="9"/>
        <v>0</v>
      </c>
      <c r="T1745" s="243"/>
      <c r="U1745" s="242"/>
      <c r="V1745" s="242"/>
      <c r="W1745" s="242"/>
      <c r="X1745" s="242"/>
      <c r="Y1745" s="241"/>
      <c r="Z1745" s="242"/>
      <c r="AA1745" s="135"/>
      <c r="AB1745" s="241"/>
      <c r="AC1745" s="242"/>
      <c r="AD1745" s="242"/>
      <c r="AE1745" s="242"/>
      <c r="AF1745" s="242"/>
      <c r="AG1745" s="242"/>
      <c r="AH1745" s="242"/>
      <c r="AI1745" s="242"/>
      <c r="AJ1745" s="242"/>
      <c r="AK1745" s="242"/>
      <c r="AL1745" s="242"/>
      <c r="AM1745" s="242"/>
      <c r="AN1745" s="242"/>
      <c r="AO1745" s="242"/>
      <c r="AP1745" s="242"/>
      <c r="AQ1745" s="242"/>
      <c r="AR1745" s="242"/>
      <c r="AS1745" s="242"/>
      <c r="AT1745" s="242"/>
    </row>
    <row r="1746" spans="1:46" ht="45" customHeight="1">
      <c r="A1746" s="243"/>
      <c r="B1746" s="241"/>
      <c r="C1746" s="66"/>
      <c r="D1746" s="15"/>
      <c r="E1746" s="15"/>
      <c r="F1746" s="242"/>
      <c r="G1746" s="242"/>
      <c r="H1746" s="242"/>
      <c r="I1746" s="242"/>
      <c r="J1746" s="242"/>
      <c r="K1746" s="242"/>
      <c r="L1746" s="242"/>
      <c r="M1746" s="242"/>
      <c r="N1746" s="242"/>
      <c r="O1746" s="242"/>
      <c r="P1746" s="242"/>
      <c r="Q1746" s="242"/>
      <c r="R1746" s="226"/>
      <c r="S1746" s="30">
        <f t="shared" si="9"/>
        <v>0</v>
      </c>
      <c r="T1746" s="243"/>
      <c r="U1746" s="242"/>
      <c r="V1746" s="242"/>
      <c r="W1746" s="242"/>
      <c r="X1746" s="242"/>
      <c r="Y1746" s="241"/>
      <c r="Z1746" s="242"/>
      <c r="AA1746" s="135"/>
      <c r="AB1746" s="241"/>
      <c r="AC1746" s="242"/>
      <c r="AD1746" s="242"/>
      <c r="AE1746" s="242"/>
      <c r="AF1746" s="242"/>
      <c r="AG1746" s="242"/>
      <c r="AH1746" s="242"/>
      <c r="AI1746" s="242"/>
      <c r="AJ1746" s="242"/>
      <c r="AK1746" s="242"/>
      <c r="AL1746" s="242"/>
      <c r="AM1746" s="242"/>
      <c r="AN1746" s="242"/>
      <c r="AO1746" s="242"/>
      <c r="AP1746" s="242"/>
      <c r="AQ1746" s="242"/>
      <c r="AR1746" s="242"/>
      <c r="AS1746" s="242"/>
      <c r="AT1746" s="242"/>
    </row>
    <row r="1747" spans="1:46" ht="45" customHeight="1">
      <c r="A1747" s="243"/>
      <c r="B1747" s="241"/>
      <c r="C1747" s="66"/>
      <c r="D1747" s="15"/>
      <c r="E1747" s="15"/>
      <c r="F1747" s="242"/>
      <c r="G1747" s="242"/>
      <c r="H1747" s="242"/>
      <c r="I1747" s="242"/>
      <c r="J1747" s="242"/>
      <c r="K1747" s="242"/>
      <c r="L1747" s="242"/>
      <c r="M1747" s="242"/>
      <c r="N1747" s="242"/>
      <c r="O1747" s="242"/>
      <c r="P1747" s="242"/>
      <c r="Q1747" s="242"/>
      <c r="R1747" s="226"/>
      <c r="S1747" s="30">
        <f t="shared" si="9"/>
        <v>0</v>
      </c>
      <c r="T1747" s="243"/>
      <c r="U1747" s="242"/>
      <c r="V1747" s="242"/>
      <c r="W1747" s="242"/>
      <c r="X1747" s="242"/>
      <c r="Y1747" s="241"/>
      <c r="Z1747" s="242"/>
      <c r="AA1747" s="135"/>
      <c r="AB1747" s="241"/>
      <c r="AC1747" s="242"/>
      <c r="AD1747" s="242"/>
      <c r="AE1747" s="242"/>
      <c r="AF1747" s="242"/>
      <c r="AG1747" s="242"/>
      <c r="AH1747" s="242"/>
      <c r="AI1747" s="242"/>
      <c r="AJ1747" s="242"/>
      <c r="AK1747" s="242"/>
      <c r="AL1747" s="242"/>
      <c r="AM1747" s="242"/>
      <c r="AN1747" s="242"/>
      <c r="AO1747" s="242"/>
      <c r="AP1747" s="242"/>
      <c r="AQ1747" s="242"/>
      <c r="AR1747" s="242"/>
      <c r="AS1747" s="242"/>
      <c r="AT1747" s="242"/>
    </row>
    <row r="1748" spans="1:46" ht="45" customHeight="1">
      <c r="A1748" s="243"/>
      <c r="B1748" s="241"/>
      <c r="C1748" s="66"/>
      <c r="D1748" s="15"/>
      <c r="E1748" s="15"/>
      <c r="F1748" s="242"/>
      <c r="G1748" s="242"/>
      <c r="H1748" s="242"/>
      <c r="I1748" s="242"/>
      <c r="J1748" s="242"/>
      <c r="K1748" s="242"/>
      <c r="L1748" s="242"/>
      <c r="M1748" s="242"/>
      <c r="N1748" s="242"/>
      <c r="O1748" s="242"/>
      <c r="P1748" s="242"/>
      <c r="Q1748" s="242"/>
      <c r="R1748" s="226"/>
      <c r="S1748" s="30">
        <f t="shared" si="9"/>
        <v>0</v>
      </c>
      <c r="T1748" s="243"/>
      <c r="U1748" s="242"/>
      <c r="V1748" s="242"/>
      <c r="W1748" s="242"/>
      <c r="X1748" s="242"/>
      <c r="Y1748" s="241"/>
      <c r="Z1748" s="242"/>
      <c r="AA1748" s="135"/>
      <c r="AB1748" s="241"/>
      <c r="AC1748" s="242"/>
      <c r="AD1748" s="242"/>
      <c r="AE1748" s="242"/>
      <c r="AF1748" s="242"/>
      <c r="AG1748" s="242"/>
      <c r="AH1748" s="242"/>
      <c r="AI1748" s="242"/>
      <c r="AJ1748" s="242"/>
      <c r="AK1748" s="242"/>
      <c r="AL1748" s="242"/>
      <c r="AM1748" s="242"/>
      <c r="AN1748" s="242"/>
      <c r="AO1748" s="242"/>
      <c r="AP1748" s="242"/>
      <c r="AQ1748" s="242"/>
      <c r="AR1748" s="242"/>
      <c r="AS1748" s="242"/>
      <c r="AT1748" s="242"/>
    </row>
    <row r="1749" spans="1:46" ht="45" customHeight="1">
      <c r="A1749" s="243"/>
      <c r="B1749" s="241"/>
      <c r="C1749" s="66"/>
      <c r="D1749" s="15"/>
      <c r="E1749" s="15"/>
      <c r="F1749" s="242"/>
      <c r="G1749" s="242"/>
      <c r="H1749" s="242"/>
      <c r="I1749" s="242"/>
      <c r="J1749" s="242"/>
      <c r="K1749" s="242"/>
      <c r="L1749" s="242"/>
      <c r="M1749" s="242"/>
      <c r="N1749" s="242"/>
      <c r="O1749" s="242"/>
      <c r="P1749" s="242"/>
      <c r="Q1749" s="242"/>
      <c r="R1749" s="226"/>
      <c r="S1749" s="30">
        <f t="shared" si="9"/>
        <v>0</v>
      </c>
      <c r="T1749" s="243"/>
      <c r="U1749" s="242"/>
      <c r="V1749" s="242"/>
      <c r="W1749" s="242"/>
      <c r="X1749" s="242"/>
      <c r="Y1749" s="241"/>
      <c r="Z1749" s="242"/>
      <c r="AA1749" s="135"/>
      <c r="AB1749" s="241"/>
      <c r="AC1749" s="242"/>
      <c r="AD1749" s="242"/>
      <c r="AE1749" s="242"/>
      <c r="AF1749" s="242"/>
      <c r="AG1749" s="242"/>
      <c r="AH1749" s="242"/>
      <c r="AI1749" s="242"/>
      <c r="AJ1749" s="242"/>
      <c r="AK1749" s="242"/>
      <c r="AL1749" s="242"/>
      <c r="AM1749" s="242"/>
      <c r="AN1749" s="242"/>
      <c r="AO1749" s="242"/>
      <c r="AP1749" s="242"/>
      <c r="AQ1749" s="242"/>
      <c r="AR1749" s="242"/>
      <c r="AS1749" s="242"/>
      <c r="AT1749" s="242"/>
    </row>
    <row r="1750" spans="1:46" ht="45" customHeight="1">
      <c r="A1750" s="243"/>
      <c r="B1750" s="241"/>
      <c r="C1750" s="66"/>
      <c r="D1750" s="15"/>
      <c r="E1750" s="15"/>
      <c r="F1750" s="242"/>
      <c r="G1750" s="242"/>
      <c r="H1750" s="242"/>
      <c r="I1750" s="242"/>
      <c r="J1750" s="242"/>
      <c r="K1750" s="242"/>
      <c r="L1750" s="242"/>
      <c r="M1750" s="242"/>
      <c r="N1750" s="242"/>
      <c r="O1750" s="242"/>
      <c r="P1750" s="242"/>
      <c r="Q1750" s="242"/>
      <c r="R1750" s="226"/>
      <c r="S1750" s="30">
        <f t="shared" si="9"/>
        <v>0</v>
      </c>
      <c r="T1750" s="243"/>
      <c r="U1750" s="242"/>
      <c r="V1750" s="242"/>
      <c r="W1750" s="242"/>
      <c r="X1750" s="242"/>
      <c r="Y1750" s="241"/>
      <c r="Z1750" s="242"/>
      <c r="AA1750" s="135"/>
      <c r="AB1750" s="241"/>
      <c r="AC1750" s="242"/>
      <c r="AD1750" s="242"/>
      <c r="AE1750" s="242"/>
      <c r="AF1750" s="242"/>
      <c r="AG1750" s="242"/>
      <c r="AH1750" s="242"/>
      <c r="AI1750" s="242"/>
      <c r="AJ1750" s="242"/>
      <c r="AK1750" s="242"/>
      <c r="AL1750" s="242"/>
      <c r="AM1750" s="242"/>
      <c r="AN1750" s="242"/>
      <c r="AO1750" s="242"/>
      <c r="AP1750" s="242"/>
      <c r="AQ1750" s="242"/>
      <c r="AR1750" s="242"/>
      <c r="AS1750" s="242"/>
      <c r="AT1750" s="242"/>
    </row>
    <row r="1751" spans="1:46" ht="45" customHeight="1">
      <c r="A1751" s="243"/>
      <c r="B1751" s="241"/>
      <c r="C1751" s="66"/>
      <c r="D1751" s="15"/>
      <c r="E1751" s="15"/>
      <c r="F1751" s="242"/>
      <c r="G1751" s="242"/>
      <c r="H1751" s="242"/>
      <c r="I1751" s="242"/>
      <c r="J1751" s="242"/>
      <c r="K1751" s="242"/>
      <c r="L1751" s="242"/>
      <c r="M1751" s="242"/>
      <c r="N1751" s="242"/>
      <c r="O1751" s="242"/>
      <c r="P1751" s="242"/>
      <c r="Q1751" s="242"/>
      <c r="R1751" s="226"/>
      <c r="S1751" s="30">
        <f t="shared" si="9"/>
        <v>0</v>
      </c>
      <c r="T1751" s="243"/>
      <c r="U1751" s="242"/>
      <c r="V1751" s="242"/>
      <c r="W1751" s="242"/>
      <c r="X1751" s="242"/>
      <c r="Y1751" s="241"/>
      <c r="Z1751" s="242"/>
      <c r="AA1751" s="135"/>
      <c r="AB1751" s="241"/>
      <c r="AC1751" s="242"/>
      <c r="AD1751" s="242"/>
      <c r="AE1751" s="242"/>
      <c r="AF1751" s="242"/>
      <c r="AG1751" s="242"/>
      <c r="AH1751" s="242"/>
      <c r="AI1751" s="242"/>
      <c r="AJ1751" s="242"/>
      <c r="AK1751" s="242"/>
      <c r="AL1751" s="242"/>
      <c r="AM1751" s="242"/>
      <c r="AN1751" s="242"/>
      <c r="AO1751" s="242"/>
      <c r="AP1751" s="242"/>
      <c r="AQ1751" s="242"/>
      <c r="AR1751" s="242"/>
      <c r="AS1751" s="242"/>
      <c r="AT1751" s="242"/>
    </row>
    <row r="1752" spans="1:46" ht="45" customHeight="1">
      <c r="A1752" s="243"/>
      <c r="B1752" s="241"/>
      <c r="C1752" s="66"/>
      <c r="D1752" s="15"/>
      <c r="E1752" s="15"/>
      <c r="F1752" s="242"/>
      <c r="G1752" s="242"/>
      <c r="H1752" s="242"/>
      <c r="I1752" s="242"/>
      <c r="J1752" s="242"/>
      <c r="K1752" s="242"/>
      <c r="L1752" s="242"/>
      <c r="M1752" s="242"/>
      <c r="N1752" s="242"/>
      <c r="O1752" s="242"/>
      <c r="P1752" s="242"/>
      <c r="Q1752" s="242"/>
      <c r="R1752" s="226"/>
      <c r="S1752" s="30">
        <f t="shared" si="9"/>
        <v>0</v>
      </c>
      <c r="T1752" s="243"/>
      <c r="U1752" s="242"/>
      <c r="V1752" s="242"/>
      <c r="W1752" s="242"/>
      <c r="X1752" s="242"/>
      <c r="Y1752" s="241"/>
      <c r="Z1752" s="242"/>
      <c r="AA1752" s="135"/>
      <c r="AB1752" s="241"/>
      <c r="AC1752" s="242"/>
      <c r="AD1752" s="242"/>
      <c r="AE1752" s="242"/>
      <c r="AF1752" s="242"/>
      <c r="AG1752" s="242"/>
      <c r="AH1752" s="242"/>
      <c r="AI1752" s="242"/>
      <c r="AJ1752" s="242"/>
      <c r="AK1752" s="242"/>
      <c r="AL1752" s="242"/>
      <c r="AM1752" s="242"/>
      <c r="AN1752" s="242"/>
      <c r="AO1752" s="242"/>
      <c r="AP1752" s="242"/>
      <c r="AQ1752" s="242"/>
      <c r="AR1752" s="242"/>
      <c r="AS1752" s="242"/>
      <c r="AT1752" s="242"/>
    </row>
    <row r="1753" spans="1:46" ht="45" customHeight="1">
      <c r="A1753" s="243"/>
      <c r="B1753" s="241"/>
      <c r="C1753" s="66"/>
      <c r="D1753" s="15"/>
      <c r="E1753" s="15"/>
      <c r="F1753" s="242"/>
      <c r="G1753" s="242"/>
      <c r="H1753" s="242"/>
      <c r="I1753" s="242"/>
      <c r="J1753" s="242"/>
      <c r="K1753" s="242"/>
      <c r="L1753" s="242"/>
      <c r="M1753" s="242"/>
      <c r="N1753" s="242"/>
      <c r="O1753" s="242"/>
      <c r="P1753" s="242"/>
      <c r="Q1753" s="242"/>
      <c r="R1753" s="226"/>
      <c r="S1753" s="30">
        <f t="shared" si="9"/>
        <v>0</v>
      </c>
      <c r="T1753" s="243"/>
      <c r="U1753" s="242"/>
      <c r="V1753" s="242"/>
      <c r="W1753" s="242"/>
      <c r="X1753" s="242"/>
      <c r="Y1753" s="241"/>
      <c r="Z1753" s="242"/>
      <c r="AA1753" s="135"/>
      <c r="AB1753" s="241"/>
      <c r="AC1753" s="242"/>
      <c r="AD1753" s="242"/>
      <c r="AE1753" s="242"/>
      <c r="AF1753" s="242"/>
      <c r="AG1753" s="242"/>
      <c r="AH1753" s="242"/>
      <c r="AI1753" s="242"/>
      <c r="AJ1753" s="242"/>
      <c r="AK1753" s="242"/>
      <c r="AL1753" s="242"/>
      <c r="AM1753" s="242"/>
      <c r="AN1753" s="242"/>
      <c r="AO1753" s="242"/>
      <c r="AP1753" s="242"/>
      <c r="AQ1753" s="242"/>
      <c r="AR1753" s="242"/>
      <c r="AS1753" s="242"/>
      <c r="AT1753" s="242"/>
    </row>
    <row r="1754" spans="1:46" ht="45" customHeight="1">
      <c r="A1754" s="243"/>
      <c r="B1754" s="241"/>
      <c r="C1754" s="66"/>
      <c r="D1754" s="15"/>
      <c r="E1754" s="15"/>
      <c r="F1754" s="242"/>
      <c r="G1754" s="242"/>
      <c r="H1754" s="242"/>
      <c r="I1754" s="242"/>
      <c r="J1754" s="242"/>
      <c r="K1754" s="242"/>
      <c r="L1754" s="242"/>
      <c r="M1754" s="242"/>
      <c r="N1754" s="242"/>
      <c r="O1754" s="242"/>
      <c r="P1754" s="242"/>
      <c r="Q1754" s="242"/>
      <c r="R1754" s="226"/>
      <c r="S1754" s="30">
        <f t="shared" si="9"/>
        <v>0</v>
      </c>
      <c r="T1754" s="243"/>
      <c r="U1754" s="242"/>
      <c r="V1754" s="242"/>
      <c r="W1754" s="242"/>
      <c r="X1754" s="242"/>
      <c r="Y1754" s="241"/>
      <c r="Z1754" s="242"/>
      <c r="AA1754" s="135"/>
      <c r="AB1754" s="241"/>
      <c r="AC1754" s="242"/>
      <c r="AD1754" s="242"/>
      <c r="AE1754" s="242"/>
      <c r="AF1754" s="242"/>
      <c r="AG1754" s="242"/>
      <c r="AH1754" s="242"/>
      <c r="AI1754" s="242"/>
      <c r="AJ1754" s="242"/>
      <c r="AK1754" s="242"/>
      <c r="AL1754" s="242"/>
      <c r="AM1754" s="242"/>
      <c r="AN1754" s="242"/>
      <c r="AO1754" s="242"/>
      <c r="AP1754" s="242"/>
      <c r="AQ1754" s="242"/>
      <c r="AR1754" s="242"/>
      <c r="AS1754" s="242"/>
      <c r="AT1754" s="242"/>
    </row>
    <row r="1755" spans="1:46" ht="45" customHeight="1">
      <c r="A1755" s="243"/>
      <c r="B1755" s="241"/>
      <c r="C1755" s="66"/>
      <c r="D1755" s="15"/>
      <c r="E1755" s="15"/>
      <c r="F1755" s="242"/>
      <c r="G1755" s="242"/>
      <c r="H1755" s="242"/>
      <c r="I1755" s="242"/>
      <c r="J1755" s="242"/>
      <c r="K1755" s="242"/>
      <c r="L1755" s="242"/>
      <c r="M1755" s="242"/>
      <c r="N1755" s="242"/>
      <c r="O1755" s="242"/>
      <c r="P1755" s="242"/>
      <c r="Q1755" s="242"/>
      <c r="R1755" s="226"/>
      <c r="S1755" s="30">
        <f t="shared" si="9"/>
        <v>0</v>
      </c>
      <c r="T1755" s="243"/>
      <c r="U1755" s="242"/>
      <c r="V1755" s="242"/>
      <c r="W1755" s="242"/>
      <c r="X1755" s="242"/>
      <c r="Y1755" s="241"/>
      <c r="Z1755" s="242"/>
      <c r="AA1755" s="135"/>
      <c r="AB1755" s="241"/>
      <c r="AC1755" s="242"/>
      <c r="AD1755" s="242"/>
      <c r="AE1755" s="242"/>
      <c r="AF1755" s="242"/>
      <c r="AG1755" s="242"/>
      <c r="AH1755" s="242"/>
      <c r="AI1755" s="242"/>
      <c r="AJ1755" s="242"/>
      <c r="AK1755" s="242"/>
      <c r="AL1755" s="242"/>
      <c r="AM1755" s="242"/>
      <c r="AN1755" s="242"/>
      <c r="AO1755" s="242"/>
      <c r="AP1755" s="242"/>
      <c r="AQ1755" s="242"/>
      <c r="AR1755" s="242"/>
      <c r="AS1755" s="242"/>
      <c r="AT1755" s="242"/>
    </row>
    <row r="1756" spans="1:46" ht="45" customHeight="1">
      <c r="A1756" s="243"/>
      <c r="B1756" s="241"/>
      <c r="C1756" s="66"/>
      <c r="D1756" s="15"/>
      <c r="E1756" s="15"/>
      <c r="F1756" s="242"/>
      <c r="G1756" s="242"/>
      <c r="H1756" s="242"/>
      <c r="I1756" s="242"/>
      <c r="J1756" s="242"/>
      <c r="K1756" s="242"/>
      <c r="L1756" s="242"/>
      <c r="M1756" s="242"/>
      <c r="N1756" s="242"/>
      <c r="O1756" s="242"/>
      <c r="P1756" s="242"/>
      <c r="Q1756" s="242"/>
      <c r="R1756" s="243"/>
      <c r="S1756" s="30">
        <f t="shared" si="9"/>
        <v>0</v>
      </c>
      <c r="T1756" s="243"/>
      <c r="U1756" s="242"/>
      <c r="V1756" s="242"/>
      <c r="W1756" s="242"/>
      <c r="X1756" s="242"/>
      <c r="Y1756" s="241"/>
      <c r="Z1756" s="242"/>
      <c r="AA1756" s="135"/>
      <c r="AB1756" s="241"/>
      <c r="AC1756" s="242"/>
      <c r="AD1756" s="242"/>
      <c r="AE1756" s="242"/>
      <c r="AF1756" s="242"/>
      <c r="AG1756" s="242"/>
      <c r="AH1756" s="242"/>
      <c r="AI1756" s="242"/>
      <c r="AJ1756" s="242"/>
      <c r="AK1756" s="242"/>
      <c r="AL1756" s="242"/>
      <c r="AM1756" s="242"/>
      <c r="AN1756" s="242"/>
      <c r="AO1756" s="242"/>
      <c r="AP1756" s="242"/>
      <c r="AQ1756" s="242"/>
      <c r="AR1756" s="242"/>
      <c r="AS1756" s="242"/>
      <c r="AT1756" s="242"/>
    </row>
    <row r="1757" spans="1:46" ht="45" customHeight="1">
      <c r="A1757" s="243"/>
      <c r="B1757" s="241"/>
      <c r="C1757" s="66"/>
      <c r="D1757" s="15"/>
      <c r="E1757" s="15"/>
      <c r="F1757" s="242"/>
      <c r="G1757" s="242"/>
      <c r="H1757" s="242"/>
      <c r="I1757" s="242"/>
      <c r="J1757" s="242"/>
      <c r="K1757" s="242"/>
      <c r="L1757" s="242"/>
      <c r="M1757" s="242"/>
      <c r="N1757" s="242"/>
      <c r="O1757" s="242"/>
      <c r="P1757" s="242"/>
      <c r="Q1757" s="242"/>
      <c r="R1757" s="243"/>
      <c r="S1757" s="30">
        <f t="shared" si="9"/>
        <v>0</v>
      </c>
      <c r="T1757" s="243"/>
      <c r="U1757" s="242"/>
      <c r="V1757" s="242"/>
      <c r="W1757" s="242"/>
      <c r="X1757" s="242"/>
      <c r="Y1757" s="241"/>
      <c r="Z1757" s="242"/>
      <c r="AA1757" s="135"/>
      <c r="AB1757" s="241"/>
      <c r="AC1757" s="242"/>
      <c r="AD1757" s="242"/>
      <c r="AE1757" s="242"/>
      <c r="AF1757" s="242"/>
      <c r="AG1757" s="242"/>
      <c r="AH1757" s="242"/>
      <c r="AI1757" s="242"/>
      <c r="AJ1757" s="242"/>
      <c r="AK1757" s="242"/>
      <c r="AL1757" s="242"/>
      <c r="AM1757" s="242"/>
      <c r="AN1757" s="242"/>
      <c r="AO1757" s="242"/>
      <c r="AP1757" s="242"/>
      <c r="AQ1757" s="242"/>
      <c r="AR1757" s="242"/>
      <c r="AS1757" s="242"/>
      <c r="AT1757" s="242"/>
    </row>
    <row r="1758" spans="1:46" ht="45" customHeight="1">
      <c r="A1758" s="243"/>
      <c r="B1758" s="241"/>
      <c r="C1758" s="66"/>
      <c r="D1758" s="15"/>
      <c r="E1758" s="15"/>
      <c r="F1758" s="242"/>
      <c r="G1758" s="242"/>
      <c r="H1758" s="242"/>
      <c r="I1758" s="242"/>
      <c r="J1758" s="242"/>
      <c r="K1758" s="242"/>
      <c r="L1758" s="242"/>
      <c r="M1758" s="242"/>
      <c r="N1758" s="242"/>
      <c r="O1758" s="242"/>
      <c r="P1758" s="242"/>
      <c r="Q1758" s="242"/>
      <c r="R1758" s="243"/>
      <c r="S1758" s="30">
        <f t="shared" si="9"/>
        <v>0</v>
      </c>
      <c r="T1758" s="243"/>
      <c r="U1758" s="242"/>
      <c r="V1758" s="242"/>
      <c r="W1758" s="242"/>
      <c r="X1758" s="242"/>
      <c r="Y1758" s="241"/>
      <c r="Z1758" s="242"/>
      <c r="AA1758" s="135"/>
      <c r="AB1758" s="241"/>
      <c r="AC1758" s="242"/>
      <c r="AD1758" s="242"/>
      <c r="AE1758" s="242"/>
      <c r="AF1758" s="242"/>
      <c r="AG1758" s="242"/>
      <c r="AH1758" s="242"/>
      <c r="AI1758" s="242"/>
      <c r="AJ1758" s="242"/>
      <c r="AK1758" s="242"/>
      <c r="AL1758" s="242"/>
      <c r="AM1758" s="242"/>
      <c r="AN1758" s="242"/>
      <c r="AO1758" s="242"/>
      <c r="AP1758" s="242"/>
      <c r="AQ1758" s="242"/>
      <c r="AR1758" s="242"/>
      <c r="AS1758" s="242"/>
      <c r="AT1758" s="242"/>
    </row>
    <row r="1759" spans="1:46" ht="45" customHeight="1">
      <c r="A1759" s="243"/>
      <c r="B1759" s="241"/>
      <c r="C1759" s="66"/>
      <c r="D1759" s="15"/>
      <c r="E1759" s="15"/>
      <c r="F1759" s="242"/>
      <c r="G1759" s="242"/>
      <c r="H1759" s="242"/>
      <c r="I1759" s="242"/>
      <c r="J1759" s="242"/>
      <c r="K1759" s="242"/>
      <c r="L1759" s="242"/>
      <c r="M1759" s="242"/>
      <c r="N1759" s="242"/>
      <c r="O1759" s="242"/>
      <c r="P1759" s="242"/>
      <c r="Q1759" s="242"/>
      <c r="R1759" s="243"/>
      <c r="S1759" s="30">
        <f t="shared" si="9"/>
        <v>0</v>
      </c>
      <c r="T1759" s="243"/>
      <c r="U1759" s="242"/>
      <c r="V1759" s="242"/>
      <c r="W1759" s="242"/>
      <c r="X1759" s="242"/>
      <c r="Y1759" s="241"/>
      <c r="Z1759" s="242"/>
      <c r="AA1759" s="135"/>
      <c r="AB1759" s="241"/>
      <c r="AC1759" s="242"/>
      <c r="AD1759" s="242"/>
      <c r="AE1759" s="242"/>
      <c r="AF1759" s="242"/>
      <c r="AG1759" s="242"/>
      <c r="AH1759" s="242"/>
      <c r="AI1759" s="242"/>
      <c r="AJ1759" s="242"/>
      <c r="AK1759" s="242"/>
      <c r="AL1759" s="242"/>
      <c r="AM1759" s="242"/>
      <c r="AN1759" s="242"/>
      <c r="AO1759" s="242"/>
      <c r="AP1759" s="242"/>
      <c r="AQ1759" s="242"/>
      <c r="AR1759" s="242"/>
      <c r="AS1759" s="242"/>
      <c r="AT1759" s="242"/>
    </row>
  </sheetData>
  <autoFilter ref="A1:AC1759"/>
  <hyperlinks>
    <hyperlink ref="M5" r:id="rId1"/>
    <hyperlink ref="M8" r:id="rId2"/>
    <hyperlink ref="M11" r:id="rId3"/>
    <hyperlink ref="M12" r:id="rId4"/>
    <hyperlink ref="M15" r:id="rId5"/>
    <hyperlink ref="M16" r:id="rId6"/>
    <hyperlink ref="M20" r:id="rId7"/>
    <hyperlink ref="M21" r:id="rId8"/>
    <hyperlink ref="M23" r:id="rId9"/>
    <hyperlink ref="M24" r:id="rId10"/>
    <hyperlink ref="M29" r:id="rId11"/>
    <hyperlink ref="M32" r:id="rId12"/>
    <hyperlink ref="M35" r:id="rId13"/>
    <hyperlink ref="M36" r:id="rId14"/>
    <hyperlink ref="M37" r:id="rId15"/>
    <hyperlink ref="M38" r:id="rId16"/>
    <hyperlink ref="M39" r:id="rId17"/>
    <hyperlink ref="M40" r:id="rId18"/>
    <hyperlink ref="M41" r:id="rId19"/>
    <hyperlink ref="M52" r:id="rId20"/>
    <hyperlink ref="M53" r:id="rId21"/>
    <hyperlink ref="M54" r:id="rId22"/>
    <hyperlink ref="M62" r:id="rId23"/>
    <hyperlink ref="M65" r:id="rId24"/>
    <hyperlink ref="M67" r:id="rId25"/>
    <hyperlink ref="M68" r:id="rId26"/>
    <hyperlink ref="M69" r:id="rId27"/>
    <hyperlink ref="M71" r:id="rId28"/>
    <hyperlink ref="M72" r:id="rId29"/>
    <hyperlink ref="M73" r:id="rId30"/>
    <hyperlink ref="M78" r:id="rId31"/>
    <hyperlink ref="M81" r:id="rId32"/>
    <hyperlink ref="M82" r:id="rId33"/>
    <hyperlink ref="M84" r:id="rId34"/>
    <hyperlink ref="M85" r:id="rId35"/>
    <hyperlink ref="M87" r:id="rId36"/>
    <hyperlink ref="M89" r:id="rId37"/>
    <hyperlink ref="M91" r:id="rId38"/>
    <hyperlink ref="M93" r:id="rId39"/>
    <hyperlink ref="M94" r:id="rId40"/>
    <hyperlink ref="M97" r:id="rId41"/>
    <hyperlink ref="M98" r:id="rId42"/>
    <hyperlink ref="M103" r:id="rId43"/>
    <hyperlink ref="M110" r:id="rId44"/>
    <hyperlink ref="M111" r:id="rId45"/>
    <hyperlink ref="M112" r:id="rId46"/>
    <hyperlink ref="M117" r:id="rId47"/>
    <hyperlink ref="M120" r:id="rId48"/>
    <hyperlink ref="M121" r:id="rId49"/>
    <hyperlink ref="M122" r:id="rId50"/>
    <hyperlink ref="M124" r:id="rId51"/>
    <hyperlink ref="M130" r:id="rId52"/>
    <hyperlink ref="M131" r:id="rId53"/>
    <hyperlink ref="M135" r:id="rId54"/>
    <hyperlink ref="M139" r:id="rId55"/>
    <hyperlink ref="M141" r:id="rId56"/>
    <hyperlink ref="M143" r:id="rId57"/>
    <hyperlink ref="M145" r:id="rId58"/>
    <hyperlink ref="M148" r:id="rId59"/>
    <hyperlink ref="M149" r:id="rId60"/>
    <hyperlink ref="M150" r:id="rId61"/>
    <hyperlink ref="M155" r:id="rId62"/>
    <hyperlink ref="M159" r:id="rId63"/>
    <hyperlink ref="M160" r:id="rId64"/>
    <hyperlink ref="M161" r:id="rId65"/>
    <hyperlink ref="M169" r:id="rId66"/>
    <hyperlink ref="M171" r:id="rId67"/>
    <hyperlink ref="M173" r:id="rId68"/>
    <hyperlink ref="M174" r:id="rId69"/>
    <hyperlink ref="M176" r:id="rId70"/>
    <hyperlink ref="M177" r:id="rId71"/>
    <hyperlink ref="M180" r:id="rId72"/>
    <hyperlink ref="M181" r:id="rId73"/>
    <hyperlink ref="M184" r:id="rId74"/>
    <hyperlink ref="M186" r:id="rId75"/>
    <hyperlink ref="M187" r:id="rId76"/>
    <hyperlink ref="M189" r:id="rId77"/>
    <hyperlink ref="M191" r:id="rId78"/>
    <hyperlink ref="M192" r:id="rId79"/>
    <hyperlink ref="M193" r:id="rId80"/>
    <hyperlink ref="M196" r:id="rId81"/>
    <hyperlink ref="M199" r:id="rId82"/>
    <hyperlink ref="M200" r:id="rId83"/>
    <hyperlink ref="M201" r:id="rId84"/>
    <hyperlink ref="M203" r:id="rId85"/>
    <hyperlink ref="M205" r:id="rId86"/>
    <hyperlink ref="M207" r:id="rId87"/>
    <hyperlink ref="M208" r:id="rId88"/>
    <hyperlink ref="M210" r:id="rId89"/>
    <hyperlink ref="M211" r:id="rId90"/>
    <hyperlink ref="M212" r:id="rId91"/>
    <hyperlink ref="M213" r:id="rId92"/>
    <hyperlink ref="M214" r:id="rId93"/>
    <hyperlink ref="M217" r:id="rId94"/>
    <hyperlink ref="M218" r:id="rId95"/>
    <hyperlink ref="M219" r:id="rId96"/>
    <hyperlink ref="M224" r:id="rId97"/>
    <hyperlink ref="M225" r:id="rId98"/>
    <hyperlink ref="M227" r:id="rId99"/>
    <hyperlink ref="M228" r:id="rId100"/>
    <hyperlink ref="M232" r:id="rId101"/>
    <hyperlink ref="M233" r:id="rId102"/>
    <hyperlink ref="M236" r:id="rId103"/>
    <hyperlink ref="M237" r:id="rId104"/>
    <hyperlink ref="M238" r:id="rId105"/>
    <hyperlink ref="M239" r:id="rId106"/>
    <hyperlink ref="M240" r:id="rId107"/>
    <hyperlink ref="M241" r:id="rId108"/>
    <hyperlink ref="M243" r:id="rId109"/>
    <hyperlink ref="M249" r:id="rId110"/>
    <hyperlink ref="M251" r:id="rId111"/>
    <hyperlink ref="M253" r:id="rId112"/>
    <hyperlink ref="M255" r:id="rId113"/>
    <hyperlink ref="M256" r:id="rId114"/>
    <hyperlink ref="M257" r:id="rId115"/>
    <hyperlink ref="M258" r:id="rId116"/>
    <hyperlink ref="M267" r:id="rId117"/>
    <hyperlink ref="M271" r:id="rId118"/>
    <hyperlink ref="M272" r:id="rId119"/>
    <hyperlink ref="M274" r:id="rId120"/>
    <hyperlink ref="M275" r:id="rId121"/>
    <hyperlink ref="M276" r:id="rId122"/>
    <hyperlink ref="G277" r:id="rId123"/>
    <hyperlink ref="M279" r:id="rId124"/>
    <hyperlink ref="M280" r:id="rId125"/>
    <hyperlink ref="M281" r:id="rId126"/>
    <hyperlink ref="M284" r:id="rId127"/>
    <hyperlink ref="M287" r:id="rId128"/>
    <hyperlink ref="M288" r:id="rId129"/>
    <hyperlink ref="M291" r:id="rId130"/>
    <hyperlink ref="M292" r:id="rId131"/>
    <hyperlink ref="M293" r:id="rId132"/>
    <hyperlink ref="M294" r:id="rId133"/>
    <hyperlink ref="M296" r:id="rId134"/>
    <hyperlink ref="M297" r:id="rId135"/>
    <hyperlink ref="M298" r:id="rId136"/>
    <hyperlink ref="M299" r:id="rId137"/>
    <hyperlink ref="M300" r:id="rId138"/>
    <hyperlink ref="M304" r:id="rId139"/>
    <hyperlink ref="M305" r:id="rId140"/>
    <hyperlink ref="M306" r:id="rId141"/>
    <hyperlink ref="M307" r:id="rId142"/>
    <hyperlink ref="M308" r:id="rId143"/>
    <hyperlink ref="M309" r:id="rId144"/>
    <hyperlink ref="M311" r:id="rId145"/>
    <hyperlink ref="M315" r:id="rId146"/>
    <hyperlink ref="M317" r:id="rId147"/>
    <hyperlink ref="M318" r:id="rId148"/>
    <hyperlink ref="M320" r:id="rId149"/>
    <hyperlink ref="M321" r:id="rId150"/>
    <hyperlink ref="M324" r:id="rId151"/>
    <hyperlink ref="M329" r:id="rId152"/>
    <hyperlink ref="M331" r:id="rId153"/>
    <hyperlink ref="M332" r:id="rId154"/>
    <hyperlink ref="M333" r:id="rId155"/>
    <hyperlink ref="M336" r:id="rId156"/>
    <hyperlink ref="M337" r:id="rId157"/>
    <hyperlink ref="M339" r:id="rId158"/>
    <hyperlink ref="M340" r:id="rId159"/>
    <hyperlink ref="M341" r:id="rId160"/>
    <hyperlink ref="M342" r:id="rId161"/>
    <hyperlink ref="M343" r:id="rId162"/>
    <hyperlink ref="M344" r:id="rId163"/>
    <hyperlink ref="M346" r:id="rId164"/>
    <hyperlink ref="M348" r:id="rId165"/>
    <hyperlink ref="M349" r:id="rId166"/>
    <hyperlink ref="M350" r:id="rId167"/>
    <hyperlink ref="M351" r:id="rId168"/>
    <hyperlink ref="M352" r:id="rId169"/>
    <hyperlink ref="M354" r:id="rId170"/>
    <hyperlink ref="M357" r:id="rId171"/>
    <hyperlink ref="M358" r:id="rId172"/>
    <hyperlink ref="M359" r:id="rId173"/>
    <hyperlink ref="M361" r:id="rId174"/>
    <hyperlink ref="M362" r:id="rId175"/>
    <hyperlink ref="M364" r:id="rId176"/>
    <hyperlink ref="M365" r:id="rId177"/>
    <hyperlink ref="M366" r:id="rId178"/>
    <hyperlink ref="M371" r:id="rId179"/>
    <hyperlink ref="M373" r:id="rId180"/>
    <hyperlink ref="M374" r:id="rId181"/>
    <hyperlink ref="M375" r:id="rId182"/>
    <hyperlink ref="M376" r:id="rId183"/>
    <hyperlink ref="M377" r:id="rId184"/>
    <hyperlink ref="M378" r:id="rId185"/>
    <hyperlink ref="M379" r:id="rId186"/>
    <hyperlink ref="M380" r:id="rId187"/>
    <hyperlink ref="M381" r:id="rId188"/>
    <hyperlink ref="M382" r:id="rId189"/>
    <hyperlink ref="M383" r:id="rId190"/>
    <hyperlink ref="M384" r:id="rId191"/>
    <hyperlink ref="M385" r:id="rId192"/>
    <hyperlink ref="M387" r:id="rId193"/>
    <hyperlink ref="M389" r:id="rId194"/>
    <hyperlink ref="M394" r:id="rId195"/>
    <hyperlink ref="M396" r:id="rId196"/>
    <hyperlink ref="M398" r:id="rId197"/>
    <hyperlink ref="M399" r:id="rId198"/>
    <hyperlink ref="M400" r:id="rId199"/>
    <hyperlink ref="M403" r:id="rId200"/>
    <hyperlink ref="M404" r:id="rId201"/>
    <hyperlink ref="M406" r:id="rId202"/>
    <hyperlink ref="M409" r:id="rId203"/>
    <hyperlink ref="M410" r:id="rId204"/>
    <hyperlink ref="M411" r:id="rId205"/>
    <hyperlink ref="M413" r:id="rId206"/>
    <hyperlink ref="M414" r:id="rId207"/>
    <hyperlink ref="M416" r:id="rId208"/>
    <hyperlink ref="M417" r:id="rId209"/>
    <hyperlink ref="M418" r:id="rId210"/>
    <hyperlink ref="M420" r:id="rId211"/>
    <hyperlink ref="M422" r:id="rId212"/>
    <hyperlink ref="M425" r:id="rId213"/>
    <hyperlink ref="M428" r:id="rId214"/>
    <hyperlink ref="M432" r:id="rId215"/>
    <hyperlink ref="M433" r:id="rId216"/>
    <hyperlink ref="M434" r:id="rId217"/>
    <hyperlink ref="M435" r:id="rId218"/>
    <hyperlink ref="M436" r:id="rId219"/>
    <hyperlink ref="M437" r:id="rId220"/>
    <hyperlink ref="M440" r:id="rId221"/>
    <hyperlink ref="M441" r:id="rId222"/>
    <hyperlink ref="M442" r:id="rId223"/>
    <hyperlink ref="M443" r:id="rId224"/>
    <hyperlink ref="M444" r:id="rId225"/>
    <hyperlink ref="M445" r:id="rId226"/>
    <hyperlink ref="M446" r:id="rId227"/>
    <hyperlink ref="M450" r:id="rId228"/>
    <hyperlink ref="M451" r:id="rId229"/>
    <hyperlink ref="M452" r:id="rId230"/>
    <hyperlink ref="M453" r:id="rId231"/>
    <hyperlink ref="M454" r:id="rId232"/>
    <hyperlink ref="M455" r:id="rId233"/>
    <hyperlink ref="M456" r:id="rId234"/>
    <hyperlink ref="M463" r:id="rId235"/>
    <hyperlink ref="M465" r:id="rId236"/>
    <hyperlink ref="M467" r:id="rId237"/>
    <hyperlink ref="M470" r:id="rId238"/>
    <hyperlink ref="M471" r:id="rId239"/>
    <hyperlink ref="M472" r:id="rId240"/>
    <hyperlink ref="M473" r:id="rId241"/>
    <hyperlink ref="M474" r:id="rId242"/>
    <hyperlink ref="M475" r:id="rId243"/>
    <hyperlink ref="M480" r:id="rId244"/>
    <hyperlink ref="M481" r:id="rId245"/>
    <hyperlink ref="M484" r:id="rId246"/>
    <hyperlink ref="M487" r:id="rId247"/>
    <hyperlink ref="M488" r:id="rId248"/>
    <hyperlink ref="M489" r:id="rId249"/>
    <hyperlink ref="M490" r:id="rId250"/>
    <hyperlink ref="M493" r:id="rId251"/>
    <hyperlink ref="M496" r:id="rId252"/>
    <hyperlink ref="M501" r:id="rId253"/>
    <hyperlink ref="M502" r:id="rId254"/>
    <hyperlink ref="M504" r:id="rId255"/>
    <hyperlink ref="M506" r:id="rId256"/>
    <hyperlink ref="M508" r:id="rId257"/>
    <hyperlink ref="M510" r:id="rId258"/>
    <hyperlink ref="M512" r:id="rId259"/>
    <hyperlink ref="M513" r:id="rId260"/>
    <hyperlink ref="M514" r:id="rId261"/>
    <hyperlink ref="M515" r:id="rId262"/>
    <hyperlink ref="M517" r:id="rId263"/>
    <hyperlink ref="M519" r:id="rId264"/>
    <hyperlink ref="M522" r:id="rId265"/>
    <hyperlink ref="M525" r:id="rId266"/>
    <hyperlink ref="M528" r:id="rId267"/>
    <hyperlink ref="M530" r:id="rId268"/>
    <hyperlink ref="M531" r:id="rId269"/>
    <hyperlink ref="M532" r:id="rId270"/>
    <hyperlink ref="M533" r:id="rId271"/>
    <hyperlink ref="M534" r:id="rId272"/>
    <hyperlink ref="M536" r:id="rId273"/>
    <hyperlink ref="M537" r:id="rId274"/>
    <hyperlink ref="M538" r:id="rId275"/>
    <hyperlink ref="M540" r:id="rId276"/>
    <hyperlink ref="M541" r:id="rId277"/>
    <hyperlink ref="M542" r:id="rId278"/>
    <hyperlink ref="M544" r:id="rId279"/>
    <hyperlink ref="M545" r:id="rId280"/>
    <hyperlink ref="M549" r:id="rId281"/>
    <hyperlink ref="M550" r:id="rId282"/>
    <hyperlink ref="M551" r:id="rId283"/>
    <hyperlink ref="M554" r:id="rId284"/>
    <hyperlink ref="M555" r:id="rId285"/>
    <hyperlink ref="M557" r:id="rId286"/>
    <hyperlink ref="M559" r:id="rId287"/>
    <hyperlink ref="M560" r:id="rId288"/>
    <hyperlink ref="M561" r:id="rId289"/>
    <hyperlink ref="M562" r:id="rId290"/>
    <hyperlink ref="M564" r:id="rId291"/>
    <hyperlink ref="M565" r:id="rId292"/>
    <hyperlink ref="M566" r:id="rId293"/>
    <hyperlink ref="M570" r:id="rId294"/>
    <hyperlink ref="M572" r:id="rId295"/>
    <hyperlink ref="M578" r:id="rId296"/>
    <hyperlink ref="M579" r:id="rId297"/>
    <hyperlink ref="M580" r:id="rId298"/>
    <hyperlink ref="M581" r:id="rId299"/>
    <hyperlink ref="M583" r:id="rId300"/>
    <hyperlink ref="M584" r:id="rId301"/>
    <hyperlink ref="M585" r:id="rId302"/>
    <hyperlink ref="M588" r:id="rId303"/>
    <hyperlink ref="M591" r:id="rId304"/>
    <hyperlink ref="M593" r:id="rId305"/>
    <hyperlink ref="M596" r:id="rId306"/>
    <hyperlink ref="M597" r:id="rId307"/>
    <hyperlink ref="M598" r:id="rId308"/>
    <hyperlink ref="M599" r:id="rId309"/>
    <hyperlink ref="M600" r:id="rId310"/>
    <hyperlink ref="M601" r:id="rId311"/>
    <hyperlink ref="M605" r:id="rId312"/>
    <hyperlink ref="M607" r:id="rId313"/>
    <hyperlink ref="M608" r:id="rId314"/>
    <hyperlink ref="M609" r:id="rId315"/>
    <hyperlink ref="M611" r:id="rId316"/>
    <hyperlink ref="M613" r:id="rId317"/>
    <hyperlink ref="M614" r:id="rId318"/>
    <hyperlink ref="M615" r:id="rId319"/>
    <hyperlink ref="M617" r:id="rId320"/>
    <hyperlink ref="M618" r:id="rId321"/>
    <hyperlink ref="M619" r:id="rId322"/>
    <hyperlink ref="M626" r:id="rId323"/>
    <hyperlink ref="M627" r:id="rId324"/>
    <hyperlink ref="M628" r:id="rId325"/>
    <hyperlink ref="M629" r:id="rId326"/>
    <hyperlink ref="M630" r:id="rId327"/>
    <hyperlink ref="M632" r:id="rId328"/>
    <hyperlink ref="M633" r:id="rId329"/>
    <hyperlink ref="M635" r:id="rId330"/>
    <hyperlink ref="M636" r:id="rId331"/>
    <hyperlink ref="M638" r:id="rId332"/>
    <hyperlink ref="M640" r:id="rId333"/>
    <hyperlink ref="M643" r:id="rId334"/>
    <hyperlink ref="M644" r:id="rId335"/>
    <hyperlink ref="M645" r:id="rId336"/>
    <hyperlink ref="M648" r:id="rId337"/>
    <hyperlink ref="M651" r:id="rId338"/>
    <hyperlink ref="M652" r:id="rId339"/>
    <hyperlink ref="M655" r:id="rId340"/>
    <hyperlink ref="M657" r:id="rId341"/>
    <hyperlink ref="M660" r:id="rId342"/>
    <hyperlink ref="M662" r:id="rId343"/>
    <hyperlink ref="M663" r:id="rId344"/>
    <hyperlink ref="M667" r:id="rId345"/>
    <hyperlink ref="M670" r:id="rId346"/>
    <hyperlink ref="M671" r:id="rId347"/>
    <hyperlink ref="M672" r:id="rId348"/>
    <hyperlink ref="M674" r:id="rId349"/>
    <hyperlink ref="M675" r:id="rId350"/>
    <hyperlink ref="M677" r:id="rId351"/>
    <hyperlink ref="M678" r:id="rId352"/>
    <hyperlink ref="M680" r:id="rId353"/>
    <hyperlink ref="M684" r:id="rId354"/>
    <hyperlink ref="M686" r:id="rId355"/>
    <hyperlink ref="M687" r:id="rId356"/>
    <hyperlink ref="M688" r:id="rId357"/>
    <hyperlink ref="M689" r:id="rId358"/>
    <hyperlink ref="M691" r:id="rId359"/>
    <hyperlink ref="M692" r:id="rId360"/>
    <hyperlink ref="M696" r:id="rId361"/>
    <hyperlink ref="M697" r:id="rId362"/>
    <hyperlink ref="M698" r:id="rId363"/>
    <hyperlink ref="M699" r:id="rId364"/>
    <hyperlink ref="M703" r:id="rId365"/>
    <hyperlink ref="M704" r:id="rId366"/>
    <hyperlink ref="M705" r:id="rId367"/>
    <hyperlink ref="M706" r:id="rId368"/>
    <hyperlink ref="M707" r:id="rId369"/>
    <hyperlink ref="M708" r:id="rId370"/>
    <hyperlink ref="M709" r:id="rId371"/>
    <hyperlink ref="M710" r:id="rId372"/>
    <hyperlink ref="M711" r:id="rId373"/>
    <hyperlink ref="M712" r:id="rId374"/>
    <hyperlink ref="M713" r:id="rId375"/>
    <hyperlink ref="M714" r:id="rId376"/>
    <hyperlink ref="M715" r:id="rId377"/>
    <hyperlink ref="M716" r:id="rId378"/>
    <hyperlink ref="M717" r:id="rId379"/>
    <hyperlink ref="M718" r:id="rId380"/>
    <hyperlink ref="M720" r:id="rId381"/>
    <hyperlink ref="M721" r:id="rId382"/>
    <hyperlink ref="M723" r:id="rId383"/>
    <hyperlink ref="M724" r:id="rId384"/>
    <hyperlink ref="M726" r:id="rId385"/>
    <hyperlink ref="M727" r:id="rId386"/>
    <hyperlink ref="M728" r:id="rId387"/>
    <hyperlink ref="M729" r:id="rId388"/>
    <hyperlink ref="M730" r:id="rId389"/>
    <hyperlink ref="M731" r:id="rId390"/>
    <hyperlink ref="M732" r:id="rId391"/>
    <hyperlink ref="M733" r:id="rId392"/>
    <hyperlink ref="M736" r:id="rId393"/>
    <hyperlink ref="M737" r:id="rId394"/>
    <hyperlink ref="M738" r:id="rId395"/>
    <hyperlink ref="M740" r:id="rId396"/>
    <hyperlink ref="M743" r:id="rId397"/>
    <hyperlink ref="M744" r:id="rId398"/>
    <hyperlink ref="M745" r:id="rId399"/>
    <hyperlink ref="M746" r:id="rId400"/>
    <hyperlink ref="M747" r:id="rId401"/>
    <hyperlink ref="M748" r:id="rId402"/>
    <hyperlink ref="M749" r:id="rId403"/>
    <hyperlink ref="M751" r:id="rId404"/>
    <hyperlink ref="M753" r:id="rId405"/>
    <hyperlink ref="M754" r:id="rId406"/>
    <hyperlink ref="M757" r:id="rId407"/>
    <hyperlink ref="M758" r:id="rId408"/>
    <hyperlink ref="M761" r:id="rId409"/>
    <hyperlink ref="M762" r:id="rId410"/>
    <hyperlink ref="M763" r:id="rId411"/>
    <hyperlink ref="M765" r:id="rId412"/>
    <hyperlink ref="M766" r:id="rId413"/>
    <hyperlink ref="M767" r:id="rId414"/>
    <hyperlink ref="M769" r:id="rId415"/>
    <hyperlink ref="M770" r:id="rId416"/>
    <hyperlink ref="M771" r:id="rId417"/>
    <hyperlink ref="M773" r:id="rId418"/>
    <hyperlink ref="M774" r:id="rId419"/>
    <hyperlink ref="M775" r:id="rId420"/>
    <hyperlink ref="M777" r:id="rId421"/>
    <hyperlink ref="M779" r:id="rId422"/>
    <hyperlink ref="M781" r:id="rId423"/>
    <hyperlink ref="M787" r:id="rId424"/>
    <hyperlink ref="M789" r:id="rId425"/>
    <hyperlink ref="M790" r:id="rId426"/>
    <hyperlink ref="M791" r:id="rId427"/>
    <hyperlink ref="M792" r:id="rId428"/>
    <hyperlink ref="M793" r:id="rId429"/>
    <hyperlink ref="M795" r:id="rId430"/>
    <hyperlink ref="M797" r:id="rId431"/>
    <hyperlink ref="M798" r:id="rId432"/>
    <hyperlink ref="M801" r:id="rId433"/>
    <hyperlink ref="M802" r:id="rId434"/>
    <hyperlink ref="M803" r:id="rId435"/>
    <hyperlink ref="M804" r:id="rId436"/>
    <hyperlink ref="M805" r:id="rId437"/>
    <hyperlink ref="M807" r:id="rId438"/>
    <hyperlink ref="M808" r:id="rId439"/>
    <hyperlink ref="M809" r:id="rId440"/>
    <hyperlink ref="M811" r:id="rId441"/>
    <hyperlink ref="M813" r:id="rId442"/>
    <hyperlink ref="M815" r:id="rId443"/>
    <hyperlink ref="M819" r:id="rId444"/>
    <hyperlink ref="M821" r:id="rId445"/>
    <hyperlink ref="M824" r:id="rId446"/>
    <hyperlink ref="M825" r:id="rId447"/>
    <hyperlink ref="M826" r:id="rId448"/>
    <hyperlink ref="M827" r:id="rId449"/>
    <hyperlink ref="M834" r:id="rId450"/>
    <hyperlink ref="M835" r:id="rId451"/>
    <hyperlink ref="M836" r:id="rId452"/>
    <hyperlink ref="M837" r:id="rId453"/>
    <hyperlink ref="M838" r:id="rId454"/>
    <hyperlink ref="M840" r:id="rId455"/>
    <hyperlink ref="M841" r:id="rId456"/>
    <hyperlink ref="M844" r:id="rId457"/>
    <hyperlink ref="M845" r:id="rId458"/>
    <hyperlink ref="M846" r:id="rId459"/>
    <hyperlink ref="M848" r:id="rId460"/>
    <hyperlink ref="M849" r:id="rId461"/>
    <hyperlink ref="M850" r:id="rId462"/>
    <hyperlink ref="M851" r:id="rId463"/>
    <hyperlink ref="M854" r:id="rId464"/>
    <hyperlink ref="M856" r:id="rId465"/>
    <hyperlink ref="M863" r:id="rId466"/>
    <hyperlink ref="M865" r:id="rId467"/>
    <hyperlink ref="M866" r:id="rId468"/>
    <hyperlink ref="M867" r:id="rId469"/>
    <hyperlink ref="M868" r:id="rId470"/>
    <hyperlink ref="M869" r:id="rId471"/>
    <hyperlink ref="M871" r:id="rId472"/>
    <hyperlink ref="M872" r:id="rId473"/>
    <hyperlink ref="M873" r:id="rId474"/>
    <hyperlink ref="M874" r:id="rId475"/>
    <hyperlink ref="M875" r:id="rId476"/>
    <hyperlink ref="M876" r:id="rId477"/>
    <hyperlink ref="M877" r:id="rId478"/>
    <hyperlink ref="M878" r:id="rId479"/>
    <hyperlink ref="M881" r:id="rId480"/>
    <hyperlink ref="M882" r:id="rId481"/>
    <hyperlink ref="M884" r:id="rId482"/>
    <hyperlink ref="M885" r:id="rId483"/>
    <hyperlink ref="M886" r:id="rId484"/>
    <hyperlink ref="M888" r:id="rId485"/>
    <hyperlink ref="M889" r:id="rId486"/>
    <hyperlink ref="M891" r:id="rId487"/>
    <hyperlink ref="M895" r:id="rId488"/>
    <hyperlink ref="M897" r:id="rId489"/>
    <hyperlink ref="M901" r:id="rId490"/>
    <hyperlink ref="M902" r:id="rId491"/>
    <hyperlink ref="M904" r:id="rId492"/>
    <hyperlink ref="M908" r:id="rId493"/>
    <hyperlink ref="M909" r:id="rId494"/>
    <hyperlink ref="M911" r:id="rId495"/>
    <hyperlink ref="M913" r:id="rId496"/>
    <hyperlink ref="M914" r:id="rId497"/>
    <hyperlink ref="M915" r:id="rId498"/>
    <hyperlink ref="M918" r:id="rId499"/>
    <hyperlink ref="M920" r:id="rId500"/>
    <hyperlink ref="M922" r:id="rId501"/>
    <hyperlink ref="M924" r:id="rId502"/>
    <hyperlink ref="M926" r:id="rId503"/>
    <hyperlink ref="M929" r:id="rId504"/>
    <hyperlink ref="M931" r:id="rId505"/>
    <hyperlink ref="M932" r:id="rId506"/>
    <hyperlink ref="M935" r:id="rId507"/>
    <hyperlink ref="M941" r:id="rId508"/>
    <hyperlink ref="M942" r:id="rId509"/>
    <hyperlink ref="M944" r:id="rId510"/>
    <hyperlink ref="M945" r:id="rId511"/>
    <hyperlink ref="M958" r:id="rId512"/>
    <hyperlink ref="M959" r:id="rId513"/>
    <hyperlink ref="M961" r:id="rId514"/>
    <hyperlink ref="M963" r:id="rId515"/>
    <hyperlink ref="M965" r:id="rId516"/>
    <hyperlink ref="M969" r:id="rId517"/>
    <hyperlink ref="M970" r:id="rId518"/>
    <hyperlink ref="M971" r:id="rId519"/>
    <hyperlink ref="M972" r:id="rId520"/>
    <hyperlink ref="M975" r:id="rId521"/>
    <hyperlink ref="M977" r:id="rId522"/>
    <hyperlink ref="M981" r:id="rId523"/>
    <hyperlink ref="M988" r:id="rId524"/>
    <hyperlink ref="M991" r:id="rId525"/>
    <hyperlink ref="M992" r:id="rId526"/>
    <hyperlink ref="M996" r:id="rId527"/>
    <hyperlink ref="M998" r:id="rId528"/>
    <hyperlink ref="M1002" r:id="rId529"/>
    <hyperlink ref="M1012" r:id="rId530"/>
    <hyperlink ref="M1013" r:id="rId531"/>
    <hyperlink ref="M1015" r:id="rId532"/>
    <hyperlink ref="M1019" r:id="rId533"/>
    <hyperlink ref="M1032" r:id="rId534"/>
    <hyperlink ref="M1035" r:id="rId535"/>
    <hyperlink ref="M1062" r:id="rId536"/>
    <hyperlink ref="M1063" r:id="rId537"/>
    <hyperlink ref="M1064" r:id="rId538"/>
    <hyperlink ref="M1065" r:id="rId539"/>
    <hyperlink ref="M1067" r:id="rId540"/>
    <hyperlink ref="M1071" r:id="rId541"/>
    <hyperlink ref="M1075" r:id="rId542"/>
    <hyperlink ref="M1076" r:id="rId543"/>
    <hyperlink ref="M1078" r:id="rId544"/>
    <hyperlink ref="M1079" r:id="rId545"/>
    <hyperlink ref="M1096" r:id="rId546"/>
    <hyperlink ref="M1115" r:id="rId547"/>
    <hyperlink ref="M1122" r:id="rId548"/>
    <hyperlink ref="M1123" r:id="rId549"/>
    <hyperlink ref="M1148" r:id="rId550"/>
    <hyperlink ref="M1158" r:id="rId551"/>
    <hyperlink ref="M1161" r:id="rId552"/>
    <hyperlink ref="M1162" r:id="rId553"/>
    <hyperlink ref="M1163" r:id="rId554"/>
    <hyperlink ref="M1164" r:id="rId555"/>
    <hyperlink ref="M1165" r:id="rId556"/>
    <hyperlink ref="M1167" r:id="rId557"/>
    <hyperlink ref="M1168" r:id="rId558"/>
    <hyperlink ref="M1169" r:id="rId559"/>
    <hyperlink ref="M1171" r:id="rId560"/>
    <hyperlink ref="M1195" r:id="rId561"/>
    <hyperlink ref="M1197" r:id="rId562"/>
    <hyperlink ref="M1217" r:id="rId563"/>
    <hyperlink ref="M1225" r:id="rId564"/>
    <hyperlink ref="M1262" r:id="rId565"/>
    <hyperlink ref="M1267" r:id="rId566"/>
    <hyperlink ref="M1269" r:id="rId567"/>
    <hyperlink ref="M1271" r:id="rId568"/>
    <hyperlink ref="M1274" r:id="rId569"/>
  </hyperlinks>
  <pageMargins left="0.70866141732283472" right="0.70866141732283472" top="0.74803149606299213" bottom="0.74803149606299213" header="0" footer="0"/>
  <pageSetup paperSize="9" scale="55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0"/>
  <sheetViews>
    <sheetView workbookViewId="0"/>
  </sheetViews>
  <sheetFormatPr baseColWidth="10" defaultColWidth="14.42578125" defaultRowHeight="15" customHeight="1"/>
  <cols>
    <col min="1" max="1" width="45.5703125" customWidth="1"/>
    <col min="2" max="26" width="10.7109375" customWidth="1"/>
  </cols>
  <sheetData>
    <row r="1" spans="1:1">
      <c r="A1" s="244" t="s">
        <v>158</v>
      </c>
    </row>
    <row r="2" spans="1:1">
      <c r="A2" s="245" t="s">
        <v>776</v>
      </c>
    </row>
    <row r="3" spans="1:1">
      <c r="A3" s="245" t="s">
        <v>111</v>
      </c>
    </row>
    <row r="4" spans="1:1">
      <c r="A4" s="245" t="s">
        <v>402</v>
      </c>
    </row>
    <row r="5" spans="1:1">
      <c r="A5" s="245" t="s">
        <v>181</v>
      </c>
    </row>
    <row r="6" spans="1:1">
      <c r="A6" s="245" t="s">
        <v>35</v>
      </c>
    </row>
    <row r="7" spans="1:1">
      <c r="A7" s="245" t="s">
        <v>2970</v>
      </c>
    </row>
    <row r="8" spans="1:1">
      <c r="A8" s="245" t="s">
        <v>909</v>
      </c>
    </row>
    <row r="9" spans="1:1">
      <c r="A9" s="245" t="s">
        <v>77</v>
      </c>
    </row>
    <row r="10" spans="1:1">
      <c r="A10" s="245" t="s">
        <v>62</v>
      </c>
    </row>
    <row r="11" spans="1:1">
      <c r="A11" s="245" t="s">
        <v>542</v>
      </c>
    </row>
    <row r="12" spans="1:1">
      <c r="A12" s="245" t="s">
        <v>966</v>
      </c>
    </row>
    <row r="13" spans="1:1">
      <c r="A13" s="245" t="s">
        <v>147</v>
      </c>
    </row>
    <row r="14" spans="1:1">
      <c r="A14" s="245" t="s">
        <v>477</v>
      </c>
    </row>
    <row r="15" spans="1:1">
      <c r="A15" s="245" t="s">
        <v>287</v>
      </c>
    </row>
    <row r="16" spans="1:1">
      <c r="A16" s="245" t="s">
        <v>593</v>
      </c>
    </row>
    <row r="17" spans="1:1">
      <c r="A17" s="245" t="s">
        <v>204</v>
      </c>
    </row>
    <row r="18" spans="1:1">
      <c r="A18" s="245" t="s">
        <v>762</v>
      </c>
    </row>
    <row r="19" spans="1:1" ht="22.5">
      <c r="A19" s="245" t="s">
        <v>3852</v>
      </c>
    </row>
    <row r="20" spans="1:1">
      <c r="A20" s="245" t="s">
        <v>13091</v>
      </c>
    </row>
    <row r="21" spans="1:1" ht="15.75" customHeight="1">
      <c r="A21" s="245"/>
    </row>
    <row r="22" spans="1:1" ht="15.75" customHeight="1">
      <c r="A22" s="245"/>
    </row>
    <row r="23" spans="1:1" ht="15.75" customHeight="1">
      <c r="A23" s="245"/>
    </row>
    <row r="24" spans="1:1" ht="15.75" customHeight="1">
      <c r="A24" s="245"/>
    </row>
    <row r="25" spans="1:1" ht="15.75" customHeight="1">
      <c r="A25" s="245"/>
    </row>
    <row r="26" spans="1:1" ht="15.75" customHeight="1">
      <c r="A26" s="245"/>
    </row>
    <row r="27" spans="1:1" ht="15.75" customHeight="1">
      <c r="A27" s="245"/>
    </row>
    <row r="28" spans="1:1" ht="15.75" customHeight="1">
      <c r="A28" s="245"/>
    </row>
    <row r="29" spans="1:1" ht="15.75" customHeight="1">
      <c r="A29" s="245"/>
    </row>
    <row r="30" spans="1:1" ht="15.75" customHeight="1">
      <c r="A30" s="245"/>
    </row>
    <row r="31" spans="1:1" ht="15.75" customHeight="1">
      <c r="A31" s="245"/>
    </row>
    <row r="32" spans="1:1" ht="15.75" customHeight="1">
      <c r="A32" s="245"/>
    </row>
    <row r="33" spans="1:1" ht="15.75" customHeight="1">
      <c r="A33" s="245"/>
    </row>
    <row r="34" spans="1:1" ht="15.75" customHeight="1">
      <c r="A34" s="245"/>
    </row>
    <row r="35" spans="1:1" ht="15.75" customHeight="1">
      <c r="A35" s="245"/>
    </row>
    <row r="36" spans="1:1" ht="15.75" customHeight="1">
      <c r="A36" s="245"/>
    </row>
    <row r="37" spans="1:1" ht="15.75" customHeight="1">
      <c r="A37" s="245"/>
    </row>
    <row r="38" spans="1:1" ht="15.75" customHeight="1">
      <c r="A38" s="245"/>
    </row>
    <row r="39" spans="1:1" ht="15.75" customHeight="1">
      <c r="A39" s="245"/>
    </row>
    <row r="40" spans="1:1" ht="15.75" customHeight="1">
      <c r="A40" s="245"/>
    </row>
    <row r="41" spans="1:1" ht="15.75" customHeight="1">
      <c r="A41" s="245"/>
    </row>
    <row r="42" spans="1:1" ht="15.75" customHeight="1">
      <c r="A42" s="245"/>
    </row>
    <row r="43" spans="1:1" ht="15.75" customHeight="1">
      <c r="A43" s="245"/>
    </row>
    <row r="44" spans="1:1" ht="15.75" customHeight="1">
      <c r="A44" s="245"/>
    </row>
    <row r="45" spans="1:1" ht="15.75" customHeight="1">
      <c r="A45" s="245"/>
    </row>
    <row r="46" spans="1:1" ht="15.75" customHeight="1">
      <c r="A46" s="245"/>
    </row>
    <row r="47" spans="1:1" ht="15.75" customHeight="1">
      <c r="A47" s="245"/>
    </row>
    <row r="48" spans="1:1" ht="15.75" customHeight="1">
      <c r="A48" s="245"/>
    </row>
    <row r="49" spans="1:1" ht="15.75" customHeight="1">
      <c r="A49" s="245"/>
    </row>
    <row r="50" spans="1:1" ht="15.75" customHeight="1">
      <c r="A50" s="245"/>
    </row>
    <row r="51" spans="1:1" ht="15.75" customHeight="1">
      <c r="A51" s="245"/>
    </row>
    <row r="52" spans="1:1" ht="15.75" customHeight="1">
      <c r="A52" s="245"/>
    </row>
    <row r="53" spans="1:1" ht="15.75" customHeight="1">
      <c r="A53" s="245"/>
    </row>
    <row r="54" spans="1:1" ht="15.75" customHeight="1">
      <c r="A54" s="245"/>
    </row>
    <row r="55" spans="1:1" ht="15.75" customHeight="1">
      <c r="A55" s="245"/>
    </row>
    <row r="56" spans="1:1" ht="15.75" customHeight="1">
      <c r="A56" s="245"/>
    </row>
    <row r="57" spans="1:1" ht="15.75" customHeight="1">
      <c r="A57" s="245"/>
    </row>
    <row r="58" spans="1:1" ht="15.75" customHeight="1">
      <c r="A58" s="245"/>
    </row>
    <row r="59" spans="1:1" ht="15.75" customHeight="1">
      <c r="A59" s="245"/>
    </row>
    <row r="60" spans="1:1" ht="15.75" customHeight="1">
      <c r="A60" s="245"/>
    </row>
    <row r="61" spans="1:1" ht="15.75" customHeight="1">
      <c r="A61" s="245"/>
    </row>
    <row r="62" spans="1:1" ht="15.75" customHeight="1">
      <c r="A62" s="245"/>
    </row>
    <row r="63" spans="1:1" ht="15.75" customHeight="1">
      <c r="A63" s="245"/>
    </row>
    <row r="64" spans="1:1" ht="15.75" customHeight="1">
      <c r="A64" s="245"/>
    </row>
    <row r="65" spans="1:1" ht="15.75" customHeight="1">
      <c r="A65" s="245"/>
    </row>
    <row r="66" spans="1:1" ht="15.75" customHeight="1">
      <c r="A66" s="245"/>
    </row>
    <row r="67" spans="1:1" ht="15.75" customHeight="1">
      <c r="A67" s="245"/>
    </row>
    <row r="68" spans="1:1" ht="15.75" customHeight="1">
      <c r="A68" s="245"/>
    </row>
    <row r="69" spans="1:1" ht="15.75" customHeight="1">
      <c r="A69" s="245"/>
    </row>
    <row r="70" spans="1:1" ht="15.75" customHeight="1">
      <c r="A70" s="245"/>
    </row>
    <row r="71" spans="1:1" ht="15.75" customHeight="1">
      <c r="A71" s="245"/>
    </row>
    <row r="72" spans="1:1" ht="15.75" customHeight="1">
      <c r="A72" s="245"/>
    </row>
    <row r="73" spans="1:1" ht="15.75" customHeight="1">
      <c r="A73" s="245"/>
    </row>
    <row r="74" spans="1:1" ht="15.75" customHeight="1">
      <c r="A74" s="245"/>
    </row>
    <row r="75" spans="1:1" ht="15.75" customHeight="1">
      <c r="A75" s="245"/>
    </row>
    <row r="76" spans="1:1" ht="15.75" customHeight="1">
      <c r="A76" s="245"/>
    </row>
    <row r="77" spans="1:1" ht="15.75" customHeight="1">
      <c r="A77" s="245"/>
    </row>
    <row r="78" spans="1:1" ht="15.75" customHeight="1">
      <c r="A78" s="245"/>
    </row>
    <row r="79" spans="1:1" ht="15.75" customHeight="1">
      <c r="A79" s="245"/>
    </row>
    <row r="80" spans="1:1" ht="15.75" customHeight="1">
      <c r="A80" s="245"/>
    </row>
    <row r="81" spans="1:1" ht="15.75" customHeight="1">
      <c r="A81" s="245"/>
    </row>
    <row r="82" spans="1:1" ht="15.75" customHeight="1">
      <c r="A82" s="245"/>
    </row>
    <row r="83" spans="1:1" ht="15.75" customHeight="1">
      <c r="A83" s="245"/>
    </row>
    <row r="84" spans="1:1" ht="15.75" customHeight="1">
      <c r="A84" s="245"/>
    </row>
    <row r="85" spans="1:1" ht="15.75" customHeight="1">
      <c r="A85" s="245"/>
    </row>
    <row r="86" spans="1:1" ht="15.75" customHeight="1">
      <c r="A86" s="245"/>
    </row>
    <row r="87" spans="1:1" ht="15.75" customHeight="1">
      <c r="A87" s="245"/>
    </row>
    <row r="88" spans="1:1" ht="15.75" customHeight="1">
      <c r="A88" s="245"/>
    </row>
    <row r="89" spans="1:1" ht="15.75" customHeight="1">
      <c r="A89" s="245"/>
    </row>
    <row r="90" spans="1:1" ht="15.75" customHeight="1">
      <c r="A90" s="245"/>
    </row>
    <row r="91" spans="1:1" ht="15.75" customHeight="1">
      <c r="A91" s="245"/>
    </row>
    <row r="92" spans="1:1" ht="15.75" customHeight="1">
      <c r="A92" s="245"/>
    </row>
    <row r="93" spans="1:1" ht="15.75" customHeight="1">
      <c r="A93" s="245"/>
    </row>
    <row r="94" spans="1:1" ht="15.75" customHeight="1">
      <c r="A94" s="245"/>
    </row>
    <row r="95" spans="1:1" ht="15.75" customHeight="1">
      <c r="A95" s="245"/>
    </row>
    <row r="96" spans="1:1" ht="15.75" customHeight="1">
      <c r="A96" s="245"/>
    </row>
    <row r="97" spans="1:1" ht="15.75" customHeight="1">
      <c r="A97" s="245"/>
    </row>
    <row r="98" spans="1:1" ht="15.75" customHeight="1">
      <c r="A98" s="245"/>
    </row>
    <row r="99" spans="1:1" ht="15.75" customHeight="1">
      <c r="A99" s="245"/>
    </row>
    <row r="100" spans="1:1" ht="15.75" customHeight="1">
      <c r="A100" s="245"/>
    </row>
    <row r="101" spans="1:1" ht="15.75" customHeight="1">
      <c r="A101" s="245"/>
    </row>
    <row r="102" spans="1:1" ht="15.75" customHeight="1">
      <c r="A102" s="245"/>
    </row>
    <row r="103" spans="1:1" ht="15.75" customHeight="1">
      <c r="A103" s="245"/>
    </row>
    <row r="104" spans="1:1" ht="15.75" customHeight="1">
      <c r="A104" s="245"/>
    </row>
    <row r="105" spans="1:1" ht="15.75" customHeight="1">
      <c r="A105" s="245"/>
    </row>
    <row r="106" spans="1:1" ht="15.75" customHeight="1">
      <c r="A106" s="245"/>
    </row>
    <row r="107" spans="1:1" ht="15.75" customHeight="1">
      <c r="A107" s="245"/>
    </row>
    <row r="108" spans="1:1" ht="15.75" customHeight="1">
      <c r="A108" s="245"/>
    </row>
    <row r="109" spans="1:1" ht="15.75" customHeight="1">
      <c r="A109" s="245"/>
    </row>
    <row r="110" spans="1:1" ht="15.75" customHeight="1">
      <c r="A110" s="245"/>
    </row>
    <row r="111" spans="1:1" ht="15.75" customHeight="1">
      <c r="A111" s="245"/>
    </row>
    <row r="112" spans="1:1" ht="15.75" customHeight="1">
      <c r="A112" s="245"/>
    </row>
    <row r="113" spans="1:1" ht="15.75" customHeight="1">
      <c r="A113" s="245"/>
    </row>
    <row r="114" spans="1:1" ht="15.75" customHeight="1">
      <c r="A114" s="245"/>
    </row>
    <row r="115" spans="1:1" ht="15.75" customHeight="1">
      <c r="A115" s="245"/>
    </row>
    <row r="116" spans="1:1" ht="15.75" customHeight="1">
      <c r="A116" s="245"/>
    </row>
    <row r="117" spans="1:1" ht="15.75" customHeight="1">
      <c r="A117" s="245"/>
    </row>
    <row r="118" spans="1:1" ht="15.75" customHeight="1">
      <c r="A118" s="245"/>
    </row>
    <row r="119" spans="1:1" ht="15.75" customHeight="1">
      <c r="A119" s="245"/>
    </row>
    <row r="120" spans="1:1" ht="15.75" customHeight="1">
      <c r="A120" s="245"/>
    </row>
    <row r="121" spans="1:1" ht="15.75" customHeight="1">
      <c r="A121" s="245"/>
    </row>
    <row r="122" spans="1:1" ht="15.75" customHeight="1">
      <c r="A122" s="245"/>
    </row>
    <row r="123" spans="1:1" ht="15.75" customHeight="1">
      <c r="A123" s="245"/>
    </row>
    <row r="124" spans="1:1" ht="15.75" customHeight="1">
      <c r="A124" s="245"/>
    </row>
    <row r="125" spans="1:1" ht="15.75" customHeight="1">
      <c r="A125" s="245"/>
    </row>
    <row r="126" spans="1:1" ht="15.75" customHeight="1">
      <c r="A126" s="245"/>
    </row>
    <row r="127" spans="1:1" ht="15.75" customHeight="1">
      <c r="A127" s="245"/>
    </row>
    <row r="128" spans="1:1" ht="15.75" customHeight="1">
      <c r="A128" s="245"/>
    </row>
    <row r="129" spans="1:1" ht="15.75" customHeight="1">
      <c r="A129" s="245"/>
    </row>
    <row r="130" spans="1:1" ht="15.75" customHeight="1">
      <c r="A130" s="245"/>
    </row>
    <row r="131" spans="1:1" ht="15.75" customHeight="1">
      <c r="A131" s="245"/>
    </row>
    <row r="132" spans="1:1" ht="15.75" customHeight="1">
      <c r="A132" s="245"/>
    </row>
    <row r="133" spans="1:1" ht="15.75" customHeight="1">
      <c r="A133" s="245"/>
    </row>
    <row r="134" spans="1:1" ht="15.75" customHeight="1">
      <c r="A134" s="245"/>
    </row>
    <row r="135" spans="1:1" ht="15.75" customHeight="1">
      <c r="A135" s="245"/>
    </row>
    <row r="136" spans="1:1" ht="15.75" customHeight="1">
      <c r="A136" s="245"/>
    </row>
    <row r="137" spans="1:1" ht="15.75" customHeight="1">
      <c r="A137" s="245"/>
    </row>
    <row r="138" spans="1:1" ht="15.75" customHeight="1">
      <c r="A138" s="245"/>
    </row>
    <row r="139" spans="1:1" ht="15.75" customHeight="1">
      <c r="A139" s="245"/>
    </row>
    <row r="140" spans="1:1" ht="15.75" customHeight="1">
      <c r="A140" s="245"/>
    </row>
    <row r="141" spans="1:1" ht="15.75" customHeight="1">
      <c r="A141" s="245"/>
    </row>
    <row r="142" spans="1:1" ht="15.75" customHeight="1">
      <c r="A142" s="245"/>
    </row>
    <row r="143" spans="1:1" ht="15.75" customHeight="1">
      <c r="A143" s="245"/>
    </row>
    <row r="144" spans="1:1" ht="15.75" customHeight="1">
      <c r="A144" s="245"/>
    </row>
    <row r="145" spans="1:1" ht="15.75" customHeight="1">
      <c r="A145" s="245"/>
    </row>
    <row r="146" spans="1:1" ht="15.75" customHeight="1">
      <c r="A146" s="245"/>
    </row>
    <row r="147" spans="1:1" ht="15.75" customHeight="1">
      <c r="A147" s="245"/>
    </row>
    <row r="148" spans="1:1" ht="15.75" customHeight="1">
      <c r="A148" s="245"/>
    </row>
    <row r="149" spans="1:1" ht="15.75" customHeight="1">
      <c r="A149" s="245"/>
    </row>
    <row r="150" spans="1:1" ht="15.75" customHeight="1">
      <c r="A150" s="245"/>
    </row>
    <row r="151" spans="1:1" ht="15.75" customHeight="1">
      <c r="A151" s="245"/>
    </row>
    <row r="152" spans="1:1" ht="15.75" customHeight="1">
      <c r="A152" s="245"/>
    </row>
    <row r="153" spans="1:1" ht="15.75" customHeight="1">
      <c r="A153" s="245"/>
    </row>
    <row r="154" spans="1:1" ht="15.75" customHeight="1">
      <c r="A154" s="245"/>
    </row>
    <row r="155" spans="1:1" ht="15.75" customHeight="1">
      <c r="A155" s="245"/>
    </row>
    <row r="156" spans="1:1" ht="15.75" customHeight="1">
      <c r="A156" s="245"/>
    </row>
    <row r="157" spans="1:1" ht="15.75" customHeight="1">
      <c r="A157" s="245"/>
    </row>
    <row r="158" spans="1:1" ht="15.75" customHeight="1">
      <c r="A158" s="245"/>
    </row>
    <row r="159" spans="1:1" ht="15.75" customHeight="1">
      <c r="A159" s="245"/>
    </row>
    <row r="160" spans="1:1" ht="15.75" customHeight="1">
      <c r="A160" s="245"/>
    </row>
    <row r="161" spans="1:1" ht="15.75" customHeight="1">
      <c r="A161" s="245"/>
    </row>
    <row r="162" spans="1:1" ht="15.75" customHeight="1">
      <c r="A162" s="245"/>
    </row>
    <row r="163" spans="1:1" ht="15.75" customHeight="1">
      <c r="A163" s="245"/>
    </row>
    <row r="164" spans="1:1" ht="15.75" customHeight="1">
      <c r="A164" s="245"/>
    </row>
    <row r="165" spans="1:1" ht="15.75" customHeight="1">
      <c r="A165" s="245"/>
    </row>
    <row r="166" spans="1:1" ht="15.75" customHeight="1">
      <c r="A166" s="245"/>
    </row>
    <row r="167" spans="1:1" ht="15.75" customHeight="1">
      <c r="A167" s="245"/>
    </row>
    <row r="168" spans="1:1" ht="15.75" customHeight="1">
      <c r="A168" s="245"/>
    </row>
    <row r="169" spans="1:1" ht="15.75" customHeight="1">
      <c r="A169" s="245"/>
    </row>
    <row r="170" spans="1:1" ht="15.75" customHeight="1">
      <c r="A170" s="245"/>
    </row>
    <row r="171" spans="1:1" ht="15.75" customHeight="1">
      <c r="A171" s="245"/>
    </row>
    <row r="172" spans="1:1" ht="15.75" customHeight="1">
      <c r="A172" s="245"/>
    </row>
    <row r="173" spans="1:1" ht="15.75" customHeight="1">
      <c r="A173" s="245"/>
    </row>
    <row r="174" spans="1:1" ht="15.75" customHeight="1">
      <c r="A174" s="245"/>
    </row>
    <row r="175" spans="1:1" ht="15.75" customHeight="1">
      <c r="A175" s="245"/>
    </row>
    <row r="176" spans="1:1" ht="15.75" customHeight="1">
      <c r="A176" s="245"/>
    </row>
    <row r="177" spans="1:1" ht="15.75" customHeight="1">
      <c r="A177" s="245"/>
    </row>
    <row r="178" spans="1:1" ht="15.75" customHeight="1">
      <c r="A178" s="245"/>
    </row>
    <row r="179" spans="1:1" ht="15.75" customHeight="1">
      <c r="A179" s="245"/>
    </row>
    <row r="180" spans="1:1" ht="15.75" customHeight="1">
      <c r="A180" s="245"/>
    </row>
    <row r="181" spans="1:1" ht="15.75" customHeight="1">
      <c r="A181" s="245"/>
    </row>
    <row r="182" spans="1:1" ht="15.75" customHeight="1">
      <c r="A182" s="245"/>
    </row>
    <row r="183" spans="1:1" ht="15.75" customHeight="1">
      <c r="A183" s="245"/>
    </row>
    <row r="184" spans="1:1" ht="15.75" customHeight="1">
      <c r="A184" s="245"/>
    </row>
    <row r="185" spans="1:1" ht="15.75" customHeight="1">
      <c r="A185" s="245"/>
    </row>
    <row r="186" spans="1:1" ht="15.75" customHeight="1">
      <c r="A186" s="245"/>
    </row>
    <row r="187" spans="1:1" ht="15.75" customHeight="1">
      <c r="A187" s="245"/>
    </row>
    <row r="188" spans="1:1" ht="15.75" customHeight="1">
      <c r="A188" s="245"/>
    </row>
    <row r="189" spans="1:1" ht="15.75" customHeight="1">
      <c r="A189" s="245"/>
    </row>
    <row r="190" spans="1:1" ht="15.75" customHeight="1">
      <c r="A190" s="245"/>
    </row>
    <row r="191" spans="1:1" ht="15.75" customHeight="1">
      <c r="A191" s="245"/>
    </row>
    <row r="192" spans="1:1" ht="15.75" customHeight="1">
      <c r="A192" s="245"/>
    </row>
    <row r="193" spans="1:1" ht="15.75" customHeight="1">
      <c r="A193" s="245"/>
    </row>
    <row r="194" spans="1:1" ht="15.75" customHeight="1">
      <c r="A194" s="245"/>
    </row>
    <row r="195" spans="1:1" ht="15.75" customHeight="1">
      <c r="A195" s="245"/>
    </row>
    <row r="196" spans="1:1" ht="15.75" customHeight="1">
      <c r="A196" s="245"/>
    </row>
    <row r="197" spans="1:1" ht="15.75" customHeight="1">
      <c r="A197" s="245"/>
    </row>
    <row r="198" spans="1:1" ht="15.75" customHeight="1">
      <c r="A198" s="245"/>
    </row>
    <row r="199" spans="1:1" ht="15.75" customHeight="1">
      <c r="A199" s="245"/>
    </row>
    <row r="200" spans="1:1" ht="15.75" customHeight="1">
      <c r="A200" s="245"/>
    </row>
    <row r="201" spans="1:1" ht="15.75" customHeight="1">
      <c r="A201" s="245"/>
    </row>
    <row r="202" spans="1:1" ht="15.75" customHeight="1">
      <c r="A202" s="245"/>
    </row>
    <row r="203" spans="1:1" ht="15.75" customHeight="1">
      <c r="A203" s="245"/>
    </row>
    <row r="204" spans="1:1" ht="15.75" customHeight="1">
      <c r="A204" s="245"/>
    </row>
    <row r="205" spans="1:1" ht="15.75" customHeight="1">
      <c r="A205" s="245"/>
    </row>
    <row r="206" spans="1:1" ht="15.75" customHeight="1">
      <c r="A206" s="245"/>
    </row>
    <row r="207" spans="1:1" ht="15.75" customHeight="1">
      <c r="A207" s="245"/>
    </row>
    <row r="208" spans="1:1" ht="15.75" customHeight="1">
      <c r="A208" s="245"/>
    </row>
    <row r="209" spans="1:1" ht="15.75" customHeight="1">
      <c r="A209" s="245"/>
    </row>
    <row r="210" spans="1:1" ht="15.75" customHeight="1">
      <c r="A210" s="245"/>
    </row>
    <row r="211" spans="1:1" ht="15.75" customHeight="1">
      <c r="A211" s="245"/>
    </row>
    <row r="212" spans="1:1" ht="15.75" customHeight="1">
      <c r="A212" s="245"/>
    </row>
    <row r="213" spans="1:1" ht="15.75" customHeight="1">
      <c r="A213" s="245"/>
    </row>
    <row r="214" spans="1:1" ht="15.75" customHeight="1">
      <c r="A214" s="245"/>
    </row>
    <row r="215" spans="1:1" ht="15.75" customHeight="1">
      <c r="A215" s="245"/>
    </row>
    <row r="216" spans="1:1" ht="15.75" customHeight="1">
      <c r="A216" s="245"/>
    </row>
    <row r="217" spans="1:1" ht="15.75" customHeight="1">
      <c r="A217" s="245"/>
    </row>
    <row r="218" spans="1:1" ht="15.75" customHeight="1">
      <c r="A218" s="245"/>
    </row>
    <row r="219" spans="1:1" ht="15.75" customHeight="1">
      <c r="A219" s="245"/>
    </row>
    <row r="220" spans="1:1" ht="15.75" customHeight="1">
      <c r="A220" s="245"/>
    </row>
    <row r="221" spans="1:1" ht="15.75" customHeight="1">
      <c r="A221" s="245"/>
    </row>
    <row r="222" spans="1:1" ht="15.75" customHeight="1">
      <c r="A222" s="245"/>
    </row>
    <row r="223" spans="1:1" ht="15.75" customHeight="1">
      <c r="A223" s="245"/>
    </row>
    <row r="224" spans="1:1" ht="15.75" customHeight="1">
      <c r="A224" s="245"/>
    </row>
    <row r="225" spans="1:1" ht="15.75" customHeight="1">
      <c r="A225" s="245"/>
    </row>
    <row r="226" spans="1:1" ht="15.75" customHeight="1">
      <c r="A226" s="245"/>
    </row>
    <row r="227" spans="1:1" ht="15.75" customHeight="1">
      <c r="A227" s="245"/>
    </row>
    <row r="228" spans="1:1" ht="15.75" customHeight="1">
      <c r="A228" s="245"/>
    </row>
    <row r="229" spans="1:1" ht="15.75" customHeight="1">
      <c r="A229" s="245"/>
    </row>
    <row r="230" spans="1:1" ht="15.75" customHeight="1">
      <c r="A230" s="245"/>
    </row>
    <row r="231" spans="1:1" ht="15.75" customHeight="1">
      <c r="A231" s="245"/>
    </row>
    <row r="232" spans="1:1" ht="15.75" customHeight="1">
      <c r="A232" s="245"/>
    </row>
    <row r="233" spans="1:1" ht="15.75" customHeight="1">
      <c r="A233" s="245"/>
    </row>
    <row r="234" spans="1:1" ht="15.75" customHeight="1">
      <c r="A234" s="245"/>
    </row>
    <row r="235" spans="1:1" ht="15.75" customHeight="1">
      <c r="A235" s="245"/>
    </row>
    <row r="236" spans="1:1" ht="15.75" customHeight="1">
      <c r="A236" s="245"/>
    </row>
    <row r="237" spans="1:1" ht="15.75" customHeight="1">
      <c r="A237" s="245"/>
    </row>
    <row r="238" spans="1:1" ht="15.75" customHeight="1">
      <c r="A238" s="245"/>
    </row>
    <row r="239" spans="1:1" ht="15.75" customHeight="1">
      <c r="A239" s="245"/>
    </row>
    <row r="240" spans="1:1" ht="15.75" customHeight="1">
      <c r="A240" s="245"/>
    </row>
    <row r="241" spans="1:1" ht="15.75" customHeight="1">
      <c r="A241" s="245"/>
    </row>
    <row r="242" spans="1:1" ht="15.75" customHeight="1">
      <c r="A242" s="245"/>
    </row>
    <row r="243" spans="1:1" ht="15.75" customHeight="1">
      <c r="A243" s="245"/>
    </row>
    <row r="244" spans="1:1" ht="15.75" customHeight="1">
      <c r="A244" s="245"/>
    </row>
    <row r="245" spans="1:1" ht="15.75" customHeight="1">
      <c r="A245" s="245"/>
    </row>
    <row r="246" spans="1:1" ht="15.75" customHeight="1">
      <c r="A246" s="245"/>
    </row>
    <row r="247" spans="1:1" ht="15.75" customHeight="1">
      <c r="A247" s="245"/>
    </row>
    <row r="248" spans="1:1" ht="15.75" customHeight="1">
      <c r="A248" s="245"/>
    </row>
    <row r="249" spans="1:1" ht="15.75" customHeight="1">
      <c r="A249" s="245"/>
    </row>
    <row r="250" spans="1:1" ht="15.75" customHeight="1">
      <c r="A250" s="245"/>
    </row>
    <row r="251" spans="1:1" ht="15.75" customHeight="1">
      <c r="A251" s="245"/>
    </row>
    <row r="252" spans="1:1" ht="15.75" customHeight="1">
      <c r="A252" s="245"/>
    </row>
    <row r="253" spans="1:1" ht="15.75" customHeight="1">
      <c r="A253" s="245"/>
    </row>
    <row r="254" spans="1:1" ht="15.75" customHeight="1">
      <c r="A254" s="245"/>
    </row>
    <row r="255" spans="1:1" ht="15.75" customHeight="1">
      <c r="A255" s="245"/>
    </row>
    <row r="256" spans="1:1" ht="15.75" customHeight="1">
      <c r="A256" s="245"/>
    </row>
    <row r="257" spans="1:1" ht="15.75" customHeight="1">
      <c r="A257" s="245"/>
    </row>
    <row r="258" spans="1:1" ht="15.75" customHeight="1">
      <c r="A258" s="245"/>
    </row>
    <row r="259" spans="1:1" ht="15.75" customHeight="1">
      <c r="A259" s="245"/>
    </row>
    <row r="260" spans="1:1" ht="15.75" customHeight="1">
      <c r="A260" s="245"/>
    </row>
    <row r="261" spans="1:1" ht="15.75" customHeight="1">
      <c r="A261" s="245"/>
    </row>
    <row r="262" spans="1:1" ht="15.75" customHeight="1">
      <c r="A262" s="245"/>
    </row>
    <row r="263" spans="1:1" ht="15.75" customHeight="1">
      <c r="A263" s="245"/>
    </row>
    <row r="264" spans="1:1" ht="15.75" customHeight="1">
      <c r="A264" s="245"/>
    </row>
    <row r="265" spans="1:1" ht="15.75" customHeight="1">
      <c r="A265" s="245"/>
    </row>
    <row r="266" spans="1:1" ht="15.75" customHeight="1">
      <c r="A266" s="245"/>
    </row>
    <row r="267" spans="1:1" ht="15.75" customHeight="1">
      <c r="A267" s="245"/>
    </row>
    <row r="268" spans="1:1" ht="15.75" customHeight="1">
      <c r="A268" s="245"/>
    </row>
    <row r="269" spans="1:1" ht="15.75" customHeight="1">
      <c r="A269" s="245"/>
    </row>
    <row r="270" spans="1:1" ht="15.75" customHeight="1">
      <c r="A270" s="245"/>
    </row>
    <row r="271" spans="1:1" ht="15.75" customHeight="1">
      <c r="A271" s="245"/>
    </row>
    <row r="272" spans="1:1" ht="15.75" customHeight="1">
      <c r="A272" s="245"/>
    </row>
    <row r="273" spans="1:1" ht="15.75" customHeight="1">
      <c r="A273" s="245"/>
    </row>
    <row r="274" spans="1:1" ht="15.75" customHeight="1">
      <c r="A274" s="245"/>
    </row>
    <row r="275" spans="1:1" ht="15.75" customHeight="1">
      <c r="A275" s="245"/>
    </row>
    <row r="276" spans="1:1" ht="15.75" customHeight="1">
      <c r="A276" s="245"/>
    </row>
    <row r="277" spans="1:1" ht="15.75" customHeight="1">
      <c r="A277" s="245"/>
    </row>
    <row r="278" spans="1:1" ht="15.75" customHeight="1">
      <c r="A278" s="245"/>
    </row>
    <row r="279" spans="1:1" ht="15.75" customHeight="1">
      <c r="A279" s="245"/>
    </row>
    <row r="280" spans="1:1" ht="15.75" customHeight="1">
      <c r="A280" s="245"/>
    </row>
    <row r="281" spans="1:1" ht="15.75" customHeight="1">
      <c r="A281" s="245"/>
    </row>
    <row r="282" spans="1:1" ht="15.75" customHeight="1">
      <c r="A282" s="245"/>
    </row>
    <row r="283" spans="1:1" ht="15.75" customHeight="1">
      <c r="A283" s="245"/>
    </row>
    <row r="284" spans="1:1" ht="15.75" customHeight="1">
      <c r="A284" s="245"/>
    </row>
    <row r="285" spans="1:1" ht="15.75" customHeight="1">
      <c r="A285" s="245"/>
    </row>
    <row r="286" spans="1:1" ht="15.75" customHeight="1">
      <c r="A286" s="245"/>
    </row>
    <row r="287" spans="1:1" ht="15.75" customHeight="1">
      <c r="A287" s="245"/>
    </row>
    <row r="288" spans="1:1" ht="15.75" customHeight="1">
      <c r="A288" s="245"/>
    </row>
    <row r="289" spans="1:1" ht="15.75" customHeight="1">
      <c r="A289" s="245"/>
    </row>
    <row r="290" spans="1:1" ht="15.75" customHeight="1">
      <c r="A290" s="245"/>
    </row>
    <row r="291" spans="1:1" ht="15.75" customHeight="1">
      <c r="A291" s="245"/>
    </row>
    <row r="292" spans="1:1" ht="15.75" customHeight="1">
      <c r="A292" s="245"/>
    </row>
    <row r="293" spans="1:1" ht="15.75" customHeight="1">
      <c r="A293" s="245"/>
    </row>
    <row r="294" spans="1:1" ht="15.75" customHeight="1">
      <c r="A294" s="245"/>
    </row>
    <row r="295" spans="1:1" ht="15.75" customHeight="1">
      <c r="A295" s="245"/>
    </row>
    <row r="296" spans="1:1" ht="15.75" customHeight="1">
      <c r="A296" s="245"/>
    </row>
    <row r="297" spans="1:1" ht="15.75" customHeight="1">
      <c r="A297" s="245"/>
    </row>
    <row r="298" spans="1:1" ht="15.75" customHeight="1">
      <c r="A298" s="245"/>
    </row>
    <row r="299" spans="1:1" ht="15.75" customHeight="1">
      <c r="A299" s="245"/>
    </row>
    <row r="300" spans="1:1" ht="15.75" customHeight="1">
      <c r="A300" s="245"/>
    </row>
    <row r="301" spans="1:1" ht="15.75" customHeight="1">
      <c r="A301" s="245"/>
    </row>
    <row r="302" spans="1:1" ht="15.75" customHeight="1">
      <c r="A302" s="245"/>
    </row>
    <row r="303" spans="1:1" ht="15.75" customHeight="1">
      <c r="A303" s="245"/>
    </row>
    <row r="304" spans="1:1" ht="15.75" customHeight="1">
      <c r="A304" s="245"/>
    </row>
    <row r="305" spans="1:1" ht="15.75" customHeight="1">
      <c r="A305" s="245"/>
    </row>
    <row r="306" spans="1:1" ht="15.75" customHeight="1">
      <c r="A306" s="245"/>
    </row>
    <row r="307" spans="1:1" ht="15.75" customHeight="1">
      <c r="A307" s="245"/>
    </row>
    <row r="308" spans="1:1" ht="15.75" customHeight="1">
      <c r="A308" s="245"/>
    </row>
    <row r="309" spans="1:1" ht="15.75" customHeight="1">
      <c r="A309" s="245"/>
    </row>
    <row r="310" spans="1:1" ht="15.75" customHeight="1">
      <c r="A310" s="245"/>
    </row>
    <row r="311" spans="1:1" ht="15.75" customHeight="1">
      <c r="A311" s="245"/>
    </row>
    <row r="312" spans="1:1" ht="15.75" customHeight="1">
      <c r="A312" s="245"/>
    </row>
    <row r="313" spans="1:1" ht="15.75" customHeight="1">
      <c r="A313" s="245"/>
    </row>
    <row r="314" spans="1:1" ht="15.75" customHeight="1">
      <c r="A314" s="245"/>
    </row>
    <row r="315" spans="1:1" ht="15.75" customHeight="1">
      <c r="A315" s="245"/>
    </row>
    <row r="316" spans="1:1" ht="15.75" customHeight="1">
      <c r="A316" s="245"/>
    </row>
    <row r="317" spans="1:1" ht="15.75" customHeight="1">
      <c r="A317" s="245"/>
    </row>
    <row r="318" spans="1:1" ht="15.75" customHeight="1">
      <c r="A318" s="245"/>
    </row>
    <row r="319" spans="1:1" ht="15.75" customHeight="1">
      <c r="A319" s="245"/>
    </row>
    <row r="320" spans="1:1" ht="15.75" customHeight="1">
      <c r="A320" s="245"/>
    </row>
    <row r="321" spans="1:1" ht="15.75" customHeight="1">
      <c r="A321" s="245"/>
    </row>
    <row r="322" spans="1:1" ht="15.75" customHeight="1">
      <c r="A322" s="245"/>
    </row>
    <row r="323" spans="1:1" ht="15.75" customHeight="1">
      <c r="A323" s="245"/>
    </row>
    <row r="324" spans="1:1" ht="15.75" customHeight="1">
      <c r="A324" s="245"/>
    </row>
    <row r="325" spans="1:1" ht="15.75" customHeight="1">
      <c r="A325" s="245"/>
    </row>
    <row r="326" spans="1:1" ht="15.75" customHeight="1">
      <c r="A326" s="245"/>
    </row>
    <row r="327" spans="1:1" ht="15.75" customHeight="1">
      <c r="A327" s="245"/>
    </row>
    <row r="328" spans="1:1" ht="15.75" customHeight="1">
      <c r="A328" s="245"/>
    </row>
    <row r="329" spans="1:1" ht="15.75" customHeight="1">
      <c r="A329" s="245"/>
    </row>
    <row r="330" spans="1:1" ht="15.75" customHeight="1">
      <c r="A330" s="245"/>
    </row>
    <row r="331" spans="1:1" ht="15.75" customHeight="1">
      <c r="A331" s="245"/>
    </row>
    <row r="332" spans="1:1" ht="15.75" customHeight="1">
      <c r="A332" s="245"/>
    </row>
    <row r="333" spans="1:1" ht="15.75" customHeight="1">
      <c r="A333" s="245"/>
    </row>
    <row r="334" spans="1:1" ht="15.75" customHeight="1">
      <c r="A334" s="245"/>
    </row>
    <row r="335" spans="1:1" ht="15.75" customHeight="1">
      <c r="A335" s="245"/>
    </row>
    <row r="336" spans="1:1" ht="15.75" customHeight="1">
      <c r="A336" s="245"/>
    </row>
    <row r="337" spans="1:1" ht="15.75" customHeight="1">
      <c r="A337" s="245"/>
    </row>
    <row r="338" spans="1:1" ht="15.75" customHeight="1">
      <c r="A338" s="245"/>
    </row>
    <row r="339" spans="1:1" ht="15.75" customHeight="1">
      <c r="A339" s="245"/>
    </row>
    <row r="340" spans="1:1" ht="15.75" customHeight="1">
      <c r="A340" s="245"/>
    </row>
    <row r="341" spans="1:1" ht="15.75" customHeight="1">
      <c r="A341" s="245"/>
    </row>
    <row r="342" spans="1:1" ht="15.75" customHeight="1">
      <c r="A342" s="245"/>
    </row>
    <row r="343" spans="1:1" ht="15.75" customHeight="1">
      <c r="A343" s="245"/>
    </row>
    <row r="344" spans="1:1" ht="15.75" customHeight="1">
      <c r="A344" s="245"/>
    </row>
    <row r="345" spans="1:1" ht="15.75" customHeight="1">
      <c r="A345" s="245"/>
    </row>
    <row r="346" spans="1:1" ht="15.75" customHeight="1">
      <c r="A346" s="245"/>
    </row>
    <row r="347" spans="1:1" ht="15.75" customHeight="1">
      <c r="A347" s="245"/>
    </row>
    <row r="348" spans="1:1" ht="15.75" customHeight="1">
      <c r="A348" s="245"/>
    </row>
    <row r="349" spans="1:1" ht="15.75" customHeight="1">
      <c r="A349" s="245"/>
    </row>
    <row r="350" spans="1:1" ht="15.75" customHeight="1">
      <c r="A350" s="245"/>
    </row>
    <row r="351" spans="1:1" ht="15.75" customHeight="1">
      <c r="A351" s="245"/>
    </row>
    <row r="352" spans="1:1" ht="15.75" customHeight="1">
      <c r="A352" s="245"/>
    </row>
    <row r="353" spans="1:1" ht="15.75" customHeight="1">
      <c r="A353" s="245"/>
    </row>
    <row r="354" spans="1:1" ht="15.75" customHeight="1">
      <c r="A354" s="245"/>
    </row>
    <row r="355" spans="1:1" ht="15.75" customHeight="1">
      <c r="A355" s="245"/>
    </row>
    <row r="356" spans="1:1" ht="15.75" customHeight="1">
      <c r="A356" s="245"/>
    </row>
    <row r="357" spans="1:1" ht="15.75" customHeight="1">
      <c r="A357" s="245"/>
    </row>
    <row r="358" spans="1:1" ht="15.75" customHeight="1">
      <c r="A358" s="245"/>
    </row>
    <row r="359" spans="1:1" ht="15.75" customHeight="1">
      <c r="A359" s="245"/>
    </row>
    <row r="360" spans="1:1" ht="15.75" customHeight="1">
      <c r="A360" s="245"/>
    </row>
    <row r="361" spans="1:1" ht="15.75" customHeight="1">
      <c r="A361" s="245"/>
    </row>
    <row r="362" spans="1:1" ht="15.75" customHeight="1">
      <c r="A362" s="245"/>
    </row>
    <row r="363" spans="1:1" ht="15.75" customHeight="1">
      <c r="A363" s="245"/>
    </row>
    <row r="364" spans="1:1" ht="15.75" customHeight="1">
      <c r="A364" s="245"/>
    </row>
    <row r="365" spans="1:1" ht="15.75" customHeight="1">
      <c r="A365" s="245"/>
    </row>
    <row r="366" spans="1:1" ht="15.75" customHeight="1">
      <c r="A366" s="245"/>
    </row>
    <row r="367" spans="1:1" ht="15.75" customHeight="1">
      <c r="A367" s="245"/>
    </row>
    <row r="368" spans="1:1" ht="15.75" customHeight="1">
      <c r="A368" s="245"/>
    </row>
    <row r="369" spans="1:1" ht="15.75" customHeight="1">
      <c r="A369" s="245"/>
    </row>
    <row r="370" spans="1:1" ht="15.75" customHeight="1">
      <c r="A370" s="245"/>
    </row>
    <row r="371" spans="1:1" ht="15.75" customHeight="1">
      <c r="A371" s="245"/>
    </row>
    <row r="372" spans="1:1" ht="15.75" customHeight="1">
      <c r="A372" s="245"/>
    </row>
    <row r="373" spans="1:1" ht="15.75" customHeight="1">
      <c r="A373" s="245"/>
    </row>
    <row r="374" spans="1:1" ht="15.75" customHeight="1">
      <c r="A374" s="245"/>
    </row>
    <row r="375" spans="1:1" ht="15.75" customHeight="1">
      <c r="A375" s="245"/>
    </row>
    <row r="376" spans="1:1" ht="15.75" customHeight="1">
      <c r="A376" s="245"/>
    </row>
    <row r="377" spans="1:1" ht="15.75" customHeight="1">
      <c r="A377" s="245"/>
    </row>
    <row r="378" spans="1:1" ht="15.75" customHeight="1">
      <c r="A378" s="245"/>
    </row>
    <row r="379" spans="1:1" ht="15.75" customHeight="1">
      <c r="A379" s="245"/>
    </row>
    <row r="380" spans="1:1" ht="15.75" customHeight="1">
      <c r="A380" s="245"/>
    </row>
    <row r="381" spans="1:1" ht="15.75" customHeight="1">
      <c r="A381" s="245"/>
    </row>
    <row r="382" spans="1:1" ht="15.75" customHeight="1">
      <c r="A382" s="245"/>
    </row>
    <row r="383" spans="1:1" ht="15.75" customHeight="1">
      <c r="A383" s="245"/>
    </row>
    <row r="384" spans="1:1" ht="15.75" customHeight="1">
      <c r="A384" s="245"/>
    </row>
    <row r="385" spans="1:1" ht="15.75" customHeight="1">
      <c r="A385" s="245"/>
    </row>
    <row r="386" spans="1:1" ht="15.75" customHeight="1">
      <c r="A386" s="245"/>
    </row>
    <row r="387" spans="1:1" ht="15.75" customHeight="1">
      <c r="A387" s="245"/>
    </row>
    <row r="388" spans="1:1" ht="15.75" customHeight="1">
      <c r="A388" s="245"/>
    </row>
    <row r="389" spans="1:1" ht="15.75" customHeight="1">
      <c r="A389" s="245"/>
    </row>
    <row r="390" spans="1:1" ht="15.75" customHeight="1">
      <c r="A390" s="245"/>
    </row>
    <row r="391" spans="1:1" ht="15.75" customHeight="1">
      <c r="A391" s="245"/>
    </row>
    <row r="392" spans="1:1" ht="15.75" customHeight="1">
      <c r="A392" s="245"/>
    </row>
    <row r="393" spans="1:1" ht="15.75" customHeight="1">
      <c r="A393" s="245"/>
    </row>
    <row r="394" spans="1:1" ht="15.75" customHeight="1">
      <c r="A394" s="245"/>
    </row>
    <row r="395" spans="1:1" ht="15.75" customHeight="1">
      <c r="A395" s="245"/>
    </row>
    <row r="396" spans="1:1" ht="15.75" customHeight="1">
      <c r="A396" s="245"/>
    </row>
    <row r="397" spans="1:1" ht="15.75" customHeight="1">
      <c r="A397" s="245"/>
    </row>
    <row r="398" spans="1:1" ht="15.75" customHeight="1">
      <c r="A398" s="245"/>
    </row>
    <row r="399" spans="1:1" ht="15.75" customHeight="1">
      <c r="A399" s="245"/>
    </row>
    <row r="400" spans="1:1" ht="15.75" customHeight="1">
      <c r="A400" s="245"/>
    </row>
    <row r="401" spans="1:1" ht="15.75" customHeight="1">
      <c r="A401" s="245"/>
    </row>
    <row r="402" spans="1:1" ht="15.75" customHeight="1">
      <c r="A402" s="245"/>
    </row>
    <row r="403" spans="1:1" ht="15.75" customHeight="1">
      <c r="A403" s="245"/>
    </row>
    <row r="404" spans="1:1" ht="15.75" customHeight="1">
      <c r="A404" s="245"/>
    </row>
    <row r="405" spans="1:1" ht="15.75" customHeight="1">
      <c r="A405" s="245"/>
    </row>
    <row r="406" spans="1:1" ht="15.75" customHeight="1">
      <c r="A406" s="245"/>
    </row>
    <row r="407" spans="1:1" ht="15.75" customHeight="1">
      <c r="A407" s="245"/>
    </row>
    <row r="408" spans="1:1" ht="15.75" customHeight="1">
      <c r="A408" s="245"/>
    </row>
    <row r="409" spans="1:1" ht="15.75" customHeight="1">
      <c r="A409" s="245"/>
    </row>
    <row r="410" spans="1:1" ht="15.75" customHeight="1">
      <c r="A410" s="245"/>
    </row>
    <row r="411" spans="1:1" ht="15.75" customHeight="1">
      <c r="A411" s="245"/>
    </row>
    <row r="412" spans="1:1" ht="15.75" customHeight="1">
      <c r="A412" s="245"/>
    </row>
    <row r="413" spans="1:1" ht="15.75" customHeight="1">
      <c r="A413" s="245"/>
    </row>
    <row r="414" spans="1:1" ht="15.75" customHeight="1">
      <c r="A414" s="245"/>
    </row>
    <row r="415" spans="1:1" ht="15.75" customHeight="1">
      <c r="A415" s="245"/>
    </row>
    <row r="416" spans="1:1" ht="15.75" customHeight="1">
      <c r="A416" s="245"/>
    </row>
    <row r="417" spans="1:1" ht="15.75" customHeight="1">
      <c r="A417" s="245"/>
    </row>
    <row r="418" spans="1:1" ht="15.75" customHeight="1">
      <c r="A418" s="245"/>
    </row>
    <row r="419" spans="1:1" ht="15.75" customHeight="1">
      <c r="A419" s="245"/>
    </row>
    <row r="420" spans="1:1" ht="15.75" customHeight="1">
      <c r="A420" s="245"/>
    </row>
    <row r="421" spans="1:1" ht="15.75" customHeight="1">
      <c r="A421" s="245"/>
    </row>
    <row r="422" spans="1:1" ht="15.75" customHeight="1">
      <c r="A422" s="245"/>
    </row>
    <row r="423" spans="1:1" ht="15.75" customHeight="1">
      <c r="A423" s="245"/>
    </row>
    <row r="424" spans="1:1" ht="15.75" customHeight="1">
      <c r="A424" s="245"/>
    </row>
    <row r="425" spans="1:1" ht="15.75" customHeight="1">
      <c r="A425" s="245"/>
    </row>
    <row r="426" spans="1:1" ht="15.75" customHeight="1">
      <c r="A426" s="245"/>
    </row>
    <row r="427" spans="1:1" ht="15.75" customHeight="1">
      <c r="A427" s="245"/>
    </row>
    <row r="428" spans="1:1" ht="15.75" customHeight="1">
      <c r="A428" s="245"/>
    </row>
    <row r="429" spans="1:1" ht="15.75" customHeight="1">
      <c r="A429" s="245"/>
    </row>
    <row r="430" spans="1:1" ht="15.75" customHeight="1">
      <c r="A430" s="245"/>
    </row>
    <row r="431" spans="1:1" ht="15.75" customHeight="1">
      <c r="A431" s="245"/>
    </row>
    <row r="432" spans="1:1" ht="15.75" customHeight="1">
      <c r="A432" s="245"/>
    </row>
    <row r="433" spans="1:1" ht="15.75" customHeight="1">
      <c r="A433" s="245"/>
    </row>
    <row r="434" spans="1:1" ht="15.75" customHeight="1">
      <c r="A434" s="245"/>
    </row>
    <row r="435" spans="1:1" ht="15.75" customHeight="1">
      <c r="A435" s="245"/>
    </row>
    <row r="436" spans="1:1" ht="15.75" customHeight="1">
      <c r="A436" s="245"/>
    </row>
    <row r="437" spans="1:1" ht="15.75" customHeight="1">
      <c r="A437" s="245"/>
    </row>
    <row r="438" spans="1:1" ht="15.75" customHeight="1">
      <c r="A438" s="245"/>
    </row>
    <row r="439" spans="1:1" ht="15.75" customHeight="1">
      <c r="A439" s="245"/>
    </row>
    <row r="440" spans="1:1" ht="15.75" customHeight="1">
      <c r="A440" s="245"/>
    </row>
    <row r="441" spans="1:1" ht="15.75" customHeight="1">
      <c r="A441" s="245"/>
    </row>
    <row r="442" spans="1:1" ht="15.75" customHeight="1">
      <c r="A442" s="245"/>
    </row>
    <row r="443" spans="1:1" ht="15.75" customHeight="1">
      <c r="A443" s="245"/>
    </row>
    <row r="444" spans="1:1" ht="15.75" customHeight="1">
      <c r="A444" s="245"/>
    </row>
    <row r="445" spans="1:1" ht="15.75" customHeight="1">
      <c r="A445" s="245"/>
    </row>
    <row r="446" spans="1:1" ht="15.75" customHeight="1">
      <c r="A446" s="245"/>
    </row>
    <row r="447" spans="1:1" ht="15.75" customHeight="1">
      <c r="A447" s="245"/>
    </row>
    <row r="448" spans="1:1" ht="15.75" customHeight="1">
      <c r="A448" s="245"/>
    </row>
    <row r="449" spans="1:1" ht="15.75" customHeight="1">
      <c r="A449" s="245"/>
    </row>
    <row r="450" spans="1:1" ht="15.75" customHeight="1">
      <c r="A450" s="245"/>
    </row>
    <row r="451" spans="1:1" ht="15.75" customHeight="1">
      <c r="A451" s="245"/>
    </row>
    <row r="452" spans="1:1" ht="15.75" customHeight="1">
      <c r="A452" s="245"/>
    </row>
    <row r="453" spans="1:1" ht="15.75" customHeight="1">
      <c r="A453" s="245"/>
    </row>
    <row r="454" spans="1:1" ht="15.75" customHeight="1">
      <c r="A454" s="245"/>
    </row>
    <row r="455" spans="1:1" ht="15.75" customHeight="1">
      <c r="A455" s="245"/>
    </row>
    <row r="456" spans="1:1" ht="15.75" customHeight="1">
      <c r="A456" s="245"/>
    </row>
    <row r="457" spans="1:1" ht="15.75" customHeight="1">
      <c r="A457" s="245"/>
    </row>
    <row r="458" spans="1:1" ht="15.75" customHeight="1">
      <c r="A458" s="245"/>
    </row>
    <row r="459" spans="1:1" ht="15.75" customHeight="1">
      <c r="A459" s="245"/>
    </row>
    <row r="460" spans="1:1" ht="15.75" customHeight="1">
      <c r="A460" s="245"/>
    </row>
    <row r="461" spans="1:1" ht="15.75" customHeight="1">
      <c r="A461" s="245"/>
    </row>
    <row r="462" spans="1:1" ht="15.75" customHeight="1">
      <c r="A462" s="245"/>
    </row>
    <row r="463" spans="1:1" ht="15.75" customHeight="1">
      <c r="A463" s="245"/>
    </row>
    <row r="464" spans="1:1" ht="15.75" customHeight="1">
      <c r="A464" s="245"/>
    </row>
    <row r="465" spans="1:1" ht="15.75" customHeight="1">
      <c r="A465" s="245"/>
    </row>
    <row r="466" spans="1:1" ht="15.75" customHeight="1">
      <c r="A466" s="245"/>
    </row>
    <row r="467" spans="1:1" ht="15.75" customHeight="1">
      <c r="A467" s="245"/>
    </row>
    <row r="468" spans="1:1" ht="15.75" customHeight="1">
      <c r="A468" s="245"/>
    </row>
    <row r="469" spans="1:1" ht="15.75" customHeight="1">
      <c r="A469" s="245"/>
    </row>
    <row r="470" spans="1:1" ht="15.75" customHeight="1">
      <c r="A470" s="245"/>
    </row>
    <row r="471" spans="1:1" ht="15.75" customHeight="1">
      <c r="A471" s="245"/>
    </row>
    <row r="472" spans="1:1" ht="15.75" customHeight="1">
      <c r="A472" s="245"/>
    </row>
    <row r="473" spans="1:1" ht="15.75" customHeight="1">
      <c r="A473" s="245"/>
    </row>
    <row r="474" spans="1:1" ht="15.75" customHeight="1">
      <c r="A474" s="245"/>
    </row>
    <row r="475" spans="1:1" ht="15.75" customHeight="1">
      <c r="A475" s="245"/>
    </row>
    <row r="476" spans="1:1" ht="15.75" customHeight="1">
      <c r="A476" s="245"/>
    </row>
    <row r="477" spans="1:1" ht="15.75" customHeight="1">
      <c r="A477" s="245"/>
    </row>
    <row r="478" spans="1:1" ht="15.75" customHeight="1">
      <c r="A478" s="245"/>
    </row>
    <row r="479" spans="1:1" ht="15.75" customHeight="1">
      <c r="A479" s="245"/>
    </row>
    <row r="480" spans="1:1" ht="15.75" customHeight="1">
      <c r="A480" s="245"/>
    </row>
    <row r="481" spans="1:1" ht="15.75" customHeight="1">
      <c r="A481" s="245"/>
    </row>
    <row r="482" spans="1:1" ht="15.75" customHeight="1">
      <c r="A482" s="245"/>
    </row>
    <row r="483" spans="1:1" ht="15.75" customHeight="1">
      <c r="A483" s="245"/>
    </row>
    <row r="484" spans="1:1" ht="15.75" customHeight="1">
      <c r="A484" s="245"/>
    </row>
    <row r="485" spans="1:1" ht="15.75" customHeight="1">
      <c r="A485" s="245"/>
    </row>
    <row r="486" spans="1:1" ht="15.75" customHeight="1">
      <c r="A486" s="245"/>
    </row>
    <row r="487" spans="1:1" ht="15.75" customHeight="1">
      <c r="A487" s="245"/>
    </row>
    <row r="488" spans="1:1" ht="15.75" customHeight="1">
      <c r="A488" s="245"/>
    </row>
    <row r="489" spans="1:1" ht="15.75" customHeight="1">
      <c r="A489" s="245"/>
    </row>
    <row r="490" spans="1:1" ht="15.75" customHeight="1">
      <c r="A490" s="245"/>
    </row>
    <row r="491" spans="1:1" ht="15.75" customHeight="1">
      <c r="A491" s="245"/>
    </row>
    <row r="492" spans="1:1" ht="15.75" customHeight="1">
      <c r="A492" s="245"/>
    </row>
    <row r="493" spans="1:1" ht="15.75" customHeight="1">
      <c r="A493" s="245"/>
    </row>
    <row r="494" spans="1:1" ht="15.75" customHeight="1">
      <c r="A494" s="245"/>
    </row>
    <row r="495" spans="1:1" ht="15.75" customHeight="1">
      <c r="A495" s="245"/>
    </row>
    <row r="496" spans="1:1" ht="15.75" customHeight="1">
      <c r="A496" s="245"/>
    </row>
    <row r="497" spans="1:1" ht="15.75" customHeight="1">
      <c r="A497" s="245"/>
    </row>
    <row r="498" spans="1:1" ht="15.75" customHeight="1">
      <c r="A498" s="245"/>
    </row>
    <row r="499" spans="1:1" ht="15.75" customHeight="1">
      <c r="A499" s="245"/>
    </row>
    <row r="500" spans="1:1" ht="15.75" customHeight="1">
      <c r="A500" s="245"/>
    </row>
    <row r="501" spans="1:1" ht="15.75" customHeight="1">
      <c r="A501" s="245"/>
    </row>
    <row r="502" spans="1:1" ht="15.75" customHeight="1">
      <c r="A502" s="245"/>
    </row>
    <row r="503" spans="1:1" ht="15.75" customHeight="1">
      <c r="A503" s="245"/>
    </row>
    <row r="504" spans="1:1" ht="15.75" customHeight="1">
      <c r="A504" s="245"/>
    </row>
    <row r="505" spans="1:1" ht="15.75" customHeight="1">
      <c r="A505" s="245"/>
    </row>
    <row r="506" spans="1:1" ht="15.75" customHeight="1">
      <c r="A506" s="245"/>
    </row>
    <row r="507" spans="1:1" ht="15.75" customHeight="1">
      <c r="A507" s="245"/>
    </row>
    <row r="508" spans="1:1" ht="15.75" customHeight="1">
      <c r="A508" s="245"/>
    </row>
    <row r="509" spans="1:1" ht="15.75" customHeight="1">
      <c r="A509" s="245"/>
    </row>
    <row r="510" spans="1:1" ht="15.75" customHeight="1">
      <c r="A510" s="245"/>
    </row>
    <row r="511" spans="1:1" ht="15.75" customHeight="1">
      <c r="A511" s="245"/>
    </row>
    <row r="512" spans="1:1" ht="15.75" customHeight="1">
      <c r="A512" s="245"/>
    </row>
    <row r="513" spans="1:1" ht="15.75" customHeight="1">
      <c r="A513" s="245"/>
    </row>
    <row r="514" spans="1:1" ht="15.75" customHeight="1">
      <c r="A514" s="245"/>
    </row>
    <row r="515" spans="1:1" ht="15.75" customHeight="1">
      <c r="A515" s="245"/>
    </row>
    <row r="516" spans="1:1" ht="15.75" customHeight="1">
      <c r="A516" s="245"/>
    </row>
    <row r="517" spans="1:1" ht="15.75" customHeight="1">
      <c r="A517" s="245"/>
    </row>
    <row r="518" spans="1:1" ht="15.75" customHeight="1">
      <c r="A518" s="245"/>
    </row>
    <row r="519" spans="1:1" ht="15.75" customHeight="1">
      <c r="A519" s="245"/>
    </row>
    <row r="520" spans="1:1" ht="15.75" customHeight="1">
      <c r="A520" s="245"/>
    </row>
    <row r="521" spans="1:1" ht="15.75" customHeight="1">
      <c r="A521" s="245"/>
    </row>
    <row r="522" spans="1:1" ht="15.75" customHeight="1">
      <c r="A522" s="245"/>
    </row>
    <row r="523" spans="1:1" ht="15.75" customHeight="1">
      <c r="A523" s="245"/>
    </row>
    <row r="524" spans="1:1" ht="15.75" customHeight="1">
      <c r="A524" s="245"/>
    </row>
    <row r="525" spans="1:1" ht="15.75" customHeight="1">
      <c r="A525" s="245"/>
    </row>
    <row r="526" spans="1:1" ht="15.75" customHeight="1">
      <c r="A526" s="245"/>
    </row>
    <row r="527" spans="1:1" ht="15.75" customHeight="1">
      <c r="A527" s="245"/>
    </row>
    <row r="528" spans="1:1" ht="15.75" customHeight="1">
      <c r="A528" s="245"/>
    </row>
    <row r="529" spans="1:1" ht="15.75" customHeight="1">
      <c r="A529" s="245"/>
    </row>
    <row r="530" spans="1:1" ht="15.75" customHeight="1">
      <c r="A530" s="245"/>
    </row>
    <row r="531" spans="1:1" ht="15.75" customHeight="1">
      <c r="A531" s="245"/>
    </row>
    <row r="532" spans="1:1" ht="15.75" customHeight="1">
      <c r="A532" s="245"/>
    </row>
    <row r="533" spans="1:1" ht="15.75" customHeight="1">
      <c r="A533" s="245"/>
    </row>
    <row r="534" spans="1:1" ht="15.75" customHeight="1">
      <c r="A534" s="245"/>
    </row>
    <row r="535" spans="1:1" ht="15.75" customHeight="1">
      <c r="A535" s="245"/>
    </row>
    <row r="536" spans="1:1" ht="15.75" customHeight="1">
      <c r="A536" s="245"/>
    </row>
    <row r="537" spans="1:1" ht="15.75" customHeight="1">
      <c r="A537" s="245"/>
    </row>
    <row r="538" spans="1:1" ht="15.75" customHeight="1">
      <c r="A538" s="245"/>
    </row>
    <row r="539" spans="1:1" ht="15.75" customHeight="1">
      <c r="A539" s="245"/>
    </row>
    <row r="540" spans="1:1" ht="15.75" customHeight="1">
      <c r="A540" s="245"/>
    </row>
    <row r="541" spans="1:1" ht="15.75" customHeight="1">
      <c r="A541" s="245"/>
    </row>
    <row r="542" spans="1:1" ht="15.75" customHeight="1">
      <c r="A542" s="245"/>
    </row>
    <row r="543" spans="1:1" ht="15.75" customHeight="1">
      <c r="A543" s="245"/>
    </row>
    <row r="544" spans="1:1" ht="15.75" customHeight="1">
      <c r="A544" s="245"/>
    </row>
    <row r="545" spans="1:1" ht="15.75" customHeight="1">
      <c r="A545" s="245"/>
    </row>
    <row r="546" spans="1:1" ht="15.75" customHeight="1">
      <c r="A546" s="245"/>
    </row>
    <row r="547" spans="1:1" ht="15.75" customHeight="1">
      <c r="A547" s="245"/>
    </row>
    <row r="548" spans="1:1" ht="15.75" customHeight="1">
      <c r="A548" s="245"/>
    </row>
    <row r="549" spans="1:1" ht="15.75" customHeight="1">
      <c r="A549" s="245"/>
    </row>
    <row r="550" spans="1:1" ht="15.75" customHeight="1">
      <c r="A550" s="245"/>
    </row>
    <row r="551" spans="1:1" ht="15.75" customHeight="1">
      <c r="A551" s="245"/>
    </row>
    <row r="552" spans="1:1" ht="15.75" customHeight="1">
      <c r="A552" s="245"/>
    </row>
    <row r="553" spans="1:1" ht="15.75" customHeight="1">
      <c r="A553" s="245"/>
    </row>
    <row r="554" spans="1:1" ht="15.75" customHeight="1">
      <c r="A554" s="245"/>
    </row>
    <row r="555" spans="1:1" ht="15.75" customHeight="1">
      <c r="A555" s="245"/>
    </row>
    <row r="556" spans="1:1" ht="15.75" customHeight="1">
      <c r="A556" s="245"/>
    </row>
    <row r="557" spans="1:1" ht="15.75" customHeight="1">
      <c r="A557" s="245"/>
    </row>
    <row r="558" spans="1:1" ht="15.75" customHeight="1">
      <c r="A558" s="245"/>
    </row>
    <row r="559" spans="1:1" ht="15.75" customHeight="1">
      <c r="A559" s="245"/>
    </row>
    <row r="560" spans="1:1" ht="15.75" customHeight="1">
      <c r="A560" s="245"/>
    </row>
    <row r="561" spans="1:1" ht="15.75" customHeight="1">
      <c r="A561" s="245"/>
    </row>
    <row r="562" spans="1:1" ht="15.75" customHeight="1">
      <c r="A562" s="245"/>
    </row>
    <row r="563" spans="1:1" ht="15.75" customHeight="1">
      <c r="A563" s="245"/>
    </row>
    <row r="564" spans="1:1" ht="15.75" customHeight="1">
      <c r="A564" s="245"/>
    </row>
    <row r="565" spans="1:1" ht="15.75" customHeight="1">
      <c r="A565" s="245"/>
    </row>
    <row r="566" spans="1:1" ht="15.75" customHeight="1">
      <c r="A566" s="245"/>
    </row>
    <row r="567" spans="1:1" ht="15.75" customHeight="1">
      <c r="A567" s="245"/>
    </row>
    <row r="568" spans="1:1" ht="15.75" customHeight="1">
      <c r="A568" s="245"/>
    </row>
    <row r="569" spans="1:1" ht="15.75" customHeight="1">
      <c r="A569" s="245"/>
    </row>
    <row r="570" spans="1:1" ht="15.75" customHeight="1">
      <c r="A570" s="245"/>
    </row>
    <row r="571" spans="1:1" ht="15.75" customHeight="1">
      <c r="A571" s="245"/>
    </row>
    <row r="572" spans="1:1" ht="15.75" customHeight="1">
      <c r="A572" s="245"/>
    </row>
    <row r="573" spans="1:1" ht="15.75" customHeight="1">
      <c r="A573" s="245"/>
    </row>
    <row r="574" spans="1:1" ht="15.75" customHeight="1">
      <c r="A574" s="245"/>
    </row>
    <row r="575" spans="1:1" ht="15.75" customHeight="1">
      <c r="A575" s="245"/>
    </row>
    <row r="576" spans="1:1" ht="15.75" customHeight="1">
      <c r="A576" s="245"/>
    </row>
    <row r="577" spans="1:1" ht="15.75" customHeight="1">
      <c r="A577" s="245"/>
    </row>
    <row r="578" spans="1:1" ht="15.75" customHeight="1">
      <c r="A578" s="245"/>
    </row>
    <row r="579" spans="1:1" ht="15.75" customHeight="1">
      <c r="A579" s="245"/>
    </row>
    <row r="580" spans="1:1" ht="15.75" customHeight="1">
      <c r="A580" s="245"/>
    </row>
    <row r="581" spans="1:1" ht="15.75" customHeight="1">
      <c r="A581" s="245"/>
    </row>
    <row r="582" spans="1:1" ht="15.75" customHeight="1">
      <c r="A582" s="245"/>
    </row>
    <row r="583" spans="1:1" ht="15.75" customHeight="1">
      <c r="A583" s="245"/>
    </row>
    <row r="584" spans="1:1" ht="15.75" customHeight="1">
      <c r="A584" s="245"/>
    </row>
    <row r="585" spans="1:1" ht="15.75" customHeight="1">
      <c r="A585" s="245"/>
    </row>
    <row r="586" spans="1:1" ht="15.75" customHeight="1">
      <c r="A586" s="245"/>
    </row>
    <row r="587" spans="1:1" ht="15.75" customHeight="1">
      <c r="A587" s="245"/>
    </row>
    <row r="588" spans="1:1" ht="15.75" customHeight="1">
      <c r="A588" s="245"/>
    </row>
    <row r="589" spans="1:1" ht="15.75" customHeight="1">
      <c r="A589" s="245"/>
    </row>
    <row r="590" spans="1:1" ht="15.75" customHeight="1">
      <c r="A590" s="245"/>
    </row>
    <row r="591" spans="1:1" ht="15.75" customHeight="1">
      <c r="A591" s="245"/>
    </row>
    <row r="592" spans="1:1" ht="15.75" customHeight="1">
      <c r="A592" s="245"/>
    </row>
    <row r="593" spans="1:1" ht="15.75" customHeight="1">
      <c r="A593" s="245"/>
    </row>
    <row r="594" spans="1:1" ht="15.75" customHeight="1">
      <c r="A594" s="245"/>
    </row>
    <row r="595" spans="1:1" ht="15.75" customHeight="1">
      <c r="A595" s="245"/>
    </row>
    <row r="596" spans="1:1" ht="15.75" customHeight="1">
      <c r="A596" s="245"/>
    </row>
    <row r="597" spans="1:1" ht="15.75" customHeight="1">
      <c r="A597" s="245"/>
    </row>
    <row r="598" spans="1:1" ht="15.75" customHeight="1">
      <c r="A598" s="245"/>
    </row>
    <row r="599" spans="1:1" ht="15.75" customHeight="1">
      <c r="A599" s="245"/>
    </row>
    <row r="600" spans="1:1" ht="15.75" customHeight="1">
      <c r="A600" s="245"/>
    </row>
    <row r="601" spans="1:1" ht="15.75" customHeight="1">
      <c r="A601" s="245"/>
    </row>
    <row r="602" spans="1:1" ht="15.75" customHeight="1">
      <c r="A602" s="245"/>
    </row>
    <row r="603" spans="1:1" ht="15.75" customHeight="1">
      <c r="A603" s="245"/>
    </row>
    <row r="604" spans="1:1" ht="15.75" customHeight="1">
      <c r="A604" s="245"/>
    </row>
    <row r="605" spans="1:1" ht="15.75" customHeight="1">
      <c r="A605" s="245"/>
    </row>
    <row r="606" spans="1:1" ht="15.75" customHeight="1">
      <c r="A606" s="245"/>
    </row>
    <row r="607" spans="1:1" ht="15.75" customHeight="1">
      <c r="A607" s="245"/>
    </row>
    <row r="608" spans="1:1" ht="15.75" customHeight="1">
      <c r="A608" s="245"/>
    </row>
    <row r="609" spans="1:1" ht="15.75" customHeight="1">
      <c r="A609" s="245"/>
    </row>
    <row r="610" spans="1:1" ht="15.75" customHeight="1">
      <c r="A610" s="245"/>
    </row>
    <row r="611" spans="1:1" ht="15.75" customHeight="1">
      <c r="A611" s="245"/>
    </row>
    <row r="612" spans="1:1" ht="15.75" customHeight="1">
      <c r="A612" s="245"/>
    </row>
    <row r="613" spans="1:1" ht="15.75" customHeight="1">
      <c r="A613" s="245"/>
    </row>
    <row r="614" spans="1:1" ht="15.75" customHeight="1">
      <c r="A614" s="245"/>
    </row>
    <row r="615" spans="1:1" ht="15.75" customHeight="1">
      <c r="A615" s="245"/>
    </row>
    <row r="616" spans="1:1" ht="15.75" customHeight="1">
      <c r="A616" s="245"/>
    </row>
    <row r="617" spans="1:1" ht="15.75" customHeight="1">
      <c r="A617" s="245"/>
    </row>
    <row r="618" spans="1:1" ht="15.75" customHeight="1">
      <c r="A618" s="245"/>
    </row>
    <row r="619" spans="1:1" ht="15.75" customHeight="1">
      <c r="A619" s="245"/>
    </row>
    <row r="620" spans="1:1" ht="15.75" customHeight="1">
      <c r="A620" s="245"/>
    </row>
    <row r="621" spans="1:1" ht="15.75" customHeight="1">
      <c r="A621" s="245"/>
    </row>
    <row r="622" spans="1:1" ht="15.75" customHeight="1">
      <c r="A622" s="245"/>
    </row>
    <row r="623" spans="1:1" ht="15.75" customHeight="1">
      <c r="A623" s="245"/>
    </row>
    <row r="624" spans="1:1" ht="15.75" customHeight="1">
      <c r="A624" s="245"/>
    </row>
    <row r="625" spans="1:1" ht="15.75" customHeight="1">
      <c r="A625" s="245"/>
    </row>
    <row r="626" spans="1:1" ht="15.75" customHeight="1">
      <c r="A626" s="245"/>
    </row>
    <row r="627" spans="1:1" ht="15.75" customHeight="1">
      <c r="A627" s="245"/>
    </row>
    <row r="628" spans="1:1" ht="15.75" customHeight="1">
      <c r="A628" s="245"/>
    </row>
    <row r="629" spans="1:1" ht="15.75" customHeight="1">
      <c r="A629" s="245"/>
    </row>
    <row r="630" spans="1:1" ht="15.75" customHeight="1">
      <c r="A630" s="245"/>
    </row>
    <row r="631" spans="1:1" ht="15.75" customHeight="1">
      <c r="A631" s="245"/>
    </row>
    <row r="632" spans="1:1" ht="15.75" customHeight="1">
      <c r="A632" s="245"/>
    </row>
    <row r="633" spans="1:1" ht="15.75" customHeight="1">
      <c r="A633" s="245"/>
    </row>
    <row r="634" spans="1:1" ht="15.75" customHeight="1">
      <c r="A634" s="245"/>
    </row>
    <row r="635" spans="1:1" ht="15.75" customHeight="1">
      <c r="A635" s="245"/>
    </row>
    <row r="636" spans="1:1" ht="15.75" customHeight="1">
      <c r="A636" s="245"/>
    </row>
    <row r="637" spans="1:1" ht="15.75" customHeight="1">
      <c r="A637" s="245"/>
    </row>
    <row r="638" spans="1:1" ht="15.75" customHeight="1">
      <c r="A638" s="245"/>
    </row>
    <row r="639" spans="1:1" ht="15.75" customHeight="1">
      <c r="A639" s="245"/>
    </row>
    <row r="640" spans="1:1" ht="15.75" customHeight="1">
      <c r="A640" s="245"/>
    </row>
    <row r="641" spans="1:1" ht="15.75" customHeight="1">
      <c r="A641" s="245"/>
    </row>
    <row r="642" spans="1:1" ht="15.75" customHeight="1">
      <c r="A642" s="245"/>
    </row>
    <row r="643" spans="1:1" ht="15.75" customHeight="1">
      <c r="A643" s="245"/>
    </row>
    <row r="644" spans="1:1" ht="15.75" customHeight="1">
      <c r="A644" s="245"/>
    </row>
    <row r="645" spans="1:1" ht="15.75" customHeight="1">
      <c r="A645" s="245"/>
    </row>
    <row r="646" spans="1:1" ht="15.75" customHeight="1">
      <c r="A646" s="245"/>
    </row>
    <row r="647" spans="1:1" ht="15.75" customHeight="1">
      <c r="A647" s="245"/>
    </row>
    <row r="648" spans="1:1" ht="15.75" customHeight="1">
      <c r="A648" s="245"/>
    </row>
    <row r="649" spans="1:1" ht="15.75" customHeight="1">
      <c r="A649" s="245"/>
    </row>
    <row r="650" spans="1:1" ht="15.75" customHeight="1">
      <c r="A650" s="245"/>
    </row>
    <row r="651" spans="1:1" ht="15.75" customHeight="1">
      <c r="A651" s="245"/>
    </row>
    <row r="652" spans="1:1" ht="15.75" customHeight="1">
      <c r="A652" s="245"/>
    </row>
    <row r="653" spans="1:1" ht="15.75" customHeight="1">
      <c r="A653" s="245"/>
    </row>
    <row r="654" spans="1:1" ht="15.75" customHeight="1">
      <c r="A654" s="245"/>
    </row>
    <row r="655" spans="1:1" ht="15.75" customHeight="1">
      <c r="A655" s="245"/>
    </row>
    <row r="656" spans="1:1" ht="15.75" customHeight="1">
      <c r="A656" s="245"/>
    </row>
    <row r="657" spans="1:1" ht="15.75" customHeight="1">
      <c r="A657" s="245"/>
    </row>
    <row r="658" spans="1:1" ht="15.75" customHeight="1">
      <c r="A658" s="245"/>
    </row>
    <row r="659" spans="1:1" ht="15.75" customHeight="1">
      <c r="A659" s="245"/>
    </row>
    <row r="660" spans="1:1" ht="15.75" customHeight="1">
      <c r="A660" s="245"/>
    </row>
    <row r="661" spans="1:1" ht="15.75" customHeight="1">
      <c r="A661" s="245"/>
    </row>
    <row r="662" spans="1:1" ht="15.75" customHeight="1">
      <c r="A662" s="245"/>
    </row>
    <row r="663" spans="1:1" ht="15.75" customHeight="1">
      <c r="A663" s="245"/>
    </row>
    <row r="664" spans="1:1" ht="15.75" customHeight="1">
      <c r="A664" s="245"/>
    </row>
    <row r="665" spans="1:1" ht="15.75" customHeight="1">
      <c r="A665" s="245"/>
    </row>
    <row r="666" spans="1:1" ht="15.75" customHeight="1">
      <c r="A666" s="245"/>
    </row>
    <row r="667" spans="1:1" ht="15.75" customHeight="1">
      <c r="A667" s="245"/>
    </row>
    <row r="668" spans="1:1" ht="15.75" customHeight="1">
      <c r="A668" s="245"/>
    </row>
    <row r="669" spans="1:1" ht="15.75" customHeight="1">
      <c r="A669" s="245"/>
    </row>
    <row r="670" spans="1:1" ht="15.75" customHeight="1">
      <c r="A670" s="245"/>
    </row>
    <row r="671" spans="1:1" ht="15.75" customHeight="1">
      <c r="A671" s="245"/>
    </row>
    <row r="672" spans="1:1" ht="15.75" customHeight="1">
      <c r="A672" s="245"/>
    </row>
    <row r="673" spans="1:1" ht="15.75" customHeight="1">
      <c r="A673" s="245"/>
    </row>
    <row r="674" spans="1:1" ht="15.75" customHeight="1">
      <c r="A674" s="245"/>
    </row>
    <row r="675" spans="1:1" ht="15.75" customHeight="1">
      <c r="A675" s="245"/>
    </row>
    <row r="676" spans="1:1" ht="15.75" customHeight="1">
      <c r="A676" s="245"/>
    </row>
    <row r="677" spans="1:1" ht="15.75" customHeight="1">
      <c r="A677" s="245"/>
    </row>
    <row r="678" spans="1:1" ht="15.75" customHeight="1">
      <c r="A678" s="245"/>
    </row>
    <row r="679" spans="1:1" ht="15.75" customHeight="1">
      <c r="A679" s="245"/>
    </row>
    <row r="680" spans="1:1" ht="15.75" customHeight="1">
      <c r="A680" s="245"/>
    </row>
    <row r="681" spans="1:1" ht="15.75" customHeight="1">
      <c r="A681" s="245"/>
    </row>
    <row r="682" spans="1:1" ht="15.75" customHeight="1">
      <c r="A682" s="245"/>
    </row>
    <row r="683" spans="1:1" ht="15.75" customHeight="1">
      <c r="A683" s="245"/>
    </row>
    <row r="684" spans="1:1" ht="15.75" customHeight="1">
      <c r="A684" s="245"/>
    </row>
    <row r="685" spans="1:1" ht="15.75" customHeight="1">
      <c r="A685" s="245"/>
    </row>
    <row r="686" spans="1:1" ht="15.75" customHeight="1">
      <c r="A686" s="245"/>
    </row>
    <row r="687" spans="1:1" ht="15.75" customHeight="1">
      <c r="A687" s="245"/>
    </row>
    <row r="688" spans="1:1" ht="15.75" customHeight="1">
      <c r="A688" s="245"/>
    </row>
    <row r="689" spans="1:1" ht="15.75" customHeight="1">
      <c r="A689" s="245"/>
    </row>
    <row r="690" spans="1:1" ht="15.75" customHeight="1">
      <c r="A690" s="245"/>
    </row>
    <row r="691" spans="1:1" ht="15.75" customHeight="1">
      <c r="A691" s="245"/>
    </row>
    <row r="692" spans="1:1" ht="15.75" customHeight="1">
      <c r="A692" s="245"/>
    </row>
    <row r="693" spans="1:1" ht="15.75" customHeight="1">
      <c r="A693" s="245"/>
    </row>
    <row r="694" spans="1:1" ht="15.75" customHeight="1">
      <c r="A694" s="245"/>
    </row>
    <row r="695" spans="1:1" ht="15.75" customHeight="1">
      <c r="A695" s="245"/>
    </row>
    <row r="696" spans="1:1" ht="15.75" customHeight="1">
      <c r="A696" s="245"/>
    </row>
    <row r="697" spans="1:1" ht="15.75" customHeight="1">
      <c r="A697" s="245"/>
    </row>
    <row r="698" spans="1:1" ht="15.75" customHeight="1">
      <c r="A698" s="245"/>
    </row>
    <row r="699" spans="1:1" ht="15.75" customHeight="1">
      <c r="A699" s="245"/>
    </row>
    <row r="700" spans="1:1" ht="15.75" customHeight="1">
      <c r="A700" s="245"/>
    </row>
    <row r="701" spans="1:1" ht="15.75" customHeight="1">
      <c r="A701" s="245"/>
    </row>
    <row r="702" spans="1:1" ht="15.75" customHeight="1">
      <c r="A702" s="245"/>
    </row>
    <row r="703" spans="1:1" ht="15.75" customHeight="1">
      <c r="A703" s="245"/>
    </row>
    <row r="704" spans="1:1" ht="15.75" customHeight="1">
      <c r="A704" s="245"/>
    </row>
    <row r="705" spans="1:1" ht="15.75" customHeight="1">
      <c r="A705" s="245"/>
    </row>
    <row r="706" spans="1:1" ht="15.75" customHeight="1">
      <c r="A706" s="245"/>
    </row>
    <row r="707" spans="1:1" ht="15.75" customHeight="1">
      <c r="A707" s="245"/>
    </row>
    <row r="708" spans="1:1" ht="15.75" customHeight="1">
      <c r="A708" s="245"/>
    </row>
    <row r="709" spans="1:1" ht="15.75" customHeight="1">
      <c r="A709" s="245"/>
    </row>
    <row r="710" spans="1:1" ht="15.75" customHeight="1">
      <c r="A710" s="245"/>
    </row>
    <row r="711" spans="1:1" ht="15.75" customHeight="1">
      <c r="A711" s="245"/>
    </row>
    <row r="712" spans="1:1" ht="15.75" customHeight="1">
      <c r="A712" s="245"/>
    </row>
    <row r="713" spans="1:1" ht="15.75" customHeight="1">
      <c r="A713" s="245"/>
    </row>
    <row r="714" spans="1:1" ht="15.75" customHeight="1">
      <c r="A714" s="245"/>
    </row>
    <row r="715" spans="1:1" ht="15.75" customHeight="1">
      <c r="A715" s="245"/>
    </row>
    <row r="716" spans="1:1" ht="15.75" customHeight="1">
      <c r="A716" s="245"/>
    </row>
    <row r="717" spans="1:1" ht="15.75" customHeight="1">
      <c r="A717" s="245"/>
    </row>
    <row r="718" spans="1:1" ht="15.75" customHeight="1">
      <c r="A718" s="245"/>
    </row>
    <row r="719" spans="1:1" ht="15.75" customHeight="1">
      <c r="A719" s="245"/>
    </row>
    <row r="720" spans="1:1" ht="15.75" customHeight="1">
      <c r="A720" s="245"/>
    </row>
    <row r="721" spans="1:1" ht="15.75" customHeight="1">
      <c r="A721" s="245"/>
    </row>
    <row r="722" spans="1:1" ht="15.75" customHeight="1">
      <c r="A722" s="245"/>
    </row>
    <row r="723" spans="1:1" ht="15.75" customHeight="1">
      <c r="A723" s="245"/>
    </row>
    <row r="724" spans="1:1" ht="15.75" customHeight="1">
      <c r="A724" s="245"/>
    </row>
    <row r="725" spans="1:1" ht="15.75" customHeight="1">
      <c r="A725" s="245"/>
    </row>
    <row r="726" spans="1:1" ht="15.75" customHeight="1">
      <c r="A726" s="245"/>
    </row>
    <row r="727" spans="1:1" ht="15.75" customHeight="1">
      <c r="A727" s="245"/>
    </row>
    <row r="728" spans="1:1" ht="15.75" customHeight="1">
      <c r="A728" s="245"/>
    </row>
    <row r="729" spans="1:1" ht="15.75" customHeight="1">
      <c r="A729" s="245"/>
    </row>
    <row r="730" spans="1:1" ht="15.75" customHeight="1">
      <c r="A730" s="245"/>
    </row>
    <row r="731" spans="1:1" ht="15.75" customHeight="1">
      <c r="A731" s="245"/>
    </row>
    <row r="732" spans="1:1" ht="15.75" customHeight="1">
      <c r="A732" s="245"/>
    </row>
    <row r="733" spans="1:1" ht="15.75" customHeight="1">
      <c r="A733" s="245"/>
    </row>
    <row r="734" spans="1:1" ht="15.75" customHeight="1">
      <c r="A734" s="245"/>
    </row>
    <row r="735" spans="1:1" ht="15.75" customHeight="1">
      <c r="A735" s="245"/>
    </row>
    <row r="736" spans="1:1" ht="15.75" customHeight="1">
      <c r="A736" s="245"/>
    </row>
    <row r="737" spans="1:1" ht="15.75" customHeight="1">
      <c r="A737" s="245"/>
    </row>
    <row r="738" spans="1:1" ht="15.75" customHeight="1">
      <c r="A738" s="245"/>
    </row>
    <row r="739" spans="1:1" ht="15.75" customHeight="1">
      <c r="A739" s="245"/>
    </row>
    <row r="740" spans="1:1" ht="15.75" customHeight="1">
      <c r="A740" s="245"/>
    </row>
    <row r="741" spans="1:1" ht="15.75" customHeight="1">
      <c r="A741" s="245"/>
    </row>
    <row r="742" spans="1:1" ht="15.75" customHeight="1">
      <c r="A742" s="245"/>
    </row>
    <row r="743" spans="1:1" ht="15.75" customHeight="1">
      <c r="A743" s="245"/>
    </row>
    <row r="744" spans="1:1" ht="15.75" customHeight="1">
      <c r="A744" s="245"/>
    </row>
    <row r="745" spans="1:1" ht="15.75" customHeight="1">
      <c r="A745" s="245"/>
    </row>
    <row r="746" spans="1:1" ht="15.75" customHeight="1">
      <c r="A746" s="245"/>
    </row>
    <row r="747" spans="1:1" ht="15.75" customHeight="1">
      <c r="A747" s="245"/>
    </row>
    <row r="748" spans="1:1" ht="15.75" customHeight="1">
      <c r="A748" s="245"/>
    </row>
    <row r="749" spans="1:1" ht="15.75" customHeight="1">
      <c r="A749" s="245"/>
    </row>
    <row r="750" spans="1:1" ht="15.75" customHeight="1">
      <c r="A750" s="245"/>
    </row>
    <row r="751" spans="1:1" ht="15.75" customHeight="1">
      <c r="A751" s="245"/>
    </row>
    <row r="752" spans="1:1" ht="15.75" customHeight="1">
      <c r="A752" s="245"/>
    </row>
    <row r="753" spans="1:1" ht="15.75" customHeight="1">
      <c r="A753" s="245"/>
    </row>
    <row r="754" spans="1:1" ht="15.75" customHeight="1">
      <c r="A754" s="245"/>
    </row>
    <row r="755" spans="1:1" ht="15.75" customHeight="1">
      <c r="A755" s="245"/>
    </row>
    <row r="756" spans="1:1" ht="15.75" customHeight="1">
      <c r="A756" s="245"/>
    </row>
    <row r="757" spans="1:1" ht="15.75" customHeight="1">
      <c r="A757" s="245"/>
    </row>
    <row r="758" spans="1:1" ht="15.75" customHeight="1">
      <c r="A758" s="245"/>
    </row>
    <row r="759" spans="1:1" ht="15.75" customHeight="1">
      <c r="A759" s="245"/>
    </row>
    <row r="760" spans="1:1" ht="15.75" customHeight="1">
      <c r="A760" s="245"/>
    </row>
    <row r="761" spans="1:1" ht="15.75" customHeight="1">
      <c r="A761" s="245"/>
    </row>
    <row r="762" spans="1:1" ht="15.75" customHeight="1">
      <c r="A762" s="245"/>
    </row>
    <row r="763" spans="1:1" ht="15.75" customHeight="1">
      <c r="A763" s="245"/>
    </row>
    <row r="764" spans="1:1" ht="15.75" customHeight="1">
      <c r="A764" s="245"/>
    </row>
    <row r="765" spans="1:1" ht="15.75" customHeight="1">
      <c r="A765" s="245"/>
    </row>
    <row r="766" spans="1:1" ht="15.75" customHeight="1">
      <c r="A766" s="245"/>
    </row>
    <row r="767" spans="1:1" ht="15.75" customHeight="1">
      <c r="A767" s="245"/>
    </row>
    <row r="768" spans="1:1" ht="15.75" customHeight="1">
      <c r="A768" s="245"/>
    </row>
    <row r="769" spans="1:1" ht="15.75" customHeight="1">
      <c r="A769" s="245"/>
    </row>
    <row r="770" spans="1:1" ht="15.75" customHeight="1">
      <c r="A770" s="245"/>
    </row>
    <row r="771" spans="1:1" ht="15.75" customHeight="1">
      <c r="A771" s="245"/>
    </row>
    <row r="772" spans="1:1" ht="15.75" customHeight="1">
      <c r="A772" s="245"/>
    </row>
    <row r="773" spans="1:1" ht="15.75" customHeight="1">
      <c r="A773" s="245"/>
    </row>
    <row r="774" spans="1:1" ht="15.75" customHeight="1">
      <c r="A774" s="245"/>
    </row>
    <row r="775" spans="1:1" ht="15.75" customHeight="1">
      <c r="A775" s="245"/>
    </row>
    <row r="776" spans="1:1" ht="15.75" customHeight="1">
      <c r="A776" s="245"/>
    </row>
    <row r="777" spans="1:1" ht="15.75" customHeight="1">
      <c r="A777" s="245"/>
    </row>
    <row r="778" spans="1:1" ht="15.75" customHeight="1">
      <c r="A778" s="245"/>
    </row>
    <row r="779" spans="1:1" ht="15.75" customHeight="1">
      <c r="A779" s="245"/>
    </row>
    <row r="780" spans="1:1" ht="15.75" customHeight="1">
      <c r="A780" s="245"/>
    </row>
    <row r="781" spans="1:1" ht="15.75" customHeight="1">
      <c r="A781" s="245"/>
    </row>
    <row r="782" spans="1:1" ht="15.75" customHeight="1">
      <c r="A782" s="245"/>
    </row>
    <row r="783" spans="1:1" ht="15.75" customHeight="1">
      <c r="A783" s="245"/>
    </row>
    <row r="784" spans="1:1" ht="15.75" customHeight="1">
      <c r="A784" s="245"/>
    </row>
    <row r="785" spans="1:1" ht="15.75" customHeight="1">
      <c r="A785" s="245"/>
    </row>
    <row r="786" spans="1:1" ht="15.75" customHeight="1">
      <c r="A786" s="245"/>
    </row>
    <row r="787" spans="1:1" ht="15.75" customHeight="1">
      <c r="A787" s="245"/>
    </row>
    <row r="788" spans="1:1" ht="15.75" customHeight="1">
      <c r="A788" s="245"/>
    </row>
    <row r="789" spans="1:1" ht="15.75" customHeight="1">
      <c r="A789" s="245"/>
    </row>
    <row r="790" spans="1:1" ht="15.75" customHeight="1">
      <c r="A790" s="245"/>
    </row>
    <row r="791" spans="1:1" ht="15.75" customHeight="1">
      <c r="A791" s="245"/>
    </row>
    <row r="792" spans="1:1" ht="15.75" customHeight="1">
      <c r="A792" s="245"/>
    </row>
    <row r="793" spans="1:1" ht="15.75" customHeight="1">
      <c r="A793" s="245"/>
    </row>
    <row r="794" spans="1:1" ht="15.75" customHeight="1">
      <c r="A794" s="245"/>
    </row>
    <row r="795" spans="1:1" ht="15.75" customHeight="1">
      <c r="A795" s="245"/>
    </row>
    <row r="796" spans="1:1" ht="15.75" customHeight="1">
      <c r="A796" s="245"/>
    </row>
    <row r="797" spans="1:1" ht="15.75" customHeight="1">
      <c r="A797" s="245"/>
    </row>
    <row r="798" spans="1:1" ht="15.75" customHeight="1">
      <c r="A798" s="245"/>
    </row>
    <row r="799" spans="1:1" ht="15.75" customHeight="1">
      <c r="A799" s="245"/>
    </row>
    <row r="800" spans="1:1" ht="15.75" customHeight="1">
      <c r="A800" s="245"/>
    </row>
    <row r="801" spans="1:1" ht="15.75" customHeight="1">
      <c r="A801" s="245"/>
    </row>
    <row r="802" spans="1:1" ht="15.75" customHeight="1">
      <c r="A802" s="245"/>
    </row>
    <row r="803" spans="1:1" ht="15.75" customHeight="1">
      <c r="A803" s="245"/>
    </row>
    <row r="804" spans="1:1" ht="15.75" customHeight="1">
      <c r="A804" s="245"/>
    </row>
    <row r="805" spans="1:1" ht="15.75" customHeight="1">
      <c r="A805" s="245"/>
    </row>
    <row r="806" spans="1:1" ht="15.75" customHeight="1">
      <c r="A806" s="245"/>
    </row>
    <row r="807" spans="1:1" ht="15.75" customHeight="1">
      <c r="A807" s="245"/>
    </row>
    <row r="808" spans="1:1" ht="15.75" customHeight="1">
      <c r="A808" s="245"/>
    </row>
    <row r="809" spans="1:1" ht="15.75" customHeight="1">
      <c r="A809" s="245"/>
    </row>
    <row r="810" spans="1:1" ht="15.75" customHeight="1">
      <c r="A810" s="245"/>
    </row>
    <row r="811" spans="1:1" ht="15.75" customHeight="1">
      <c r="A811" s="245"/>
    </row>
    <row r="812" spans="1:1" ht="15.75" customHeight="1">
      <c r="A812" s="245"/>
    </row>
    <row r="813" spans="1:1" ht="15.75" customHeight="1">
      <c r="A813" s="245"/>
    </row>
    <row r="814" spans="1:1" ht="15.75" customHeight="1">
      <c r="A814" s="245"/>
    </row>
    <row r="815" spans="1:1" ht="15.75" customHeight="1">
      <c r="A815" s="245"/>
    </row>
    <row r="816" spans="1:1" ht="15.75" customHeight="1">
      <c r="A816" s="245"/>
    </row>
    <row r="817" spans="1:1" ht="15.75" customHeight="1">
      <c r="A817" s="245"/>
    </row>
    <row r="818" spans="1:1" ht="15.75" customHeight="1">
      <c r="A818" s="245"/>
    </row>
    <row r="819" spans="1:1" ht="15.75" customHeight="1">
      <c r="A819" s="245"/>
    </row>
    <row r="820" spans="1:1" ht="15.75" customHeight="1">
      <c r="A820" s="245"/>
    </row>
    <row r="821" spans="1:1" ht="15.75" customHeight="1">
      <c r="A821" s="245"/>
    </row>
    <row r="822" spans="1:1" ht="15.75" customHeight="1">
      <c r="A822" s="245"/>
    </row>
    <row r="823" spans="1:1" ht="15.75" customHeight="1">
      <c r="A823" s="245"/>
    </row>
    <row r="824" spans="1:1" ht="15.75" customHeight="1">
      <c r="A824" s="245"/>
    </row>
    <row r="825" spans="1:1" ht="15.75" customHeight="1">
      <c r="A825" s="245"/>
    </row>
    <row r="826" spans="1:1" ht="15.75" customHeight="1">
      <c r="A826" s="245"/>
    </row>
    <row r="827" spans="1:1" ht="15.75" customHeight="1">
      <c r="A827" s="245"/>
    </row>
    <row r="828" spans="1:1" ht="15.75" customHeight="1">
      <c r="A828" s="245"/>
    </row>
    <row r="829" spans="1:1" ht="15.75" customHeight="1">
      <c r="A829" s="245"/>
    </row>
    <row r="830" spans="1:1" ht="15.75" customHeight="1">
      <c r="A830" s="245"/>
    </row>
    <row r="831" spans="1:1" ht="15.75" customHeight="1">
      <c r="A831" s="245"/>
    </row>
    <row r="832" spans="1:1" ht="15.75" customHeight="1">
      <c r="A832" s="245"/>
    </row>
    <row r="833" spans="1:1" ht="15.75" customHeight="1">
      <c r="A833" s="245"/>
    </row>
    <row r="834" spans="1:1" ht="15.75" customHeight="1">
      <c r="A834" s="245"/>
    </row>
    <row r="835" spans="1:1" ht="15.75" customHeight="1">
      <c r="A835" s="245"/>
    </row>
    <row r="836" spans="1:1" ht="15.75" customHeight="1">
      <c r="A836" s="245"/>
    </row>
    <row r="837" spans="1:1" ht="15.75" customHeight="1">
      <c r="A837" s="245"/>
    </row>
    <row r="838" spans="1:1" ht="15.75" customHeight="1">
      <c r="A838" s="245"/>
    </row>
    <row r="839" spans="1:1" ht="15.75" customHeight="1">
      <c r="A839" s="245"/>
    </row>
    <row r="840" spans="1:1" ht="15.75" customHeight="1">
      <c r="A840" s="245"/>
    </row>
    <row r="841" spans="1:1" ht="15.75" customHeight="1">
      <c r="A841" s="245"/>
    </row>
    <row r="842" spans="1:1" ht="15.75" customHeight="1">
      <c r="A842" s="245"/>
    </row>
    <row r="843" spans="1:1" ht="15.75" customHeight="1">
      <c r="A843" s="245"/>
    </row>
    <row r="844" spans="1:1" ht="15.75" customHeight="1">
      <c r="A844" s="245"/>
    </row>
    <row r="845" spans="1:1" ht="15.75" customHeight="1">
      <c r="A845" s="245"/>
    </row>
    <row r="846" spans="1:1" ht="15.75" customHeight="1">
      <c r="A846" s="245"/>
    </row>
    <row r="847" spans="1:1" ht="15.75" customHeight="1">
      <c r="A847" s="245"/>
    </row>
    <row r="848" spans="1:1" ht="15.75" customHeight="1">
      <c r="A848" s="245"/>
    </row>
    <row r="849" spans="1:1" ht="15.75" customHeight="1">
      <c r="A849" s="245"/>
    </row>
    <row r="850" spans="1:1" ht="15.75" customHeight="1">
      <c r="A850" s="245"/>
    </row>
    <row r="851" spans="1:1" ht="15.75" customHeight="1">
      <c r="A851" s="245"/>
    </row>
    <row r="852" spans="1:1" ht="15.75" customHeight="1">
      <c r="A852" s="245"/>
    </row>
    <row r="853" spans="1:1" ht="15.75" customHeight="1">
      <c r="A853" s="245"/>
    </row>
    <row r="854" spans="1:1" ht="15.75" customHeight="1">
      <c r="A854" s="245"/>
    </row>
    <row r="855" spans="1:1" ht="15.75" customHeight="1">
      <c r="A855" s="245"/>
    </row>
    <row r="856" spans="1:1" ht="15.75" customHeight="1">
      <c r="A856" s="245"/>
    </row>
    <row r="857" spans="1:1" ht="15.75" customHeight="1">
      <c r="A857" s="245"/>
    </row>
    <row r="858" spans="1:1" ht="15.75" customHeight="1">
      <c r="A858" s="245"/>
    </row>
    <row r="859" spans="1:1" ht="15.75" customHeight="1">
      <c r="A859" s="245"/>
    </row>
    <row r="860" spans="1:1" ht="15.75" customHeight="1">
      <c r="A860" s="245"/>
    </row>
    <row r="861" spans="1:1" ht="15.75" customHeight="1">
      <c r="A861" s="245"/>
    </row>
    <row r="862" spans="1:1" ht="15.75" customHeight="1">
      <c r="A862" s="245"/>
    </row>
    <row r="863" spans="1:1" ht="15.75" customHeight="1">
      <c r="A863" s="245"/>
    </row>
    <row r="864" spans="1:1" ht="15.75" customHeight="1">
      <c r="A864" s="245"/>
    </row>
    <row r="865" spans="1:1" ht="15.75" customHeight="1">
      <c r="A865" s="245"/>
    </row>
    <row r="866" spans="1:1" ht="15.75" customHeight="1">
      <c r="A866" s="245"/>
    </row>
    <row r="867" spans="1:1" ht="15.75" customHeight="1">
      <c r="A867" s="245"/>
    </row>
    <row r="868" spans="1:1" ht="15.75" customHeight="1">
      <c r="A868" s="245"/>
    </row>
    <row r="869" spans="1:1" ht="15.75" customHeight="1">
      <c r="A869" s="245"/>
    </row>
    <row r="870" spans="1:1" ht="15.75" customHeight="1">
      <c r="A870" s="245"/>
    </row>
    <row r="871" spans="1:1" ht="15.75" customHeight="1">
      <c r="A871" s="245"/>
    </row>
    <row r="872" spans="1:1" ht="15.75" customHeight="1">
      <c r="A872" s="245"/>
    </row>
    <row r="873" spans="1:1" ht="15.75" customHeight="1">
      <c r="A873" s="245"/>
    </row>
    <row r="874" spans="1:1" ht="15.75" customHeight="1">
      <c r="A874" s="245"/>
    </row>
    <row r="875" spans="1:1" ht="15.75" customHeight="1">
      <c r="A875" s="245"/>
    </row>
    <row r="876" spans="1:1" ht="15.75" customHeight="1">
      <c r="A876" s="245"/>
    </row>
    <row r="877" spans="1:1" ht="15.75" customHeight="1">
      <c r="A877" s="245"/>
    </row>
    <row r="878" spans="1:1" ht="15.75" customHeight="1">
      <c r="A878" s="245"/>
    </row>
    <row r="879" spans="1:1" ht="15.75" customHeight="1">
      <c r="A879" s="245"/>
    </row>
    <row r="880" spans="1:1" ht="15.75" customHeight="1">
      <c r="A880" s="245"/>
    </row>
    <row r="881" spans="1:1" ht="15.75" customHeight="1">
      <c r="A881" s="245"/>
    </row>
    <row r="882" spans="1:1" ht="15.75" customHeight="1">
      <c r="A882" s="245"/>
    </row>
    <row r="883" spans="1:1" ht="15.75" customHeight="1">
      <c r="A883" s="245"/>
    </row>
    <row r="884" spans="1:1" ht="15.75" customHeight="1">
      <c r="A884" s="245"/>
    </row>
    <row r="885" spans="1:1" ht="15.75" customHeight="1">
      <c r="A885" s="245"/>
    </row>
    <row r="886" spans="1:1" ht="15.75" customHeight="1">
      <c r="A886" s="245"/>
    </row>
    <row r="887" spans="1:1" ht="15.75" customHeight="1">
      <c r="A887" s="245"/>
    </row>
    <row r="888" spans="1:1" ht="15.75" customHeight="1">
      <c r="A888" s="245"/>
    </row>
    <row r="889" spans="1:1" ht="15.75" customHeight="1">
      <c r="A889" s="245"/>
    </row>
    <row r="890" spans="1:1" ht="15.75" customHeight="1">
      <c r="A890" s="245"/>
    </row>
    <row r="891" spans="1:1" ht="15.75" customHeight="1">
      <c r="A891" s="245"/>
    </row>
    <row r="892" spans="1:1" ht="15.75" customHeight="1">
      <c r="A892" s="245"/>
    </row>
    <row r="893" spans="1:1" ht="15.75" customHeight="1">
      <c r="A893" s="245"/>
    </row>
    <row r="894" spans="1:1" ht="15.75" customHeight="1">
      <c r="A894" s="245"/>
    </row>
    <row r="895" spans="1:1" ht="15.75" customHeight="1">
      <c r="A895" s="245"/>
    </row>
    <row r="896" spans="1:1" ht="15.75" customHeight="1">
      <c r="A896" s="245"/>
    </row>
    <row r="897" spans="1:1" ht="15.75" customHeight="1">
      <c r="A897" s="245"/>
    </row>
    <row r="898" spans="1:1" ht="15.75" customHeight="1">
      <c r="A898" s="245"/>
    </row>
    <row r="899" spans="1:1" ht="15.75" customHeight="1">
      <c r="A899" s="245"/>
    </row>
    <row r="900" spans="1:1" ht="15.75" customHeight="1">
      <c r="A900" s="245"/>
    </row>
    <row r="901" spans="1:1" ht="15.75" customHeight="1">
      <c r="A901" s="245"/>
    </row>
    <row r="902" spans="1:1" ht="15.75" customHeight="1">
      <c r="A902" s="245"/>
    </row>
    <row r="903" spans="1:1" ht="15.75" customHeight="1">
      <c r="A903" s="245"/>
    </row>
    <row r="904" spans="1:1" ht="15.75" customHeight="1">
      <c r="A904" s="245"/>
    </row>
    <row r="905" spans="1:1" ht="15.75" customHeight="1">
      <c r="A905" s="245"/>
    </row>
    <row r="906" spans="1:1" ht="15.75" customHeight="1">
      <c r="A906" s="245"/>
    </row>
    <row r="907" spans="1:1" ht="15.75" customHeight="1">
      <c r="A907" s="245"/>
    </row>
    <row r="908" spans="1:1" ht="15.75" customHeight="1">
      <c r="A908" s="245"/>
    </row>
    <row r="909" spans="1:1" ht="15.75" customHeight="1">
      <c r="A909" s="245"/>
    </row>
    <row r="910" spans="1:1" ht="15.75" customHeight="1">
      <c r="A910" s="245"/>
    </row>
    <row r="911" spans="1:1" ht="15.75" customHeight="1">
      <c r="A911" s="245"/>
    </row>
    <row r="912" spans="1:1" ht="15.75" customHeight="1">
      <c r="A912" s="245"/>
    </row>
    <row r="913" spans="1:1" ht="15.75" customHeight="1">
      <c r="A913" s="245"/>
    </row>
    <row r="914" spans="1:1" ht="15.75" customHeight="1">
      <c r="A914" s="245"/>
    </row>
    <row r="915" spans="1:1" ht="15.75" customHeight="1">
      <c r="A915" s="245"/>
    </row>
    <row r="916" spans="1:1" ht="15.75" customHeight="1">
      <c r="A916" s="245"/>
    </row>
    <row r="917" spans="1:1" ht="15.75" customHeight="1">
      <c r="A917" s="245"/>
    </row>
    <row r="918" spans="1:1" ht="15.75" customHeight="1">
      <c r="A918" s="245"/>
    </row>
    <row r="919" spans="1:1" ht="15.75" customHeight="1">
      <c r="A919" s="245"/>
    </row>
    <row r="920" spans="1:1" ht="15.75" customHeight="1">
      <c r="A920" s="245"/>
    </row>
    <row r="921" spans="1:1" ht="15.75" customHeight="1">
      <c r="A921" s="245"/>
    </row>
    <row r="922" spans="1:1" ht="15.75" customHeight="1">
      <c r="A922" s="245"/>
    </row>
    <row r="923" spans="1:1" ht="15.75" customHeight="1">
      <c r="A923" s="245"/>
    </row>
    <row r="924" spans="1:1" ht="15.75" customHeight="1">
      <c r="A924" s="245"/>
    </row>
    <row r="925" spans="1:1" ht="15.75" customHeight="1">
      <c r="A925" s="245"/>
    </row>
    <row r="926" spans="1:1" ht="15.75" customHeight="1">
      <c r="A926" s="245"/>
    </row>
    <row r="927" spans="1:1" ht="15.75" customHeight="1">
      <c r="A927" s="245"/>
    </row>
    <row r="928" spans="1:1" ht="15.75" customHeight="1">
      <c r="A928" s="245"/>
    </row>
    <row r="929" spans="1:1" ht="15.75" customHeight="1">
      <c r="A929" s="245"/>
    </row>
    <row r="930" spans="1:1" ht="15.75" customHeight="1">
      <c r="A930" s="245"/>
    </row>
    <row r="931" spans="1:1" ht="15.75" customHeight="1">
      <c r="A931" s="245"/>
    </row>
    <row r="932" spans="1:1" ht="15.75" customHeight="1">
      <c r="A932" s="245"/>
    </row>
    <row r="933" spans="1:1" ht="15.75" customHeight="1">
      <c r="A933" s="245"/>
    </row>
    <row r="934" spans="1:1" ht="15.75" customHeight="1">
      <c r="A934" s="245"/>
    </row>
    <row r="935" spans="1:1" ht="15.75" customHeight="1">
      <c r="A935" s="245"/>
    </row>
    <row r="936" spans="1:1" ht="15.75" customHeight="1">
      <c r="A936" s="245"/>
    </row>
    <row r="937" spans="1:1" ht="15.75" customHeight="1">
      <c r="A937" s="245"/>
    </row>
    <row r="938" spans="1:1" ht="15.75" customHeight="1">
      <c r="A938" s="245"/>
    </row>
    <row r="939" spans="1:1" ht="15.75" customHeight="1">
      <c r="A939" s="245"/>
    </row>
    <row r="940" spans="1:1" ht="15.75" customHeight="1">
      <c r="A940" s="245"/>
    </row>
    <row r="941" spans="1:1" ht="15.75" customHeight="1">
      <c r="A941" s="245"/>
    </row>
    <row r="942" spans="1:1" ht="15.75" customHeight="1">
      <c r="A942" s="245"/>
    </row>
    <row r="943" spans="1:1" ht="15.75" customHeight="1">
      <c r="A943" s="245"/>
    </row>
    <row r="944" spans="1:1" ht="15.75" customHeight="1">
      <c r="A944" s="245"/>
    </row>
    <row r="945" spans="1:1" ht="15.75" customHeight="1">
      <c r="A945" s="245"/>
    </row>
    <row r="946" spans="1:1" ht="15.75" customHeight="1">
      <c r="A946" s="245"/>
    </row>
    <row r="947" spans="1:1" ht="15.75" customHeight="1">
      <c r="A947" s="245"/>
    </row>
    <row r="948" spans="1:1" ht="15.75" customHeight="1">
      <c r="A948" s="245"/>
    </row>
    <row r="949" spans="1:1" ht="15.75" customHeight="1">
      <c r="A949" s="245"/>
    </row>
    <row r="950" spans="1:1" ht="15.75" customHeight="1">
      <c r="A950" s="245"/>
    </row>
    <row r="951" spans="1:1" ht="15.75" customHeight="1">
      <c r="A951" s="245"/>
    </row>
    <row r="952" spans="1:1" ht="15.75" customHeight="1">
      <c r="A952" s="245"/>
    </row>
    <row r="953" spans="1:1" ht="15.75" customHeight="1">
      <c r="A953" s="245"/>
    </row>
    <row r="954" spans="1:1" ht="15.75" customHeight="1">
      <c r="A954" s="245"/>
    </row>
    <row r="955" spans="1:1" ht="15.75" customHeight="1">
      <c r="A955" s="245"/>
    </row>
    <row r="956" spans="1:1" ht="15.75" customHeight="1">
      <c r="A956" s="245"/>
    </row>
    <row r="957" spans="1:1" ht="15.75" customHeight="1">
      <c r="A957" s="245"/>
    </row>
    <row r="958" spans="1:1" ht="15.75" customHeight="1">
      <c r="A958" s="245"/>
    </row>
    <row r="959" spans="1:1" ht="15.75" customHeight="1">
      <c r="A959" s="245"/>
    </row>
    <row r="960" spans="1:1" ht="15.75" customHeight="1">
      <c r="A960" s="245"/>
    </row>
    <row r="961" spans="1:1" ht="15.75" customHeight="1">
      <c r="A961" s="245"/>
    </row>
    <row r="962" spans="1:1" ht="15.75" customHeight="1">
      <c r="A962" s="245"/>
    </row>
    <row r="963" spans="1:1" ht="15.75" customHeight="1">
      <c r="A963" s="245"/>
    </row>
    <row r="964" spans="1:1" ht="15.75" customHeight="1">
      <c r="A964" s="245"/>
    </row>
    <row r="965" spans="1:1" ht="15.75" customHeight="1">
      <c r="A965" s="245"/>
    </row>
    <row r="966" spans="1:1" ht="15.75" customHeight="1">
      <c r="A966" s="245"/>
    </row>
    <row r="967" spans="1:1" ht="15.75" customHeight="1">
      <c r="A967" s="245"/>
    </row>
    <row r="968" spans="1:1" ht="15.75" customHeight="1">
      <c r="A968" s="245"/>
    </row>
    <row r="969" spans="1:1" ht="15.75" customHeight="1">
      <c r="A969" s="245"/>
    </row>
    <row r="970" spans="1:1" ht="15.75" customHeight="1">
      <c r="A970" s="245"/>
    </row>
    <row r="971" spans="1:1" ht="15.75" customHeight="1">
      <c r="A971" s="245"/>
    </row>
    <row r="972" spans="1:1" ht="15.75" customHeight="1">
      <c r="A972" s="245"/>
    </row>
    <row r="973" spans="1:1" ht="15.75" customHeight="1">
      <c r="A973" s="245"/>
    </row>
    <row r="974" spans="1:1" ht="15.75" customHeight="1">
      <c r="A974" s="245"/>
    </row>
    <row r="975" spans="1:1" ht="15.75" customHeight="1">
      <c r="A975" s="245"/>
    </row>
    <row r="976" spans="1:1" ht="15.75" customHeight="1">
      <c r="A976" s="245"/>
    </row>
    <row r="977" spans="1:1" ht="15.75" customHeight="1">
      <c r="A977" s="245"/>
    </row>
    <row r="978" spans="1:1" ht="15.75" customHeight="1">
      <c r="A978" s="245"/>
    </row>
    <row r="979" spans="1:1" ht="15.75" customHeight="1">
      <c r="A979" s="245"/>
    </row>
    <row r="980" spans="1:1" ht="15.75" customHeight="1">
      <c r="A980" s="245"/>
    </row>
    <row r="981" spans="1:1" ht="15.75" customHeight="1">
      <c r="A981" s="245"/>
    </row>
    <row r="982" spans="1:1" ht="15.75" customHeight="1">
      <c r="A982" s="245"/>
    </row>
    <row r="983" spans="1:1" ht="15.75" customHeight="1">
      <c r="A983" s="245"/>
    </row>
    <row r="984" spans="1:1" ht="15.75" customHeight="1">
      <c r="A984" s="245"/>
    </row>
    <row r="985" spans="1:1" ht="15.75" customHeight="1">
      <c r="A985" s="245"/>
    </row>
    <row r="986" spans="1:1" ht="15.75" customHeight="1">
      <c r="A986" s="245"/>
    </row>
    <row r="987" spans="1:1" ht="15.75" customHeight="1">
      <c r="A987" s="245"/>
    </row>
    <row r="988" spans="1:1" ht="15.75" customHeight="1">
      <c r="A988" s="245"/>
    </row>
    <row r="989" spans="1:1" ht="15.75" customHeight="1">
      <c r="A989" s="245"/>
    </row>
    <row r="990" spans="1:1" ht="15.75" customHeight="1">
      <c r="A990" s="245"/>
    </row>
    <row r="991" spans="1:1" ht="15.75" customHeight="1">
      <c r="A991" s="245"/>
    </row>
    <row r="992" spans="1:1" ht="15.75" customHeight="1">
      <c r="A992" s="245"/>
    </row>
    <row r="993" spans="1:1" ht="15.75" customHeight="1">
      <c r="A993" s="245"/>
    </row>
    <row r="994" spans="1:1" ht="15.75" customHeight="1">
      <c r="A994" s="245"/>
    </row>
    <row r="995" spans="1:1" ht="15.75" customHeight="1">
      <c r="A995" s="245"/>
    </row>
    <row r="996" spans="1:1" ht="15.75" customHeight="1">
      <c r="A996" s="245"/>
    </row>
    <row r="997" spans="1:1" ht="15.75" customHeight="1">
      <c r="A997" s="245"/>
    </row>
    <row r="998" spans="1:1" ht="15.75" customHeight="1">
      <c r="A998" s="245"/>
    </row>
    <row r="999" spans="1:1" ht="15.75" customHeight="1">
      <c r="A999" s="245"/>
    </row>
    <row r="1000" spans="1:1" ht="15.75" customHeight="1">
      <c r="A1000" s="24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</vt:lpstr>
      <vt:lpstr>RUBROS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PC</cp:lastModifiedBy>
  <dcterms:created xsi:type="dcterms:W3CDTF">2016-02-11T13:10:01Z</dcterms:created>
  <dcterms:modified xsi:type="dcterms:W3CDTF">2026-01-16T15:25:09Z</dcterms:modified>
</cp:coreProperties>
</file>