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pivotTables/pivotTable1.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Total" sheetId="1" r:id="rId1"/>
    <sheet name="Vigentes" sheetId="4" r:id="rId2"/>
    <sheet name="Hoja2" sheetId="2" r:id="rId3"/>
    <sheet name="Hoja3" sheetId="3" r:id="rId4"/>
  </sheets>
  <calcPr calcId="124519"/>
  <pivotCaches>
    <pivotCache cacheId="1" r:id="rId5"/>
  </pivotCaches>
</workbook>
</file>

<file path=xl/calcChain.xml><?xml version="1.0" encoding="utf-8"?>
<calcChain xmlns="http://schemas.openxmlformats.org/spreadsheetml/2006/main">
  <c r="K2" i="1"/>
  <c r="K74"/>
  <c r="K7"/>
  <c r="K11"/>
  <c r="K18"/>
  <c r="K22"/>
  <c r="K21"/>
  <c r="K13"/>
  <c r="K12"/>
  <c r="K20"/>
  <c r="K24"/>
  <c r="K28"/>
  <c r="K17"/>
  <c r="K34"/>
  <c r="K30"/>
  <c r="K29"/>
  <c r="K44"/>
  <c r="K43"/>
  <c r="K33"/>
  <c r="K35"/>
  <c r="K37"/>
  <c r="K45"/>
  <c r="K31"/>
  <c r="K23"/>
  <c r="K42"/>
  <c r="K16"/>
  <c r="K48"/>
  <c r="K27"/>
  <c r="K36"/>
  <c r="K40"/>
  <c r="K51"/>
  <c r="K5"/>
  <c r="K15"/>
  <c r="K55"/>
  <c r="K46"/>
  <c r="K57"/>
  <c r="K4"/>
  <c r="K73"/>
  <c r="K41"/>
  <c r="K19"/>
  <c r="K39"/>
  <c r="K72"/>
  <c r="K61"/>
  <c r="K47"/>
  <c r="K54"/>
  <c r="K62"/>
  <c r="K71"/>
  <c r="K26"/>
  <c r="K70"/>
  <c r="K58"/>
  <c r="K6"/>
  <c r="K49"/>
  <c r="K25"/>
  <c r="K56"/>
  <c r="K50"/>
  <c r="K52"/>
  <c r="K3"/>
  <c r="K65"/>
  <c r="K66"/>
  <c r="K32"/>
  <c r="K69"/>
  <c r="K53"/>
  <c r="K8"/>
  <c r="K60"/>
  <c r="K63"/>
  <c r="K64"/>
  <c r="K9"/>
  <c r="K38"/>
  <c r="K14"/>
  <c r="K68"/>
  <c r="K59"/>
  <c r="K10"/>
  <c r="K67"/>
</calcChain>
</file>

<file path=xl/sharedStrings.xml><?xml version="1.0" encoding="utf-8"?>
<sst xmlns="http://schemas.openxmlformats.org/spreadsheetml/2006/main" count="546" uniqueCount="411">
  <si>
    <t>CAA</t>
  </si>
  <si>
    <t>RAZÓN SOCIAL</t>
  </si>
  <si>
    <t>EXPTE. DPA</t>
  </si>
  <si>
    <t>DOMICILIO</t>
  </si>
  <si>
    <t>LOC.</t>
  </si>
  <si>
    <t>CORRIENTES AUTORIZADAS</t>
  </si>
  <si>
    <t>VTO.</t>
  </si>
  <si>
    <t>VIGENCIA</t>
  </si>
  <si>
    <t>T - 000001</t>
  </si>
  <si>
    <t>FELIPE ANDREU E HIJOS S.A.</t>
  </si>
  <si>
    <t>Acceso Sur Km. 14</t>
  </si>
  <si>
    <t>Luján de Cuyo</t>
  </si>
  <si>
    <t>Y8/Y9/Y11/Y18/Y35</t>
  </si>
  <si>
    <t>T - 000002</t>
  </si>
  <si>
    <t>MANNOR HAUSE SA</t>
  </si>
  <si>
    <t>2019-2380742</t>
  </si>
  <si>
    <t>Rodriguez Peña 2800</t>
  </si>
  <si>
    <t>Coquimbito - Maipú</t>
  </si>
  <si>
    <t>Y8/Y9/Y48</t>
  </si>
  <si>
    <t>T - 000003</t>
  </si>
  <si>
    <t>HIGH PRESSURE &amp; VACUUM PETROLEUM SERVICES S.A.</t>
  </si>
  <si>
    <t>Viamonte 1454 5º Piso Oficina 3</t>
  </si>
  <si>
    <t>CABA</t>
  </si>
  <si>
    <t>Y8/Y9</t>
  </si>
  <si>
    <t>T - 000004</t>
  </si>
  <si>
    <t>CORAVAL de AVALOS, Manuel Antonio</t>
  </si>
  <si>
    <t>Martín Güemes 237</t>
  </si>
  <si>
    <t xml:space="preserve">Godoy Cruz </t>
  </si>
  <si>
    <t>T - 000005</t>
  </si>
  <si>
    <t>ALFA SERVICE</t>
  </si>
  <si>
    <t>2018-3019494</t>
  </si>
  <si>
    <t>Calle 3 PIP</t>
  </si>
  <si>
    <t>Distrito Industrial - Luján de Cuyo</t>
  </si>
  <si>
    <t>Y4/Y5/Y6/Y7/Y8/Y9/Y10/Y11/Y12/Y13/Y14/Y16/Y17/Y18/Y22/Y23/Y29/Y31/Y33/Y34/Y35/Y36/Y38/Y39/Y41/Y42/Y48</t>
  </si>
  <si>
    <t>T - 000006</t>
  </si>
  <si>
    <t>AB CONTROL S.A.</t>
  </si>
  <si>
    <t>Urquiza 270</t>
  </si>
  <si>
    <t>Godoy Cruz</t>
  </si>
  <si>
    <t>Y8/Y9/Y10/Y11/Y12/Y13/Y16/Y18/Y22/Y31/Y41/Y42/Y48</t>
  </si>
  <si>
    <t xml:space="preserve">T - 000007 </t>
  </si>
  <si>
    <t>CONSTRUMIN S.R.L.</t>
  </si>
  <si>
    <t>2018-4505337</t>
  </si>
  <si>
    <t>Pasaje Dummint s/n</t>
  </si>
  <si>
    <t>Y8/Y9/Y11/Y12/Y13/Y18/Y34/Y35/Y48</t>
  </si>
  <si>
    <t>T - 000008</t>
  </si>
  <si>
    <t>TRANSPORTE LORIA HNOS.</t>
  </si>
  <si>
    <t>20 de Setiembre 349</t>
  </si>
  <si>
    <t>Y18/Y35/Y48</t>
  </si>
  <si>
    <t>T - 000009</t>
  </si>
  <si>
    <t>SERVIAL S.R.L.</t>
  </si>
  <si>
    <t>Isabel la Católica 76</t>
  </si>
  <si>
    <t>Ciudad</t>
  </si>
  <si>
    <t>T - 000010</t>
  </si>
  <si>
    <t>SCAFI S.A.</t>
  </si>
  <si>
    <t>Naciones Unidas 315</t>
  </si>
  <si>
    <t>Maipú</t>
  </si>
  <si>
    <t>Y8/Y9/Y11/Y18/Y35/Y48</t>
  </si>
  <si>
    <t>T - 000011</t>
  </si>
  <si>
    <t>LA HIGIÉNICA</t>
  </si>
  <si>
    <t>Rodriguez Peña 7200</t>
  </si>
  <si>
    <t>Y6/Y8/Y9/Y10/Y11/Y12/Y13/Y16/Y17/Y18/Y22/Y31/Y34/Y35/Y39/Y40/Y41/Y42/Y43/Y44/Y45/Y48</t>
  </si>
  <si>
    <t>T - 000012</t>
  </si>
  <si>
    <t>CLEAR S.R.L.</t>
  </si>
  <si>
    <t>Del Abra y Pública</t>
  </si>
  <si>
    <t xml:space="preserve">  Y8/Y9/Y11/Y12/Y18/Y35/Y36/Y48 </t>
  </si>
  <si>
    <t>T - 000013</t>
  </si>
  <si>
    <t>ENSI S.E.</t>
  </si>
  <si>
    <t>Y10</t>
  </si>
  <si>
    <t>T - 000014</t>
  </si>
  <si>
    <t>CONTRINI S.R.L.</t>
  </si>
  <si>
    <t>Tacuari 951</t>
  </si>
  <si>
    <t>Y4/Y5/Y6/Y7/Y8/Y9/Y10/Y11/Y12/Y13/Y14/Y16/Y17/Y18/Y19/Y20/Y21/Y22/Y23/Y24/Y25/26/Y27/Y28/Y29/Y30/Y31/Y32/Y33/Y34/Y35/Y36/Y37/Y38/Y39/Y40/Y41/Y42/Y48</t>
  </si>
  <si>
    <t>T - 000015</t>
  </si>
  <si>
    <t>TEC MIN S.A.</t>
  </si>
  <si>
    <t>Lateral este del Acceso Sur Km. 16</t>
  </si>
  <si>
    <t>Y18/Y34/Y35/Y48</t>
  </si>
  <si>
    <t>T - 000016</t>
  </si>
  <si>
    <t>MOYA RODOLFO</t>
  </si>
  <si>
    <t>Ruta Pcial. Nº 52 Km. 17,5</t>
  </si>
  <si>
    <t>Las Heras</t>
  </si>
  <si>
    <t>Y8/Y9/Y16/Y42</t>
  </si>
  <si>
    <t>T - 000017</t>
  </si>
  <si>
    <t>HDS SERVICIOS S.A.</t>
  </si>
  <si>
    <t>A. Guiñazu 435</t>
  </si>
  <si>
    <t>T - 000018</t>
  </si>
  <si>
    <t>DELTACOM S.A.</t>
  </si>
  <si>
    <t>2018-4129187</t>
  </si>
  <si>
    <t>Lat. oeste Acceso Sur s/n esq Rawson</t>
  </si>
  <si>
    <t>Y4/Y5/Y6/Y7/Y8/Y9/Y10/Y11/Y12/Y13/Y14/Y15/Y16/Y17/Y18/Y19/Y20/Y21/Y22/Y23/Y24/Y25/Y26/Y27/Y28/Y29/Y30/Y31/Y32/Y33/Y34/Y35/Y36/Y37/Y38/Y39/Y40/Y41/Y42/Y43/Y44/Y45/Y48</t>
  </si>
  <si>
    <t>T-  000019</t>
  </si>
  <si>
    <t>YASER SRL</t>
  </si>
  <si>
    <t>Belgrano 91</t>
  </si>
  <si>
    <t>San Martín</t>
  </si>
  <si>
    <t>Y87Y9/Y16/Y17/Y18/Y35/Y42/Y48</t>
  </si>
  <si>
    <t>T - 000020</t>
  </si>
  <si>
    <t>EDUARDO BRESCA SA - MERCOPAK</t>
  </si>
  <si>
    <t>Independencia 81</t>
  </si>
  <si>
    <t>T - 000021</t>
  </si>
  <si>
    <t>GABINO CELSO CORREA SRL</t>
  </si>
  <si>
    <t>Ruta Provincial N7, km 6, PIN Oeste</t>
  </si>
  <si>
    <t>Neuquén</t>
  </si>
  <si>
    <t>Y7/Y8/Y9/Y17/Y18/Y48</t>
  </si>
  <si>
    <t>T - 000022</t>
  </si>
  <si>
    <t>IVANA DINA PAGLIAFORA</t>
  </si>
  <si>
    <t>2019-1971053</t>
  </si>
  <si>
    <t>Altos Hornos de Zapla y Callejón Comunero s/n</t>
  </si>
  <si>
    <t>Y4/Y5/Y6/Y7/Y8/Y9/Y10/Y11/Y12/Y13/Y14/Y16/Y17/Y18/Y19/Y20/Y21/Y22/Y23/Y24/Y25/Y26/Y27/Y28/Y29/Y30/Y31/Y32/Y33/Y34/Y35/Y36/Y37/Y38/Y39/Y40/Y41/Y42/Y48</t>
  </si>
  <si>
    <t>T - 000023</t>
  </si>
  <si>
    <t>TRANSPORTE LORIA E HIJOS</t>
  </si>
  <si>
    <t>Y4/Y8/Y9/Y11/Y12/Y18/Y34/Y35/Y39/Y42/Y48</t>
  </si>
  <si>
    <t>T - 000024</t>
  </si>
  <si>
    <t>TODOTRANS S.A.</t>
  </si>
  <si>
    <t>2018-2455438</t>
  </si>
  <si>
    <t xml:space="preserve">Pasaje Dummint s/n </t>
  </si>
  <si>
    <t>Y6/Y8/Y9/Y11/Y12/Y18/Y35/Y48</t>
  </si>
  <si>
    <t>T - 000025</t>
  </si>
  <si>
    <t>SERVICIOS DEL OESTE</t>
  </si>
  <si>
    <t>San Martín 670</t>
  </si>
  <si>
    <t>Y8/Y9/Y11/Y12/Y18/Y48</t>
  </si>
  <si>
    <t>T - 000026</t>
  </si>
  <si>
    <t>DELTALIQ S.A.</t>
  </si>
  <si>
    <t>Sarmiento 250 5° Piso Dpto. G</t>
  </si>
  <si>
    <t>Y6/Y8/Y9/Y13/Y14/Y16/Y17/Y18/Y19/Y20/Y21/Y22/Y23/Y24/Y25/Y26/Y27/Y28/Y29/Y30/Y31/Y32/Y33/Y34/Y35/Y39/Y40/Y41/Y42/Y43/Y44/Y45/Y48</t>
  </si>
  <si>
    <t>T - 000027</t>
  </si>
  <si>
    <t>ECOCHEM S.A.</t>
  </si>
  <si>
    <t>2019-3104132</t>
  </si>
  <si>
    <t>Los Reyunos2469</t>
  </si>
  <si>
    <t>Guaymallén</t>
  </si>
  <si>
    <t>T - 000028</t>
  </si>
  <si>
    <t>RESPAT S.A.</t>
  </si>
  <si>
    <t>Av. España 2350 2º piso dpto.59 Ciudad Mendoza</t>
  </si>
  <si>
    <t>Y8/Y9/Y18</t>
  </si>
  <si>
    <t>T - 000029</t>
  </si>
  <si>
    <t>T - 000030</t>
  </si>
  <si>
    <t>TERRA PUMPIDA S.A.</t>
  </si>
  <si>
    <t>Caramelo 424</t>
  </si>
  <si>
    <t>Y8/Y9/Y11/Y12/Y18/Y35/Y48</t>
  </si>
  <si>
    <t>T - 000031</t>
  </si>
  <si>
    <t>TRANS ECOLÓGICA S.R.L.</t>
  </si>
  <si>
    <t>Mariano Moreno 1088</t>
  </si>
  <si>
    <t>Santa Cruz</t>
  </si>
  <si>
    <t>Y6/Y8/Y9/Y11/Y12/Y13/Y16/Y17/Y18/Y29/Y34/Y35/Y36/Y41/Y48</t>
  </si>
  <si>
    <t>T - 000032</t>
  </si>
  <si>
    <t>DUST &amp; PETROL SOLUTIONS S.A.</t>
  </si>
  <si>
    <t>Ruta 15 Km 27.5</t>
  </si>
  <si>
    <t>Y5/Y6/Y7/Y8/Y9/Y10/Y11/Y12/Y13/Y14/Y16/Y17/Y18/Y19/Y20/Y21/Y22/Y23/Y24/Y25/Y26/Y27/Y28/Y29/Y30/Y31/Y32/Y33/Y34/Y35/Y36/Y37/Y38/Y39/Y40/Y41/Y42/Y44/Y45/Y48</t>
  </si>
  <si>
    <t>T - 000033</t>
  </si>
  <si>
    <t>SAVINI S.A.</t>
  </si>
  <si>
    <t>Pedro molina 461 PB dpto. 10</t>
  </si>
  <si>
    <t>T - 000034</t>
  </si>
  <si>
    <t>SEGAR SAMI Y C.</t>
  </si>
  <si>
    <t>Godoy Cruz 45</t>
  </si>
  <si>
    <t>Y4/Y5/Y6/Y8/Y9/Y10/Y11/Y12/Y13/Y18/Y21/Y22/Y23/Y24/Y25/Y29/Y31/Y34/Y35/Y48</t>
  </si>
  <si>
    <t>T - 000035</t>
  </si>
  <si>
    <t>COMPAÑÍA TSB S.A.</t>
  </si>
  <si>
    <t>2018-4129207</t>
  </si>
  <si>
    <t>Ruta 40 km 22</t>
  </si>
  <si>
    <t>Perdriel - Luján de Cuyo</t>
  </si>
  <si>
    <t>T - 000036</t>
  </si>
  <si>
    <t>NUEVA SILGEN S.A.</t>
  </si>
  <si>
    <t>Libertad 751</t>
  </si>
  <si>
    <t>T - 000037</t>
  </si>
  <si>
    <t>MEGAPAT de CAICEDO, Jorge Enrique</t>
  </si>
  <si>
    <t>Mármol 193</t>
  </si>
  <si>
    <t>T - 000038</t>
  </si>
  <si>
    <t>TRANSPORTES PETROLTRANS S.R.L.</t>
  </si>
  <si>
    <t>2018-3284020</t>
  </si>
  <si>
    <t>Av. Acceso Sur 4389</t>
  </si>
  <si>
    <t>Drummond - Luján de Cuyo</t>
  </si>
  <si>
    <t>Y8/Y9/Y11/Y18/Y34/Y35/Y48</t>
  </si>
  <si>
    <t>T - 000041</t>
  </si>
  <si>
    <t>KAMAY S.A.</t>
  </si>
  <si>
    <t>Acceso Sur 4001</t>
  </si>
  <si>
    <t>Y8/Y9/Y11/YY18/Y34/Y35/Y42/Y48</t>
  </si>
  <si>
    <t>T - 000042</t>
  </si>
  <si>
    <t>DIAP RAFAEL FELIX</t>
  </si>
  <si>
    <t>Balcarce 185</t>
  </si>
  <si>
    <t>Y8/Y9/Y11/Y18/Y34/Y42/Y48</t>
  </si>
  <si>
    <t>T - 000043</t>
  </si>
  <si>
    <t>AUSTRAL ECOLOGY SERVICE</t>
  </si>
  <si>
    <t xml:space="preserve">Sarmiento 2857 Luzuriaga </t>
  </si>
  <si>
    <t>Y4/Y5/Y6/Y8/Y9/Y48</t>
  </si>
  <si>
    <t>T - 000044</t>
  </si>
  <si>
    <t>CONEVIAL CONSTRUCTORA E INVERSORA S.A.</t>
  </si>
  <si>
    <t>2018-3019522</t>
  </si>
  <si>
    <t>Yacimiento Barrancas</t>
  </si>
  <si>
    <t>Barrancas - Maipú</t>
  </si>
  <si>
    <t>Y9/Y48</t>
  </si>
  <si>
    <t>T - 000045</t>
  </si>
  <si>
    <t>SOLUCIONES AMBIENTALES S.A.</t>
  </si>
  <si>
    <t>T - 000046</t>
  </si>
  <si>
    <t>ZALAZAR RICARDO RAFAEL</t>
  </si>
  <si>
    <t>Avellaneda y M. Gomez</t>
  </si>
  <si>
    <t>Rivadavia</t>
  </si>
  <si>
    <t>Y48</t>
  </si>
  <si>
    <t>T - 000047</t>
  </si>
  <si>
    <t>METAL 1 S.A.</t>
  </si>
  <si>
    <t>Presidente Quintana nº 793-Pedriel</t>
  </si>
  <si>
    <t>Y8/Y9/Y11</t>
  </si>
  <si>
    <t>T - 000048</t>
  </si>
  <si>
    <t>TAYM S.A.</t>
  </si>
  <si>
    <t>Pedro molina 547</t>
  </si>
  <si>
    <t>Y4/Y7/Y8/Y9/Y11/Y12/Y13/Y16/Y17/Y18/Y21/Y22/Y23/Y24/Y25/Y26/Y27/Y29/Y30/Y31/Y32/Y33/Y34/Y35/Y36/Y39/Y48</t>
  </si>
  <si>
    <t>T - 000049</t>
  </si>
  <si>
    <t>SKANSKA SERVICIOS MEDIOAMBIENTALES</t>
  </si>
  <si>
    <t>2019-2042088</t>
  </si>
  <si>
    <t>Rivadavia N°628</t>
  </si>
  <si>
    <t>Y8/Y9/Y11/Y12/Y18/Y31/Y34/Y35/Y48</t>
  </si>
  <si>
    <t>T - 000050</t>
  </si>
  <si>
    <t>EMSADE S.A.</t>
  </si>
  <si>
    <t>Pescadores 825</t>
  </si>
  <si>
    <t>T - 000051</t>
  </si>
  <si>
    <t>AMBIENTAL MENDOZA</t>
  </si>
  <si>
    <t>2018-4201266</t>
  </si>
  <si>
    <t>R. Peña 3630</t>
  </si>
  <si>
    <t>Y8/Y9/Y11/Y12/Y18/Y29/Y31/Y34/Y35/Y36/Y48</t>
  </si>
  <si>
    <t>T – 000052</t>
  </si>
  <si>
    <t>TRUCK TRANS SERVICE S.A.</t>
  </si>
  <si>
    <t>Mercedes Tomasa de San Martin 120</t>
  </si>
  <si>
    <t>Y4/Y5/Y6/Y7/Y8/Y9/Y10/Y11/Y12/Y13/Y14/Y15/Y16/Y17/Y18/Y19/Y20/Y21/Y22/Y23/24/Y25/Y26/Y27/Y28/Y29/Y30/Y31/Y32/Y33/Y34/Y35/Y36/Y37/Y38/Y39/Y40/Y41/Y42/Y43/Y44/Y45/Y48</t>
  </si>
  <si>
    <t>T – 000053</t>
  </si>
  <si>
    <t>TRANSPORTE FELIX S.A.</t>
  </si>
  <si>
    <t>2018-3662443</t>
  </si>
  <si>
    <t>Republica del Libano 360</t>
  </si>
  <si>
    <t>Y8/Y9/Y11/Y18/Y34/Y35/Y42/Y48</t>
  </si>
  <si>
    <t>T – 000054</t>
  </si>
  <si>
    <t>TRAPOLIMP S.R.L.</t>
  </si>
  <si>
    <t>Alvarez Condarco 2180</t>
  </si>
  <si>
    <t>T - 000055</t>
  </si>
  <si>
    <t>LA ECOLOGICA DEL SUR S.A.</t>
  </si>
  <si>
    <t>Cochabamba Nº 342 Bº Arizu</t>
  </si>
  <si>
    <t>T - 000056</t>
  </si>
  <si>
    <t>CARLOS ALBERTO ALEJANDRO GONZALES</t>
  </si>
  <si>
    <t>Telles Meneses 274</t>
  </si>
  <si>
    <t>Malargüe</t>
  </si>
  <si>
    <t>Y4/Y5/Y6/Y8/Y9/Y10/Y11/Y12/Y13/Y18/Y21/Y22/Y23/24/Y25/Y29/Y31/Y34/Y35/Y48</t>
  </si>
  <si>
    <t>T - 000057</t>
  </si>
  <si>
    <t>CEOSA</t>
  </si>
  <si>
    <t>Malabia nº 581</t>
  </si>
  <si>
    <t>Y4/Y5/Y6/Y7/Y8/Y9/Y10/Y11/Y12/Y13/Y14/Y15/Y16/Y17/Y18/Y19/Y20/Y21/Y22/Y23/24/Y25/Y26/Y27/Y28/Y29/Y30/Y31/Y32/Y33/Y34/Y35/Y36/Y37/Y39/Y40/Y41/Y42/Y43/Y44/Y45/Y48</t>
  </si>
  <si>
    <t>T - 000058</t>
  </si>
  <si>
    <t>CARTELLONE</t>
  </si>
  <si>
    <t>Rodriguez Peña 4447</t>
  </si>
  <si>
    <t>Y6/Y8/Y9/Y12/Y16/Y26/Y29/Y31/Y34/Y35/Y36/Y48</t>
  </si>
  <si>
    <t>T - 000059</t>
  </si>
  <si>
    <t>QUIMIGUAY S.A.</t>
  </si>
  <si>
    <t>Y4/Y5/Y6/Y7/Y8/Y9/Y11/Y12/Y13/Y14/Y16/Y17/Y18/Y19/Y20/Y21/Y22/Y23/Y24/Y25/Y26/Y27/Y29/Y30/Y31/Y32/Y33/Y34/Y35/Y36/Y37/Y38/Y39/Y40/Y41</t>
  </si>
  <si>
    <t>T - 000060</t>
  </si>
  <si>
    <t>HUGO BALDIN</t>
  </si>
  <si>
    <t>Ballofet 845</t>
  </si>
  <si>
    <t>Y4/Y5/Y6</t>
  </si>
  <si>
    <t>T - 000061</t>
  </si>
  <si>
    <t>MOLLARES S.R.L.</t>
  </si>
  <si>
    <t>Inalican 655</t>
  </si>
  <si>
    <t>Y6/Y8/Y9/Y11/Y18/Y34/Y35/Y42/Y48</t>
  </si>
  <si>
    <t>T - 000062</t>
  </si>
  <si>
    <t>GRUPO HORIZONTE S.R.L.</t>
  </si>
  <si>
    <t>Illiescas Adrian Oeste 162</t>
  </si>
  <si>
    <t>Y8/Y9/Y18/Y34/Y48</t>
  </si>
  <si>
    <t>T - 000063</t>
  </si>
  <si>
    <t>MOVILIDAD SUSTENTABLE S.A.</t>
  </si>
  <si>
    <t>Julio A. Roca 569</t>
  </si>
  <si>
    <t>Y8/Y9/Y11/Y12/Y34/Y35/Y48</t>
  </si>
  <si>
    <t>T - 000064</t>
  </si>
  <si>
    <t>TN-CUYANA S.A.</t>
  </si>
  <si>
    <t>R40 Km 22</t>
  </si>
  <si>
    <t>Y8/Y9/Y12/Y18/Y29/Y34/Y35/Y48</t>
  </si>
  <si>
    <t>T - 000065</t>
  </si>
  <si>
    <t>CONTENEDORES AZUL S.A.</t>
  </si>
  <si>
    <t>Bernardo Ortiz 786</t>
  </si>
  <si>
    <t>Y8/Y9/Y10/Y11/Y12/Y13/Y16/Y18/Y22/Y31/Y35/Y41/Y42/Y48</t>
  </si>
  <si>
    <t>T - 000066</t>
  </si>
  <si>
    <t>MENDOSERVIS</t>
  </si>
  <si>
    <t>2019-2139685</t>
  </si>
  <si>
    <t>José R. Ponce 416</t>
  </si>
  <si>
    <t>Villanueva - Guaymallén</t>
  </si>
  <si>
    <t>T - 000067</t>
  </si>
  <si>
    <t>CHEDIACK S.A.</t>
  </si>
  <si>
    <t>2019-5951241</t>
  </si>
  <si>
    <t>Campamento Barrancas Puesto 1</t>
  </si>
  <si>
    <t>T - 000068</t>
  </si>
  <si>
    <t>TRANSGRIFF S.A.</t>
  </si>
  <si>
    <t>2019-6335089</t>
  </si>
  <si>
    <t>Carril Barrancas</t>
  </si>
  <si>
    <t>Y8/Y9/Y12/Y18/Y48</t>
  </si>
  <si>
    <t>T - 000069</t>
  </si>
  <si>
    <t>CREXELL S.A.</t>
  </si>
  <si>
    <t>2021-0711193</t>
  </si>
  <si>
    <t>R40 Lat Sur 3020</t>
  </si>
  <si>
    <t>Y8/Y9/Y12/Y48</t>
  </si>
  <si>
    <t>T - 000070</t>
  </si>
  <si>
    <t>REFICUYO S.A.</t>
  </si>
  <si>
    <t>2021-8038230</t>
  </si>
  <si>
    <t>Sta Elena s/n</t>
  </si>
  <si>
    <t>Y8/Y9/Y11/Y48</t>
  </si>
  <si>
    <t>T - 000071</t>
  </si>
  <si>
    <t>PM CARGO S.A.S.</t>
  </si>
  <si>
    <t>2021-8226180</t>
  </si>
  <si>
    <t>Alsina 292</t>
  </si>
  <si>
    <t>T - 000072</t>
  </si>
  <si>
    <t>BORGIA S.A.</t>
  </si>
  <si>
    <t>2022-1192402</t>
  </si>
  <si>
    <t>Lote E 4 PIM</t>
  </si>
  <si>
    <t>Y31/Y34</t>
  </si>
  <si>
    <t>T - 000073</t>
  </si>
  <si>
    <t>ANDESMAR CARGAS S.A.</t>
  </si>
  <si>
    <t>2022-2396817</t>
  </si>
  <si>
    <t>Independencia 400</t>
  </si>
  <si>
    <t>T - 000074</t>
  </si>
  <si>
    <t>SERVICIOS MILENIUN S.A.</t>
  </si>
  <si>
    <t>2022-6730433</t>
  </si>
  <si>
    <t>Callejón Gentilli s/n L5</t>
  </si>
  <si>
    <t>T - 000075</t>
  </si>
  <si>
    <t>ECOPETRO S.A.</t>
  </si>
  <si>
    <t>San Miguel 120</t>
  </si>
  <si>
    <t>Las Compuertas - Luján de Cuyo</t>
  </si>
  <si>
    <t>2018-0225873</t>
  </si>
  <si>
    <t>Resol DPA</t>
  </si>
  <si>
    <t>Resol SSP</t>
  </si>
  <si>
    <t>1906/2022 0016/2023</t>
  </si>
  <si>
    <t>0001/2023</t>
  </si>
  <si>
    <t>1347/2022</t>
  </si>
  <si>
    <t>0405/2022</t>
  </si>
  <si>
    <t>0461/2022</t>
  </si>
  <si>
    <t>1905/2022</t>
  </si>
  <si>
    <t>Acta Insp.</t>
  </si>
  <si>
    <t>rp-g000030</t>
  </si>
  <si>
    <t>rp-g000032</t>
  </si>
  <si>
    <t>rp-g000028</t>
  </si>
  <si>
    <t>rp-g000024</t>
  </si>
  <si>
    <t>0428/2022</t>
  </si>
  <si>
    <t>1570/2022</t>
  </si>
  <si>
    <t>rp-g000050</t>
  </si>
  <si>
    <t>rp-t000058</t>
  </si>
  <si>
    <t>Acta Insp.2</t>
  </si>
  <si>
    <t>rp-g000025</t>
  </si>
  <si>
    <t>0189/2022</t>
  </si>
  <si>
    <t>0276/2022</t>
  </si>
  <si>
    <t>rp-g000029</t>
  </si>
  <si>
    <t>rp-g000043</t>
  </si>
  <si>
    <t>rp-g000023</t>
  </si>
  <si>
    <t>rp-g000031</t>
  </si>
  <si>
    <t>0431/2022</t>
  </si>
  <si>
    <t>rp-g000034</t>
  </si>
  <si>
    <t>rp-g000045</t>
  </si>
  <si>
    <t>0259/2022</t>
  </si>
  <si>
    <t>0061/2022</t>
  </si>
  <si>
    <t>0102/2022</t>
  </si>
  <si>
    <t>rp-g000036</t>
  </si>
  <si>
    <t>0079/2022</t>
  </si>
  <si>
    <t>0091/2022</t>
  </si>
  <si>
    <t>rp-g000035</t>
  </si>
  <si>
    <t>0039/2021</t>
  </si>
  <si>
    <t>0003/2021</t>
  </si>
  <si>
    <t>rp-g000021</t>
  </si>
  <si>
    <t>rp-g000041</t>
  </si>
  <si>
    <t>rp-g000040</t>
  </si>
  <si>
    <t>0358/2022</t>
  </si>
  <si>
    <t>0840/2022</t>
  </si>
  <si>
    <t>rp-g000052</t>
  </si>
  <si>
    <t>rp-g000051</t>
  </si>
  <si>
    <t>0490/2021</t>
  </si>
  <si>
    <t>1348/2021</t>
  </si>
  <si>
    <t>rp-g000037</t>
  </si>
  <si>
    <t>0491/2021</t>
  </si>
  <si>
    <t>1212/2021</t>
  </si>
  <si>
    <t>rp-t000057</t>
  </si>
  <si>
    <t>0093/2022</t>
  </si>
  <si>
    <t>0068/2022</t>
  </si>
  <si>
    <t>rp-t000054</t>
  </si>
  <si>
    <t>0236/2022</t>
  </si>
  <si>
    <t>0498/2022</t>
  </si>
  <si>
    <t>rp-g000053</t>
  </si>
  <si>
    <t>0096/2018</t>
  </si>
  <si>
    <t>4316/2017</t>
  </si>
  <si>
    <t>0427/2022</t>
  </si>
  <si>
    <t>1441/2022</t>
  </si>
  <si>
    <t>rp-000066</t>
  </si>
  <si>
    <t>2022-9071415</t>
  </si>
  <si>
    <t>1852/2022</t>
  </si>
  <si>
    <t>Rótulos de fila</t>
  </si>
  <si>
    <t>Total general</t>
  </si>
  <si>
    <t>(Varios elementos)</t>
  </si>
  <si>
    <t>2018-0169935</t>
  </si>
  <si>
    <t>2018-0389128</t>
  </si>
  <si>
    <t>2018-0297374</t>
  </si>
  <si>
    <t>2017-0210006</t>
  </si>
  <si>
    <t>0190/24</t>
  </si>
  <si>
    <t>0583/24</t>
  </si>
  <si>
    <t>Unidades Habilitadas</t>
  </si>
  <si>
    <t>AC-497-DK
AD-362-JE
ITE-451
AE-071-WM
LFK-117
AG-158-ZU
OOV-079
OGN-992</t>
  </si>
  <si>
    <t>CUIT</t>
  </si>
  <si>
    <t>33-70890707-9</t>
  </si>
  <si>
    <t>30-71123596-1</t>
  </si>
  <si>
    <t>0252/2024</t>
  </si>
  <si>
    <t>0701/2024</t>
  </si>
  <si>
    <t>NSN-936
RKU-528
FWP-220
GIJ-234
AA-927-AO
AC-893-KC
AD-789-OU</t>
  </si>
  <si>
    <t>Observaciones</t>
  </si>
  <si>
    <t>30-70748677-1</t>
  </si>
  <si>
    <t>0042/25</t>
  </si>
  <si>
    <t>0082/25</t>
  </si>
  <si>
    <t>AF-187-SD
AF-187-SE
AG-008-MH
AF-981-HE
AF-981-HD
AG-494-VJ</t>
  </si>
  <si>
    <t>VIDAL DAMIÁN ELÍAS</t>
  </si>
  <si>
    <t>20-27238699-5</t>
  </si>
  <si>
    <t>0091/25</t>
  </si>
  <si>
    <t>0254/23 0279/25</t>
  </si>
  <si>
    <t>PDZ-423
RHG-366
HSP-441
RXS-611
AYJ-898
AF-403-CI</t>
  </si>
  <si>
    <t>30-68225261-4</t>
  </si>
  <si>
    <t>0359/24</t>
  </si>
  <si>
    <t>2031/23 1717/24</t>
  </si>
  <si>
    <t>AA-304-IK
AC-131-ET
AC-131-EU
AC-291-UZ
AD-717-AK
AF-313YX
AG133RV
AG133RW
AG133RX
AG133RY
AG133RZ
LWH537
AE428IJ
AE649NY
AG037DA
AG037DB
DSJ528
FQU323
KHE405
OUB081
OUB082
AA053VU
AA095XS
AD658HP
AF067FC
AF067FD
AF067FE
FNR404
KVP766
PCJ432
PCJ433
AA053VH
AA366XQ
AB014CR
AB014CS
AC-291-UY
AC311QE
AD717AB
AE591YR
AF013CH
AF236ZG
AF377RI
AF764JY
MGT954
NOW962
NWH274
NYQ267
ODX784
OMD821
OMD822
OMD823</t>
  </si>
</sst>
</file>

<file path=xl/styles.xml><?xml version="1.0" encoding="utf-8"?>
<styleSheet xmlns="http://schemas.openxmlformats.org/spreadsheetml/2006/main">
  <fonts count="8">
    <font>
      <sz val="11"/>
      <color theme="1"/>
      <name val="Calibri"/>
      <family val="2"/>
      <scheme val="minor"/>
    </font>
    <font>
      <sz val="10"/>
      <name val="Arial"/>
      <family val="2"/>
    </font>
    <font>
      <b/>
      <sz val="8"/>
      <color indexed="9"/>
      <name val="Arial"/>
      <family val="2"/>
    </font>
    <font>
      <b/>
      <sz val="8"/>
      <color theme="0"/>
      <name val="Arial"/>
      <family val="2"/>
    </font>
    <font>
      <sz val="8"/>
      <name val="Arial"/>
      <family val="2"/>
    </font>
    <font>
      <b/>
      <sz val="8"/>
      <name val="Arial"/>
      <family val="2"/>
    </font>
    <font>
      <u/>
      <sz val="11"/>
      <color theme="10"/>
      <name val="Calibri"/>
      <family val="2"/>
    </font>
    <font>
      <b/>
      <sz val="12"/>
      <color rgb="FF002060"/>
      <name val="Arial"/>
      <family val="2"/>
    </font>
  </fonts>
  <fills count="4">
    <fill>
      <patternFill patternType="none"/>
    </fill>
    <fill>
      <patternFill patternType="gray125"/>
    </fill>
    <fill>
      <patternFill patternType="solid">
        <fgColor indexed="8"/>
        <bgColor indexed="58"/>
      </patternFill>
    </fill>
    <fill>
      <patternFill patternType="solid">
        <fgColor theme="1"/>
        <bgColor indexed="64"/>
      </patternFill>
    </fill>
  </fills>
  <borders count="6">
    <border>
      <left/>
      <right/>
      <top/>
      <bottom/>
      <diagonal/>
    </border>
    <border>
      <left style="thin">
        <color indexed="59"/>
      </left>
      <right style="thin">
        <color indexed="59"/>
      </right>
      <top/>
      <bottom/>
      <diagonal/>
    </border>
    <border>
      <left style="thin">
        <color indexed="59"/>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6" fillId="0" borderId="0" applyNumberFormat="0" applyFill="0" applyBorder="0" applyAlignment="0" applyProtection="0">
      <alignment vertical="top"/>
      <protection locked="0"/>
    </xf>
  </cellStyleXfs>
  <cellXfs count="39">
    <xf numFmtId="0" fontId="0" fillId="0" borderId="0" xfId="0"/>
    <xf numFmtId="49" fontId="2" fillId="2" borderId="1" xfId="1" applyNumberFormat="1" applyFont="1" applyFill="1" applyBorder="1" applyAlignment="1">
      <alignment horizontal="center" vertical="center"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3" fillId="3" borderId="3" xfId="1" applyFont="1" applyFill="1" applyBorder="1" applyAlignment="1">
      <alignment horizontal="center" vertical="center" wrapText="1"/>
    </xf>
    <xf numFmtId="1" fontId="2" fillId="2" borderId="0" xfId="1" applyNumberFormat="1" applyFont="1" applyFill="1" applyBorder="1" applyAlignment="1">
      <alignment horizontal="center" vertical="center" wrapText="1"/>
    </xf>
    <xf numFmtId="49" fontId="4" fillId="0" borderId="4" xfId="1" applyNumberFormat="1" applyFont="1" applyFill="1" applyBorder="1"/>
    <xf numFmtId="0" fontId="5" fillId="0" borderId="4" xfId="1" applyFont="1" applyFill="1" applyBorder="1" applyAlignment="1">
      <alignment wrapText="1"/>
    </xf>
    <xf numFmtId="0" fontId="4" fillId="0" borderId="4" xfId="1" applyFont="1" applyFill="1" applyBorder="1" applyAlignment="1">
      <alignment wrapText="1"/>
    </xf>
    <xf numFmtId="14" fontId="4" fillId="0" borderId="4" xfId="1" applyNumberFormat="1" applyFont="1" applyFill="1" applyBorder="1" applyAlignment="1">
      <alignment horizontal="center" wrapText="1"/>
    </xf>
    <xf numFmtId="1" fontId="0" fillId="0" borderId="4" xfId="0" applyNumberFormat="1" applyFill="1" applyBorder="1"/>
    <xf numFmtId="0" fontId="4" fillId="0" borderId="4" xfId="1" applyFont="1" applyFill="1" applyBorder="1"/>
    <xf numFmtId="49" fontId="4" fillId="0" borderId="3" xfId="1" applyNumberFormat="1" applyFont="1" applyFill="1" applyBorder="1"/>
    <xf numFmtId="0" fontId="5" fillId="0" borderId="3" xfId="1" applyFont="1" applyFill="1" applyBorder="1" applyAlignment="1">
      <alignment wrapText="1"/>
    </xf>
    <xf numFmtId="0" fontId="4" fillId="0" borderId="3" xfId="1" applyFont="1" applyFill="1" applyBorder="1" applyAlignment="1">
      <alignment wrapText="1"/>
    </xf>
    <xf numFmtId="14" fontId="4" fillId="0" borderId="3" xfId="1" applyNumberFormat="1" applyFont="1" applyFill="1" applyBorder="1" applyAlignment="1">
      <alignment horizontal="center"/>
    </xf>
    <xf numFmtId="1" fontId="0" fillId="0" borderId="3" xfId="0" applyNumberFormat="1" applyFill="1" applyBorder="1"/>
    <xf numFmtId="49" fontId="6" fillId="0" borderId="4" xfId="2" applyNumberFormat="1" applyFill="1" applyBorder="1" applyAlignment="1" applyProtection="1"/>
    <xf numFmtId="0" fontId="3" fillId="3" borderId="0" xfId="1" applyFont="1" applyFill="1" applyBorder="1" applyAlignment="1">
      <alignment horizontal="center" vertical="center" wrapText="1"/>
    </xf>
    <xf numFmtId="14" fontId="6" fillId="0" borderId="4" xfId="2" applyNumberFormat="1" applyFill="1" applyBorder="1" applyAlignment="1" applyProtection="1">
      <alignment horizontal="center" wrapText="1"/>
    </xf>
    <xf numFmtId="14" fontId="6" fillId="0" borderId="4" xfId="2" applyNumberFormat="1" applyFill="1" applyBorder="1" applyAlignment="1" applyProtection="1">
      <alignment horizontal="center"/>
    </xf>
    <xf numFmtId="14" fontId="4" fillId="0" borderId="4" xfId="1" applyNumberFormat="1" applyFont="1" applyFill="1" applyBorder="1" applyAlignment="1">
      <alignment wrapText="1"/>
    </xf>
    <xf numFmtId="14" fontId="4" fillId="0" borderId="5" xfId="1" applyNumberFormat="1" applyFont="1" applyFill="1" applyBorder="1" applyAlignment="1">
      <alignment wrapText="1"/>
    </xf>
    <xf numFmtId="14" fontId="4" fillId="0" borderId="3" xfId="1" applyNumberFormat="1" applyFont="1" applyFill="1" applyBorder="1" applyAlignment="1">
      <alignment wrapText="1"/>
    </xf>
    <xf numFmtId="0" fontId="2" fillId="2" borderId="0" xfId="1" applyFont="1" applyFill="1" applyAlignment="1">
      <alignment horizontal="center" vertical="center" wrapText="1"/>
    </xf>
    <xf numFmtId="14" fontId="6" fillId="0" borderId="4" xfId="2" applyNumberFormat="1" applyFill="1" applyBorder="1" applyAlignment="1" applyProtection="1">
      <alignment wrapText="1"/>
    </xf>
    <xf numFmtId="14" fontId="6" fillId="0" borderId="3" xfId="2" applyNumberFormat="1" applyFill="1" applyBorder="1" applyAlignment="1" applyProtection="1">
      <alignment horizontal="center"/>
    </xf>
    <xf numFmtId="14" fontId="4" fillId="0" borderId="0" xfId="1" applyNumberFormat="1" applyFont="1" applyFill="1" applyBorder="1" applyAlignment="1">
      <alignment horizontal="center" wrapText="1"/>
    </xf>
    <xf numFmtId="0" fontId="6" fillId="0" borderId="4" xfId="2" applyBorder="1" applyAlignment="1" applyProtection="1"/>
    <xf numFmtId="14" fontId="6" fillId="0" borderId="5" xfId="2" applyNumberFormat="1" applyFill="1" applyBorder="1" applyAlignment="1" applyProtection="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4" fontId="7" fillId="0" borderId="4" xfId="1" applyNumberFormat="1" applyFont="1" applyFill="1" applyBorder="1" applyAlignment="1">
      <alignment horizontal="center" wrapText="1"/>
    </xf>
    <xf numFmtId="14" fontId="7" fillId="0" borderId="4" xfId="1" applyNumberFormat="1" applyFont="1" applyFill="1" applyBorder="1" applyAlignment="1">
      <alignment horizontal="center"/>
    </xf>
    <xf numFmtId="14" fontId="7" fillId="0" borderId="3" xfId="1" applyNumberFormat="1" applyFont="1" applyFill="1" applyBorder="1" applyAlignment="1">
      <alignment horizontal="center"/>
    </xf>
    <xf numFmtId="0" fontId="4" fillId="0" borderId="0" xfId="1" applyFont="1" applyFill="1" applyAlignment="1">
      <alignment wrapText="1"/>
    </xf>
  </cellXfs>
  <cellStyles count="3">
    <cellStyle name="Hipervínculo" xfId="2" builtinId="8"/>
    <cellStyle name="Normal" xfId="0" builtinId="0"/>
    <cellStyle name="Normal 2" xfId="1"/>
  </cellStyles>
  <dxfs count="21">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8"/>
        <color auto="1"/>
        <name val="Arial"/>
        <scheme val="none"/>
      </font>
      <numFmt numFmtId="19" formatCode="dd/mm/yyyy"/>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19" formatCode="dd/mm/yyyy"/>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1" formatCode="0"/>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numFmt numFmtId="1" formatCode="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19" formatCode="dd/mm/yyyy"/>
      <fill>
        <patternFill patternType="none">
          <fgColor indexed="64"/>
          <bgColor indexed="65"/>
        </patternFill>
      </fill>
      <alignment horizontal="center" vertical="bottom" textRotation="0" wrapText="0"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19" formatCode="dd/mm/yyyy"/>
      <fill>
        <patternFill patternType="none">
          <fgColor indexed="64"/>
          <bgColor indexed="65"/>
        </patternFill>
      </fill>
      <alignment horizontal="center" vertical="bottom" textRotation="0" wrapText="0"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002060"/>
        <name val="Arial"/>
        <scheme val="none"/>
      </font>
      <numFmt numFmtId="19" formatCode="dd/mm/yyyy"/>
      <fill>
        <patternFill patternType="none">
          <fgColor indexed="64"/>
          <bgColor indexed="65"/>
        </patternFill>
      </fill>
      <alignment horizontal="center" vertical="bottom" textRotation="0" wrapText="0"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auto="1"/>
        <name val="Arial"/>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auto="1"/>
        <name val="Arial"/>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30" formatCode="@"/>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bottom" textRotation="0" wrapText="1" indent="0" relativeIndent="0" justifyLastLine="0" shrinkToFit="0" mergeCell="0" readingOrder="0"/>
    </dxf>
    <dxf>
      <font>
        <b/>
        <i val="0"/>
        <strike val="0"/>
        <condense val="0"/>
        <extend val="0"/>
        <outline val="0"/>
        <shadow val="0"/>
        <u val="none"/>
        <vertAlign val="baseline"/>
        <sz val="8"/>
        <color indexed="9"/>
        <name val="Arial"/>
        <scheme val="none"/>
      </font>
      <fill>
        <patternFill patternType="solid">
          <fgColor indexed="58"/>
          <bgColor indexed="8"/>
        </patternFill>
      </fill>
      <alignment horizontal="center" vertical="center" textRotation="0" wrapText="1" indent="0" relativeIndent="0" justifyLastLine="0" shrinkToFit="0" mergeCell="0" readingOrder="0"/>
    </dxf>
    <dxf>
      <fill>
        <patternFill>
          <bgColor rgb="FF00B050"/>
        </patternFill>
      </fill>
    </dxf>
    <dxf>
      <fill>
        <patternFill>
          <bgColor rgb="FFFFFF00"/>
        </patternFill>
      </fill>
    </dxf>
    <dxf>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Ctemp1" refreshedDate="44974.424030555558" createdVersion="3" refreshedVersion="3" minRefreshableVersion="3" recordCount="73">
  <cacheSource type="worksheet">
    <worksheetSource name="Tabla1"/>
  </cacheSource>
  <cacheFields count="14">
    <cacheField name="CAA" numFmtId="0">
      <sharedItems count="74">
        <s v="T - 000014"/>
        <s v="T - 000018"/>
        <s v="T - 000038"/>
        <s v="T - 000045"/>
        <s v="T - 000024"/>
        <s v="T - 000074"/>
        <s v="T - 000011"/>
        <s v="T - 000007 "/>
        <s v="T - 000002"/>
        <s v="T - 000073"/>
        <s v="T - 000068"/>
        <s v="T - 000069"/>
        <s v="T - 000005"/>
        <s v="T - 000044"/>
        <s v="T - 000051"/>
        <s v="T - 000064"/>
        <s v="T - 000072"/>
        <s v="T - 000035"/>
        <s v="T - 000067"/>
        <s v="T - 000070"/>
        <s v="T - 000071"/>
        <s v="T – 000053"/>
        <s v="T - 000066"/>
        <s v="T - 000022"/>
        <s v="T - 000027"/>
        <s v="T - 000049"/>
        <s v="T - 000065"/>
        <s v="T - 000061"/>
        <s v="T - 000062"/>
        <s v="T – 000054"/>
        <s v="T - 000015"/>
        <s v="T - 000058"/>
        <s v="T - 000063"/>
        <s v="T - 000057"/>
        <s v="T - 000048"/>
        <s v="T - 000056"/>
        <s v="T - 000006"/>
        <s v="T - 000034"/>
        <s v="T - 000047"/>
        <s v="T - 000036"/>
        <s v="T – 000052"/>
        <s v="T - 000059"/>
        <s v="T - 000060"/>
        <s v="T - 000055"/>
        <s v="T - 000042"/>
        <s v="T - 000031"/>
        <s v="T - 000050"/>
        <s v="T - 000023"/>
        <s v="T - 000020"/>
        <s v="T - 000046"/>
        <s v="T-  000019"/>
        <s v="T - 000012"/>
        <s v="T - 000030"/>
        <s v="T - 000043"/>
        <s v="T - 000021"/>
        <s v="T - 000041"/>
        <s v="T - 000025"/>
        <s v="T - 000003"/>
        <s v="T - 000010"/>
        <s v="T - 000032"/>
        <s v="T - 000029"/>
        <s v="T - 000009"/>
        <s v="T - 000008"/>
        <s v="T - 000017"/>
        <s v="T - 000016"/>
        <s v="T - 000001"/>
        <s v="T - 000004"/>
        <s v="T - 000013"/>
        <s v="T - 000026"/>
        <s v="T - 000028"/>
        <s v="T - 000033"/>
        <s v="T - 000037"/>
        <s v="T - 000075"/>
        <s v="T - 000039" u="1"/>
      </sharedItems>
    </cacheField>
    <cacheField name="RAZÓN SOCIAL" numFmtId="0">
      <sharedItems count="73">
        <s v="CONTRINI S.R.L."/>
        <s v="DELTACOM S.A."/>
        <s v="TRANSPORTES PETROLTRANS S.R.L."/>
        <s v="SOLUCIONES AMBIENTALES S.A."/>
        <s v="TODOTRANS S.A."/>
        <s v="SERVICIOS MILENIUN S.A."/>
        <s v="LA HIGIÉNICA"/>
        <s v="CONSTRUMIN S.R.L."/>
        <s v="MANNOR HAUSE SA"/>
        <s v="ANDESMAR CARGAS S.A."/>
        <s v="TRANSGRIFF S.A."/>
        <s v="CREXELL S.A."/>
        <s v="ALFA SERVICE"/>
        <s v="CONEVIAL CONSTRUCTORA E INVERSORA S.A."/>
        <s v="AMBIENTAL MENDOZA"/>
        <s v="TN-CUYANA S.A."/>
        <s v="BORGIA S.A."/>
        <s v="COMPAÑÍA TSB S.A."/>
        <s v="CHEDIACK S.A."/>
        <s v="REFICUYO S.A."/>
        <s v="PM CARGO S.A.S."/>
        <s v="TRANSPORTE FELIX S.A."/>
        <s v="MENDOSERVIS"/>
        <s v="IVANA DINA PAGLIAFORA"/>
        <s v="ECOCHEM S.A."/>
        <s v="SKANSKA SERVICIOS MEDIOAMBIENTALES"/>
        <s v="CONTENEDORES AZUL S.A."/>
        <s v="MOLLARES S.R.L."/>
        <s v="GRUPO HORIZONTE S.R.L."/>
        <s v="TRAPOLIMP S.R.L."/>
        <s v="TEC MIN S.A."/>
        <s v="CARTELLONE"/>
        <s v="MOVILIDAD SUSTENTABLE S.A."/>
        <s v="CEOSA"/>
        <s v="TAYM S.A."/>
        <s v="CARLOS ALBERTO ALEJANDRO GONZALES"/>
        <s v="AB CONTROL S.A."/>
        <s v="SEGAR SAMI Y C."/>
        <s v="METAL 1 S.A."/>
        <s v="NUEVA SILGEN S.A."/>
        <s v="TRUCK TRANS SERVICE S.A."/>
        <s v="QUIMIGUAY S.A."/>
        <s v="HUGO BALDIN"/>
        <s v="LA ECOLOGICA DEL SUR S.A."/>
        <s v="DIAP RAFAEL FELIX"/>
        <s v="TRANS ECOLÓGICA S.R.L."/>
        <s v="EMSADE S.A."/>
        <s v="TRANSPORTE LORIA E HIJOS"/>
        <s v="EDUARDO BRESCA SA - MERCOPAK"/>
        <s v="ZALAZAR RICARDO RAFAEL"/>
        <s v="YASER SRL"/>
        <s v="CLEAR S.R.L."/>
        <s v="TERRA PUMPIDA S.A."/>
        <s v="AUSTRAL ECOLOGY SERVICE"/>
        <s v="GABINO CELSO CORREA SRL"/>
        <s v="KAMAY S.A."/>
        <s v="SERVICIOS DEL OESTE"/>
        <s v="HIGH PRESSURE &amp; VACUUM PETROLEUM SERVICES S.A."/>
        <s v="SCAFI S.A."/>
        <s v="DUST &amp; PETROL SOLUTIONS S.A."/>
        <s v="RESPAT S.A."/>
        <s v="SERVIAL S.R.L."/>
        <s v="TRANSPORTE LORIA HNOS."/>
        <s v="HDS SERVICIOS S.A."/>
        <s v="MOYA RODOLFO"/>
        <s v="FELIPE ANDREU E HIJOS S.A."/>
        <s v="CORAVAL de AVALOS, Manuel Antonio"/>
        <s v="ENSI S.E."/>
        <s v="DELTALIQ S.A."/>
        <s v="SAVINI S.A."/>
        <s v="MEGAPAT de CAICEDO, Jorge Enrique"/>
        <s v="ECOPETRO S.A."/>
        <s v="CREXELL TRANSPORTE S.A." u="1"/>
      </sharedItems>
    </cacheField>
    <cacheField name="EXPTE. DPA" numFmtId="0">
      <sharedItems containsBlank="1"/>
    </cacheField>
    <cacheField name="EXPTE. SSP" numFmtId="0">
      <sharedItems containsBlank="1"/>
    </cacheField>
    <cacheField name="DOMICILIO" numFmtId="0">
      <sharedItems containsBlank="1"/>
    </cacheField>
    <cacheField name="LOC." numFmtId="0">
      <sharedItems containsBlank="1" count="21">
        <s v="Godoy Cruz"/>
        <s v="Drummond - Luján de Cuyo"/>
        <s v="Distrito Industrial - Luján de Cuyo"/>
        <s v="Luján de Cuyo"/>
        <s v="Coquimbito - Maipú"/>
        <s v="Barrancas - Maipú"/>
        <s v="Perdriel - Luján de Cuyo"/>
        <s v="Villanueva - Guaymallén"/>
        <s v="Guaymallén"/>
        <s v="Ciudad"/>
        <s v="Malargüe"/>
        <s v="Las Heras"/>
        <s v="Maipú"/>
        <s v="Santa Cruz"/>
        <s v="Rivadavia"/>
        <s v="San Martín"/>
        <s v="Neuquén"/>
        <s v="CABA"/>
        <m/>
        <s v="Godoy Cruz "/>
        <s v="Las Compuertas - Luján de Cuyo"/>
      </sharedItems>
    </cacheField>
    <cacheField name="CORRIENTES AUTORIZADAS" numFmtId="0">
      <sharedItems containsBlank="1" count="55">
        <s v="Y4/Y5/Y6/Y7/Y8/Y9/Y10/Y11/Y12/Y13/Y14/Y16/Y17/Y18/Y19/Y20/Y21/Y22/Y23/Y24/Y25/26/Y27/Y28/Y29/Y30/Y31/Y32/Y33/Y34/Y35/Y36/Y37/Y38/Y39/Y40/Y41/Y42/Y48"/>
        <s v="Y4/Y5/Y6/Y7/Y8/Y9/Y10/Y11/Y12/Y13/Y14/Y15/Y16/Y17/Y18/Y19/Y20/Y21/Y22/Y23/Y24/Y25/Y26/Y27/Y28/Y29/Y30/Y31/Y32/Y33/Y34/Y35/Y36/Y37/Y38/Y39/Y40/Y41/Y42/Y43/Y44/Y45/Y48"/>
        <s v="Y8/Y9/Y11/Y18/Y34/Y35/Y48"/>
        <s v="Y6/Y8/Y9/Y11/Y12/Y18/Y35/Y48"/>
        <s v="Y8/Y9/Y48"/>
        <s v="Y6/Y8/Y9/Y10/Y11/Y12/Y13/Y16/Y17/Y18/Y22/Y31/Y34/Y35/Y39/Y40/Y41/Y42/Y43/Y44/Y45/Y48"/>
        <s v="Y8/Y9/Y11/Y12/Y13/Y18/Y34/Y35/Y48"/>
        <s v="Y8/Y9/Y11/Y12/Y18/Y35/Y48"/>
        <s v="Y8/Y9/Y12/Y18/Y48"/>
        <s v="Y8/Y9/Y12/Y48"/>
        <s v="Y4/Y5/Y6/Y7/Y8/Y9/Y10/Y11/Y12/Y13/Y14/Y16/Y17/Y18/Y22/Y23/Y29/Y31/Y33/Y34/Y35/Y36/Y38/Y39/Y41/Y42/Y48"/>
        <s v="Y9/Y48"/>
        <s v="Y8/Y9/Y11/Y12/Y18/Y29/Y31/Y34/Y35/Y36/Y48"/>
        <s v="Y8/Y9/Y12/Y18/Y29/Y34/Y35/Y48"/>
        <s v="Y31/Y34"/>
        <s v="Y8/Y9/Y18"/>
        <s v="Y48"/>
        <s v="Y8/Y9/Y11/Y48"/>
        <s v="Y8/Y9/Y11/Y18/Y34/Y35/Y42/Y48"/>
        <s v="Y8/Y9"/>
        <s v="Y4/Y5/Y6/Y7/Y8/Y9/Y10/Y11/Y12/Y13/Y14/Y16/Y17/Y18/Y19/Y20/Y21/Y22/Y23/Y24/Y25/Y26/Y27/Y28/Y29/Y30/Y31/Y32/Y33/Y34/Y35/Y36/Y37/Y38/Y39/Y40/Y41/Y42/Y48"/>
        <s v="Y8/Y9/Y11/Y12/Y18/Y31/Y34/Y35/Y48"/>
        <s v="Y8/Y9/Y10/Y11/Y12/Y13/Y16/Y18/Y22/Y31/Y35/Y41/Y42/Y48"/>
        <s v="Y6/Y8/Y9/Y11/Y18/Y34/Y35/Y42/Y48"/>
        <s v="Y8/Y9/Y18/Y34/Y48"/>
        <s v="Y18/Y34/Y35/Y48"/>
        <s v="Y6/Y8/Y9/Y12/Y16/Y26/Y29/Y31/Y34/Y35/Y36/Y48"/>
        <s v="Y8/Y9/Y11/Y12/Y34/Y35/Y48"/>
        <s v="Y4/Y5/Y6/Y7/Y8/Y9/Y10/Y11/Y12/Y13/Y14/Y15/Y16/Y17/Y18/Y19/Y20/Y21/Y22/Y23/24/Y25/Y26/Y27/Y28/Y29/Y30/Y31/Y32/Y33/Y34/Y35/Y36/Y37/Y39/Y40/Y41/Y42/Y43/Y44/Y45/Y48"/>
        <s v="Y4/Y7/Y8/Y9/Y11/Y12/Y13/Y16/Y17/Y18/Y21/Y22/Y23/Y24/Y25/Y26/Y27/Y29/Y30/Y31/Y32/Y33/Y34/Y35/Y36/Y39/Y48"/>
        <s v="Y4/Y5/Y6/Y8/Y9/Y10/Y11/Y12/Y13/Y18/Y21/Y22/Y23/24/Y25/Y29/Y31/Y34/Y35/Y48"/>
        <s v="Y8/Y9/Y10/Y11/Y12/Y13/Y16/Y18/Y22/Y31/Y41/Y42/Y48"/>
        <s v="Y4/Y5/Y6/Y8/Y9/Y10/Y11/Y12/Y13/Y18/Y21/Y22/Y23/Y24/Y25/Y29/Y31/Y34/Y35/Y48"/>
        <s v="Y8/Y9/Y11"/>
        <s v="Y4/Y5/Y6/Y7/Y8/Y9/Y10/Y11/Y12/Y13/Y14/Y15/Y16/Y17/Y18/Y19/Y20/Y21/Y22/Y23/24/Y25/Y26/Y27/Y28/Y29/Y30/Y31/Y32/Y33/Y34/Y35/Y36/Y37/Y38/Y39/Y40/Y41/Y42/Y43/Y44/Y45/Y48"/>
        <s v="Y4/Y5/Y6/Y7/Y8/Y9/Y11/Y12/Y13/Y14/Y16/Y17/Y18/Y19/Y20/Y21/Y22/Y23/Y24/Y25/Y26/Y27/Y29/Y30/Y31/Y32/Y33/Y34/Y35/Y36/Y37/Y38/Y39/Y40/Y41"/>
        <s v="Y4/Y5/Y6"/>
        <s v="Y8/Y9/Y11/Y18/Y34/Y42/Y48"/>
        <s v="Y6/Y8/Y9/Y11/Y12/Y13/Y16/Y17/Y18/Y29/Y34/Y35/Y36/Y41/Y48"/>
        <s v="Y4/Y8/Y9/Y11/Y12/Y18/Y34/Y35/Y39/Y42/Y48"/>
        <s v="Y87Y9/Y16/Y17/Y18/Y35/Y42/Y48"/>
        <s v="  Y8/Y9/Y11/Y12/Y18/Y35/Y36/Y48 "/>
        <s v="Y4/Y5/Y6/Y8/Y9/Y48"/>
        <s v="Y7/Y8/Y9/Y17/Y18/Y48"/>
        <s v="Y8/Y9/Y11/YY18/Y34/Y35/Y42/Y48"/>
        <s v="Y8/Y9/Y11/Y12/Y18/Y48"/>
        <s v="Y8/Y9/Y11/Y18/Y35/Y48"/>
        <s v="Y5/Y6/Y7/Y8/Y9/Y10/Y11/Y12/Y13/Y14/Y16/Y17/Y18/Y19/Y20/Y21/Y22/Y23/Y24/Y25/Y26/Y27/Y28/Y29/Y30/Y31/Y32/Y33/Y34/Y35/Y36/Y37/Y38/Y39/Y40/Y41/Y42/Y44/Y45/Y48"/>
        <s v="Y8/Y9/Y11/Y18/Y35"/>
        <s v="Y18/Y35/Y48"/>
        <s v="Y8/Y9/Y16/Y42"/>
        <m/>
        <s v="Y10"/>
        <s v="Y6/Y8/Y9/Y13/Y14/Y16/Y17/Y18/Y19/Y20/Y21/Y22/Y23/Y24/Y25/Y26/Y27/Y28/Y29/Y30/Y31/Y32/Y33/Y34/Y35/Y39/Y40/Y41/Y42/Y43/Y44/Y45/Y48"/>
        <s v="Y8/Y9/Y11/Y18" u="1"/>
      </sharedItems>
    </cacheField>
    <cacheField name="VTO." numFmtId="14">
      <sharedItems containsNonDate="0" containsDate="1" containsString="0" containsBlank="1" minDate="2006-04-19T00:00:00" maxDate="2024-01-06T00:00:00" count="55">
        <d v="2024-01-05T00:00:00"/>
        <d v="2023-12-15T00:00:00"/>
        <d v="2023-09-29T00:00:00"/>
        <d v="2023-09-16T00:00:00"/>
        <d v="2023-09-02T00:00:00"/>
        <d v="2023-08-01T00:00:00"/>
        <d v="2023-07-18T00:00:00"/>
        <d v="2023-04-07T00:00:00"/>
        <d v="2023-03-10T00:00:00"/>
        <d v="2023-02-08T00:00:00"/>
        <d v="2023-01-20T00:00:00"/>
        <d v="2023-01-15T00:00:00"/>
        <d v="2022-11-04T00:00:00"/>
        <d v="2022-09-16T00:00:00"/>
        <d v="2020-12-05T00:00:00"/>
        <d v="2020-04-26T00:00:00"/>
        <d v="2020-04-15T00:00:00"/>
        <d v="2020-03-14T00:00:00"/>
        <d v="2019-12-11T00:00:00"/>
        <d v="2019-04-12T00:00:00"/>
        <d v="2018-12-28T00:00:00"/>
        <d v="2018-12-07T00:00:00"/>
        <d v="2018-09-11T00:00:00"/>
        <d v="2018-09-01T00:00:00"/>
        <d v="2018-08-02T00:00:00"/>
        <d v="2018-04-27T00:00:00"/>
        <d v="2018-02-01T00:00:00"/>
        <d v="2017-12-28T00:00:00"/>
        <d v="2016-12-21T00:00:00"/>
        <d v="2016-08-26T00:00:00"/>
        <d v="2016-08-04T00:00:00"/>
        <d v="2016-01-19T00:00:00"/>
        <d v="2015-02-10T00:00:00"/>
        <d v="2015-01-30T00:00:00"/>
        <d v="2014-09-17T00:00:00"/>
        <d v="2014-06-05T00:00:00"/>
        <d v="2013-07-31T00:00:00"/>
        <d v="2013-02-15T00:00:00"/>
        <d v="2013-01-27T00:00:00"/>
        <d v="2012-08-29T00:00:00"/>
        <d v="2012-05-24T00:00:00"/>
        <d v="2012-05-23T00:00:00"/>
        <d v="2011-04-05T00:00:00"/>
        <d v="2011-02-18T00:00:00"/>
        <d v="2011-02-02T00:00:00"/>
        <d v="2010-10-21T00:00:00"/>
        <d v="2010-07-31T00:00:00"/>
        <d v="2009-09-12T00:00:00"/>
        <d v="2009-07-15T00:00:00"/>
        <d v="2008-08-03T00:00:00"/>
        <d v="2007-04-16T00:00:00"/>
        <d v="2006-11-15T00:00:00"/>
        <d v="2006-07-30T00:00:00"/>
        <d v="2006-04-19T00:00:00"/>
        <m/>
      </sharedItems>
    </cacheField>
    <cacheField name="Inf. Técnico" numFmtId="14">
      <sharedItems containsBlank="1"/>
    </cacheField>
    <cacheField name="Resol DPA" numFmtId="0">
      <sharedItems containsBlank="1"/>
    </cacheField>
    <cacheField name="Resol SSP" numFmtId="14">
      <sharedItems containsBlank="1"/>
    </cacheField>
    <cacheField name="VIGENCIA" numFmtId="1">
      <sharedItems containsSemiMixedTypes="0" containsString="0" containsNumber="1" containsInteger="1" minValue="-322" maxValue="44974"/>
    </cacheField>
    <cacheField name="Acta Insp." numFmtId="14">
      <sharedItems containsBlank="1"/>
    </cacheField>
    <cacheField name="Acta Insp.2" numFmtId="14">
      <sharedItems containsBlank="1"/>
    </cacheField>
  </cacheFields>
</pivotCacheDefinition>
</file>

<file path=xl/pivotCache/pivotCacheRecords1.xml><?xml version="1.0" encoding="utf-8"?>
<pivotCacheRecords xmlns="http://schemas.openxmlformats.org/spreadsheetml/2006/main" xmlns:r="http://schemas.openxmlformats.org/officeDocument/2006/relationships" count="73">
  <r>
    <x v="0"/>
    <x v="0"/>
    <s v="2018-169935"/>
    <s v="2018-169935"/>
    <s v="Tacuari 951"/>
    <x v="0"/>
    <x v="0"/>
    <x v="0"/>
    <s v="0021/2023"/>
    <s v="0010/2023"/>
    <s v="0001/2023"/>
    <n v="-322"/>
    <s v="rp-g000040"/>
    <m/>
  </r>
  <r>
    <x v="1"/>
    <x v="1"/>
    <s v="2018-4129187"/>
    <s v="2018-1174769 2018-3266368 2022-8017044"/>
    <s v="Lat. oeste Acceso Sur s/n esq Rawson"/>
    <x v="0"/>
    <x v="1"/>
    <x v="1"/>
    <s v="0722/2022"/>
    <s v="0458/2022"/>
    <s v="1903/2022"/>
    <n v="-301"/>
    <s v="rp-g000028"/>
    <m/>
  </r>
  <r>
    <x v="2"/>
    <x v="2"/>
    <s v="2018-3284020"/>
    <s v="2018-2623473 2022-8276199"/>
    <s v="Av. Acceso Sur 4389"/>
    <x v="1"/>
    <x v="2"/>
    <x v="1"/>
    <s v="0728/2022"/>
    <s v="0461/2022"/>
    <s v="1905/2022"/>
    <n v="-301"/>
    <s v="rp-g000030"/>
    <m/>
  </r>
  <r>
    <x v="3"/>
    <x v="3"/>
    <s v="2018-0225873"/>
    <s v="2019-0334033 2022-8182967"/>
    <s v="Tacuari 951"/>
    <x v="0"/>
    <x v="1"/>
    <x v="1"/>
    <s v="0016/2023"/>
    <s v="0001/2023"/>
    <s v="1906/2022 0016/2023"/>
    <n v="-301"/>
    <s v="rp-g000032"/>
    <m/>
  </r>
  <r>
    <x v="4"/>
    <x v="4"/>
    <s v="2018-2455438"/>
    <s v="2019-3387454"/>
    <s v="Pasaje Dummint s/n "/>
    <x v="2"/>
    <x v="3"/>
    <x v="2"/>
    <s v="0633/2022"/>
    <s v="0428/2022"/>
    <s v="1570/2022"/>
    <n v="-224"/>
    <s v="rp-g000050"/>
    <m/>
  </r>
  <r>
    <x v="5"/>
    <x v="5"/>
    <s v="2022-6730433"/>
    <s v="2022-4651048"/>
    <s v="Callejón Gentilli s/n L5"/>
    <x v="3"/>
    <x v="4"/>
    <x v="3"/>
    <s v="0622/2022"/>
    <s v="0427/2022"/>
    <s v="1441/2022"/>
    <n v="-211"/>
    <s v="rp-000066"/>
    <m/>
  </r>
  <r>
    <x v="6"/>
    <x v="6"/>
    <s v="2018-389128"/>
    <s v="2019-1501057"/>
    <s v="Rodriguez Peña 7200"/>
    <x v="4"/>
    <x v="5"/>
    <x v="4"/>
    <s v="0554/2022"/>
    <s v="0404/2022"/>
    <s v="1301/2022"/>
    <n v="-197"/>
    <s v="rp-g000025"/>
    <s v="rp-t000058"/>
  </r>
  <r>
    <x v="7"/>
    <x v="7"/>
    <s v="2018-4505337"/>
    <s v="2018-3697439"/>
    <s v="Pasaje Dummint s/n"/>
    <x v="2"/>
    <x v="6"/>
    <x v="5"/>
    <s v="0547/2022"/>
    <s v="0398/2022"/>
    <s v="1143/2022"/>
    <n v="-165"/>
    <s v="rp-g000051"/>
    <m/>
  </r>
  <r>
    <x v="8"/>
    <x v="8"/>
    <s v="2019-2380742"/>
    <s v="2019-1904852"/>
    <s v="Rodriguez Peña 2800"/>
    <x v="4"/>
    <x v="4"/>
    <x v="6"/>
    <s v="0509/2022"/>
    <s v="0369/2022"/>
    <s v="0966/2022"/>
    <n v="-151"/>
    <s v="rp-g000024"/>
    <m/>
  </r>
  <r>
    <x v="9"/>
    <x v="9"/>
    <s v="2022-2396817"/>
    <s v="2022-1450294"/>
    <s v="Independencia 400"/>
    <x v="0"/>
    <x v="7"/>
    <x v="7"/>
    <s v="0302/2022"/>
    <s v="0236/2022"/>
    <s v="0498/2022"/>
    <n v="-49"/>
    <s v="rp-g000053"/>
    <m/>
  </r>
  <r>
    <x v="10"/>
    <x v="10"/>
    <s v="2019-6335089"/>
    <s v="2019-5607189 2022-5205631 22-8233985 22-8870698"/>
    <s v="Carril Barrancas"/>
    <x v="5"/>
    <x v="8"/>
    <x v="8"/>
    <s v="0628/2022"/>
    <s v="0431/2022"/>
    <s v="0259/2022"/>
    <n v="-21"/>
    <s v="rp-g000034"/>
    <s v="rp-g000045"/>
  </r>
  <r>
    <x v="11"/>
    <x v="11"/>
    <s v="2021-0711193"/>
    <s v="2020-4111867"/>
    <s v="R40 Lat Sur 3020"/>
    <x v="6"/>
    <x v="9"/>
    <x v="8"/>
    <s v="0266/2022"/>
    <s v="0189/2022"/>
    <s v="0276/2022"/>
    <n v="-21"/>
    <s v="rp-g000029"/>
    <s v="rp-g000043"/>
  </r>
  <r>
    <x v="12"/>
    <x v="12"/>
    <s v="2018-3019494"/>
    <s v="18-1450976"/>
    <s v="Calle 3 PIP"/>
    <x v="2"/>
    <x v="10"/>
    <x v="9"/>
    <s v="0105/2022"/>
    <s v="0052/2022"/>
    <s v="0071/2022"/>
    <n v="9"/>
    <s v="rp-g000031"/>
    <m/>
  </r>
  <r>
    <x v="13"/>
    <x v="13"/>
    <s v="2018-3019522"/>
    <s v="2018-2455520"/>
    <s v="Yacimiento Barrancas"/>
    <x v="5"/>
    <x v="11"/>
    <x v="9"/>
    <s v="0441/2022"/>
    <s v="0358/2022"/>
    <s v="0840/2022"/>
    <n v="9"/>
    <s v="rp-g000052"/>
    <m/>
  </r>
  <r>
    <x v="14"/>
    <x v="14"/>
    <s v="2018-4201266"/>
    <s v="2018-3179474"/>
    <s v="R. Peña 3630"/>
    <x v="4"/>
    <x v="12"/>
    <x v="9"/>
    <s v="0552/2022"/>
    <s v="0405/2022"/>
    <s v="1347/2022"/>
    <n v="9"/>
    <s v="rp-g000023"/>
    <m/>
  </r>
  <r>
    <x v="15"/>
    <x v="15"/>
    <s v="2018-297374"/>
    <s v="2018-2416976"/>
    <s v="R40 Km 22"/>
    <x v="6"/>
    <x v="13"/>
    <x v="9"/>
    <s v="0157/2022"/>
    <s v="0079/2022"/>
    <s v="0091/2022"/>
    <n v="9"/>
    <s v="rp-g000035"/>
    <m/>
  </r>
  <r>
    <x v="16"/>
    <x v="16"/>
    <s v="2022-1192402"/>
    <s v="2021-7157117"/>
    <s v="Lote E 4 PIM"/>
    <x v="2"/>
    <x v="14"/>
    <x v="9"/>
    <s v="0138/2022"/>
    <s v="0093/2022"/>
    <s v="0068/2022"/>
    <n v="9"/>
    <s v="rp-t000054"/>
    <m/>
  </r>
  <r>
    <x v="17"/>
    <x v="17"/>
    <s v="2018-4129207"/>
    <s v="2018-3210805"/>
    <s v="Ruta 40 km 22"/>
    <x v="6"/>
    <x v="15"/>
    <x v="10"/>
    <s v="0120/2022"/>
    <s v="0061/2022"/>
    <s v="0102/2022"/>
    <n v="28"/>
    <s v="rp-g000036"/>
    <m/>
  </r>
  <r>
    <x v="18"/>
    <x v="18"/>
    <s v="2019-5951241"/>
    <s v="2019-5585530"/>
    <s v="Campamento Barrancas Puesto 1"/>
    <x v="5"/>
    <x v="16"/>
    <x v="11"/>
    <s v="0087/2021"/>
    <s v="0039/2021"/>
    <s v="0003/2021"/>
    <n v="33"/>
    <s v="rp-g000021"/>
    <s v="rp-g000041"/>
  </r>
  <r>
    <x v="19"/>
    <x v="19"/>
    <s v="2021-8038230"/>
    <s v="2021-7152167"/>
    <s v="Sta Elena s/n"/>
    <x v="2"/>
    <x v="17"/>
    <x v="12"/>
    <s v="0729/2021"/>
    <s v="0490/2021"/>
    <s v="1348/2021"/>
    <n v="105"/>
    <s v="rp-g000037"/>
    <m/>
  </r>
  <r>
    <x v="20"/>
    <x v="20"/>
    <s v="2021-8226180"/>
    <s v="2021-5659519"/>
    <s v="Alsina 292"/>
    <x v="0"/>
    <x v="17"/>
    <x v="13"/>
    <s v="0735/2021"/>
    <s v="0491/2021"/>
    <s v="1212/2021"/>
    <n v="154"/>
    <s v="rp-t000057"/>
    <m/>
  </r>
  <r>
    <x v="21"/>
    <x v="21"/>
    <s v="2018-3662443"/>
    <m/>
    <s v="Republica del Libano 360"/>
    <x v="3"/>
    <x v="18"/>
    <x v="14"/>
    <m/>
    <m/>
    <m/>
    <n v="804"/>
    <m/>
    <m/>
  </r>
  <r>
    <x v="22"/>
    <x v="22"/>
    <s v="2019-2139685"/>
    <s v="2019-1650373"/>
    <s v="José R. Ponce 416"/>
    <x v="7"/>
    <x v="19"/>
    <x v="15"/>
    <m/>
    <m/>
    <m/>
    <n v="1027"/>
    <m/>
    <m/>
  </r>
  <r>
    <x v="23"/>
    <x v="23"/>
    <s v="2019-1971053"/>
    <s v="2018-4391394"/>
    <s v="Altos Hornos de Zapla y Callejón Comunero s/n"/>
    <x v="0"/>
    <x v="20"/>
    <x v="16"/>
    <m/>
    <m/>
    <m/>
    <n v="1038"/>
    <m/>
    <m/>
  </r>
  <r>
    <x v="24"/>
    <x v="24"/>
    <s v="2019-3104132"/>
    <m/>
    <s v="Los Reyunos2469"/>
    <x v="8"/>
    <x v="4"/>
    <x v="17"/>
    <m/>
    <m/>
    <m/>
    <n v="1070"/>
    <m/>
    <m/>
  </r>
  <r>
    <x v="25"/>
    <x v="25"/>
    <s v="2019-2042088"/>
    <m/>
    <s v="Rivadavia N°628"/>
    <x v="9"/>
    <x v="21"/>
    <x v="18"/>
    <m/>
    <m/>
    <m/>
    <n v="1164"/>
    <m/>
    <m/>
  </r>
  <r>
    <x v="26"/>
    <x v="26"/>
    <s v="2017-210006"/>
    <m/>
    <s v="Bernardo Ortiz 786"/>
    <x v="0"/>
    <x v="22"/>
    <x v="19"/>
    <s v="2163/2017"/>
    <s v="0096/2018"/>
    <s v="4316/2017"/>
    <n v="1407"/>
    <m/>
    <m/>
  </r>
  <r>
    <x v="27"/>
    <x v="27"/>
    <m/>
    <m/>
    <s v="Inalican 655"/>
    <x v="10"/>
    <x v="23"/>
    <x v="20"/>
    <m/>
    <m/>
    <m/>
    <n v="1512"/>
    <m/>
    <m/>
  </r>
  <r>
    <x v="28"/>
    <x v="28"/>
    <m/>
    <m/>
    <s v="Illiescas Adrian Oeste 162"/>
    <x v="10"/>
    <x v="24"/>
    <x v="20"/>
    <m/>
    <m/>
    <m/>
    <n v="1512"/>
    <m/>
    <m/>
  </r>
  <r>
    <x v="29"/>
    <x v="29"/>
    <m/>
    <m/>
    <s v="Alvarez Condarco 2180"/>
    <x v="11"/>
    <x v="16"/>
    <x v="21"/>
    <m/>
    <m/>
    <m/>
    <n v="1533"/>
    <m/>
    <m/>
  </r>
  <r>
    <x v="30"/>
    <x v="30"/>
    <m/>
    <m/>
    <s v="Lateral este del Acceso Sur Km. 16"/>
    <x v="3"/>
    <x v="25"/>
    <x v="22"/>
    <m/>
    <m/>
    <m/>
    <n v="1620"/>
    <m/>
    <m/>
  </r>
  <r>
    <x v="31"/>
    <x v="31"/>
    <m/>
    <m/>
    <s v="Rodriguez Peña 4447"/>
    <x v="12"/>
    <x v="26"/>
    <x v="23"/>
    <m/>
    <m/>
    <m/>
    <n v="1630"/>
    <m/>
    <m/>
  </r>
  <r>
    <x v="32"/>
    <x v="32"/>
    <m/>
    <m/>
    <s v="Julio A. Roca 569"/>
    <x v="9"/>
    <x v="27"/>
    <x v="23"/>
    <m/>
    <m/>
    <m/>
    <n v="1630"/>
    <m/>
    <m/>
  </r>
  <r>
    <x v="33"/>
    <x v="33"/>
    <m/>
    <m/>
    <s v="Malabia nº 581"/>
    <x v="3"/>
    <x v="28"/>
    <x v="24"/>
    <m/>
    <m/>
    <m/>
    <n v="1660"/>
    <m/>
    <m/>
  </r>
  <r>
    <x v="34"/>
    <x v="34"/>
    <m/>
    <m/>
    <s v="Pedro molina 547"/>
    <x v="9"/>
    <x v="29"/>
    <x v="25"/>
    <m/>
    <m/>
    <m/>
    <n v="1757"/>
    <m/>
    <m/>
  </r>
  <r>
    <x v="35"/>
    <x v="35"/>
    <m/>
    <m/>
    <s v="Telles Meneses 274"/>
    <x v="10"/>
    <x v="30"/>
    <x v="26"/>
    <m/>
    <m/>
    <m/>
    <n v="1842"/>
    <m/>
    <m/>
  </r>
  <r>
    <x v="36"/>
    <x v="36"/>
    <m/>
    <m/>
    <s v="Urquiza 270"/>
    <x v="0"/>
    <x v="31"/>
    <x v="27"/>
    <m/>
    <m/>
    <m/>
    <n v="1877"/>
    <m/>
    <m/>
  </r>
  <r>
    <x v="37"/>
    <x v="37"/>
    <m/>
    <m/>
    <s v="Godoy Cruz 45"/>
    <x v="12"/>
    <x v="32"/>
    <x v="28"/>
    <m/>
    <m/>
    <m/>
    <n v="2249"/>
    <m/>
    <m/>
  </r>
  <r>
    <x v="38"/>
    <x v="38"/>
    <m/>
    <m/>
    <s v="Presidente Quintana nº 793-Pedriel"/>
    <x v="3"/>
    <x v="33"/>
    <x v="28"/>
    <m/>
    <m/>
    <m/>
    <n v="2249"/>
    <m/>
    <m/>
  </r>
  <r>
    <x v="39"/>
    <x v="39"/>
    <m/>
    <m/>
    <s v="Libertad 751"/>
    <x v="12"/>
    <x v="1"/>
    <x v="29"/>
    <m/>
    <m/>
    <m/>
    <n v="2366"/>
    <m/>
    <m/>
  </r>
  <r>
    <x v="40"/>
    <x v="40"/>
    <m/>
    <m/>
    <s v="Mercedes Tomasa de San Martin 120"/>
    <x v="12"/>
    <x v="34"/>
    <x v="30"/>
    <m/>
    <m/>
    <m/>
    <n v="2388"/>
    <m/>
    <m/>
  </r>
  <r>
    <x v="41"/>
    <x v="41"/>
    <m/>
    <m/>
    <s v="Tacuari 951"/>
    <x v="0"/>
    <x v="35"/>
    <x v="31"/>
    <m/>
    <m/>
    <m/>
    <n v="2586"/>
    <m/>
    <m/>
  </r>
  <r>
    <x v="42"/>
    <x v="42"/>
    <m/>
    <m/>
    <s v="Ballofet 845"/>
    <x v="9"/>
    <x v="36"/>
    <x v="31"/>
    <m/>
    <m/>
    <m/>
    <n v="2586"/>
    <m/>
    <m/>
  </r>
  <r>
    <x v="43"/>
    <x v="43"/>
    <m/>
    <m/>
    <s v="Cochabamba Nº 342 Bº Arizu"/>
    <x v="0"/>
    <x v="4"/>
    <x v="32"/>
    <m/>
    <m/>
    <m/>
    <n v="2929"/>
    <m/>
    <m/>
  </r>
  <r>
    <x v="44"/>
    <x v="44"/>
    <m/>
    <m/>
    <s v="Balcarce 185"/>
    <x v="3"/>
    <x v="37"/>
    <x v="33"/>
    <m/>
    <m/>
    <m/>
    <n v="2940"/>
    <m/>
    <m/>
  </r>
  <r>
    <x v="45"/>
    <x v="45"/>
    <m/>
    <m/>
    <s v="Mariano Moreno 1088"/>
    <x v="13"/>
    <x v="38"/>
    <x v="34"/>
    <m/>
    <m/>
    <m/>
    <n v="3075"/>
    <m/>
    <m/>
  </r>
  <r>
    <x v="46"/>
    <x v="46"/>
    <m/>
    <m/>
    <s v="Pescadores 825"/>
    <x v="9"/>
    <x v="19"/>
    <x v="35"/>
    <m/>
    <m/>
    <m/>
    <n v="3179"/>
    <m/>
    <m/>
  </r>
  <r>
    <x v="47"/>
    <x v="47"/>
    <m/>
    <m/>
    <s v="20 de Setiembre 349"/>
    <x v="3"/>
    <x v="39"/>
    <x v="36"/>
    <m/>
    <m/>
    <m/>
    <n v="3488"/>
    <m/>
    <m/>
  </r>
  <r>
    <x v="48"/>
    <x v="48"/>
    <m/>
    <m/>
    <s v="Independencia 81"/>
    <x v="0"/>
    <x v="5"/>
    <x v="37"/>
    <m/>
    <m/>
    <m/>
    <n v="3654"/>
    <m/>
    <m/>
  </r>
  <r>
    <x v="49"/>
    <x v="49"/>
    <m/>
    <m/>
    <s v="Avellaneda y M. Gomez"/>
    <x v="14"/>
    <x v="16"/>
    <x v="38"/>
    <m/>
    <m/>
    <m/>
    <n v="3673"/>
    <m/>
    <m/>
  </r>
  <r>
    <x v="50"/>
    <x v="50"/>
    <m/>
    <m/>
    <s v="Belgrano 91"/>
    <x v="15"/>
    <x v="40"/>
    <x v="39"/>
    <m/>
    <m/>
    <m/>
    <n v="3824"/>
    <m/>
    <m/>
  </r>
  <r>
    <x v="51"/>
    <x v="51"/>
    <m/>
    <m/>
    <s v="Del Abra y Pública"/>
    <x v="12"/>
    <x v="41"/>
    <x v="40"/>
    <m/>
    <m/>
    <m/>
    <n v="3921"/>
    <m/>
    <m/>
  </r>
  <r>
    <x v="52"/>
    <x v="52"/>
    <m/>
    <m/>
    <s v="Caramelo 424"/>
    <x v="0"/>
    <x v="7"/>
    <x v="41"/>
    <m/>
    <m/>
    <m/>
    <n v="3922"/>
    <m/>
    <m/>
  </r>
  <r>
    <x v="53"/>
    <x v="53"/>
    <m/>
    <m/>
    <s v="Sarmiento 2857 Luzuriaga "/>
    <x v="12"/>
    <x v="42"/>
    <x v="42"/>
    <m/>
    <m/>
    <m/>
    <n v="4336"/>
    <m/>
    <m/>
  </r>
  <r>
    <x v="54"/>
    <x v="54"/>
    <m/>
    <m/>
    <s v="Ruta Provincial N7, km 6, PIN Oeste"/>
    <x v="16"/>
    <x v="43"/>
    <x v="43"/>
    <m/>
    <m/>
    <m/>
    <n v="4382"/>
    <m/>
    <m/>
  </r>
  <r>
    <x v="55"/>
    <x v="55"/>
    <m/>
    <m/>
    <s v="Acceso Sur 4001"/>
    <x v="3"/>
    <x v="44"/>
    <x v="44"/>
    <m/>
    <m/>
    <m/>
    <n v="4398"/>
    <m/>
    <m/>
  </r>
  <r>
    <x v="56"/>
    <x v="56"/>
    <m/>
    <m/>
    <s v="San Martín 670"/>
    <x v="11"/>
    <x v="45"/>
    <x v="45"/>
    <m/>
    <m/>
    <m/>
    <n v="4502"/>
    <m/>
    <m/>
  </r>
  <r>
    <x v="57"/>
    <x v="57"/>
    <m/>
    <m/>
    <s v="Viamonte 1454 5º Piso Oficina 3"/>
    <x v="17"/>
    <x v="19"/>
    <x v="46"/>
    <m/>
    <m/>
    <m/>
    <n v="4584"/>
    <m/>
    <m/>
  </r>
  <r>
    <x v="58"/>
    <x v="58"/>
    <m/>
    <m/>
    <s v="Naciones Unidas 315"/>
    <x v="12"/>
    <x v="46"/>
    <x v="47"/>
    <m/>
    <m/>
    <m/>
    <n v="4906"/>
    <m/>
    <m/>
  </r>
  <r>
    <x v="59"/>
    <x v="59"/>
    <m/>
    <m/>
    <s v="Ruta 15 Km 27.5"/>
    <x v="3"/>
    <x v="47"/>
    <x v="48"/>
    <m/>
    <m/>
    <m/>
    <n v="4965"/>
    <m/>
    <m/>
  </r>
  <r>
    <x v="60"/>
    <x v="60"/>
    <m/>
    <m/>
    <s v="Av. España 2350 2º piso dpto.59 Ciudad Mendoza"/>
    <x v="18"/>
    <x v="15"/>
    <x v="49"/>
    <m/>
    <m/>
    <m/>
    <n v="5311"/>
    <m/>
    <m/>
  </r>
  <r>
    <x v="61"/>
    <x v="61"/>
    <m/>
    <m/>
    <s v="Isabel la Católica 76"/>
    <x v="9"/>
    <x v="48"/>
    <x v="50"/>
    <m/>
    <m/>
    <m/>
    <n v="5786"/>
    <m/>
    <m/>
  </r>
  <r>
    <x v="62"/>
    <x v="62"/>
    <m/>
    <m/>
    <s v="20 de Setiembre 349"/>
    <x v="3"/>
    <x v="49"/>
    <x v="51"/>
    <m/>
    <m/>
    <m/>
    <n v="5938"/>
    <m/>
    <m/>
  </r>
  <r>
    <x v="63"/>
    <x v="63"/>
    <m/>
    <m/>
    <s v="A. Guiñazu 435"/>
    <x v="3"/>
    <x v="19"/>
    <x v="52"/>
    <m/>
    <m/>
    <m/>
    <n v="6046"/>
    <m/>
    <m/>
  </r>
  <r>
    <x v="64"/>
    <x v="64"/>
    <m/>
    <m/>
    <s v="Ruta Pcial. Nº 52 Km. 17,5"/>
    <x v="11"/>
    <x v="50"/>
    <x v="53"/>
    <m/>
    <m/>
    <m/>
    <n v="6148"/>
    <m/>
    <m/>
  </r>
  <r>
    <x v="65"/>
    <x v="65"/>
    <m/>
    <m/>
    <s v="Acceso Sur Km. 14"/>
    <x v="3"/>
    <x v="48"/>
    <x v="54"/>
    <m/>
    <m/>
    <m/>
    <n v="44974"/>
    <m/>
    <m/>
  </r>
  <r>
    <x v="66"/>
    <x v="66"/>
    <m/>
    <m/>
    <s v="Martín Güemes 237"/>
    <x v="19"/>
    <x v="51"/>
    <x v="54"/>
    <m/>
    <m/>
    <m/>
    <n v="44974"/>
    <m/>
    <m/>
  </r>
  <r>
    <x v="67"/>
    <x v="67"/>
    <m/>
    <m/>
    <m/>
    <x v="18"/>
    <x v="52"/>
    <x v="54"/>
    <m/>
    <m/>
    <m/>
    <n v="44974"/>
    <m/>
    <m/>
  </r>
  <r>
    <x v="68"/>
    <x v="68"/>
    <m/>
    <m/>
    <s v="Sarmiento 250 5° Piso Dpto. G"/>
    <x v="9"/>
    <x v="53"/>
    <x v="54"/>
    <m/>
    <m/>
    <m/>
    <n v="44974"/>
    <m/>
    <m/>
  </r>
  <r>
    <x v="69"/>
    <x v="60"/>
    <m/>
    <m/>
    <s v="Av. España 2350 2º piso dpto.59 Ciudad Mendoza"/>
    <x v="18"/>
    <x v="15"/>
    <x v="54"/>
    <m/>
    <m/>
    <m/>
    <n v="44974"/>
    <m/>
    <m/>
  </r>
  <r>
    <x v="70"/>
    <x v="69"/>
    <m/>
    <m/>
    <s v="Pedro molina 461 PB dpto. 10"/>
    <x v="9"/>
    <x v="51"/>
    <x v="54"/>
    <m/>
    <m/>
    <m/>
    <n v="44974"/>
    <m/>
    <m/>
  </r>
  <r>
    <x v="71"/>
    <x v="70"/>
    <m/>
    <m/>
    <s v="Mármol 193"/>
    <x v="11"/>
    <x v="51"/>
    <x v="54"/>
    <m/>
    <m/>
    <m/>
    <n v="44974"/>
    <m/>
    <m/>
  </r>
  <r>
    <x v="72"/>
    <x v="71"/>
    <s v="2022-9071415"/>
    <s v="2022-8312395"/>
    <s v="San Miguel 120"/>
    <x v="20"/>
    <x v="51"/>
    <x v="54"/>
    <s v="0018/2023"/>
    <m/>
    <s v="1852/2022"/>
    <n v="4497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1" cacheId="1" applyNumberFormats="0" applyBorderFormats="0" applyFontFormats="0" applyPatternFormats="0" applyAlignmentFormats="0" applyWidthHeightFormats="1" dataCaption="Valores" updatedVersion="3" minRefreshableVersion="3" showCalcMbrs="0" useAutoFormatting="1" itemPrintTitles="1" createdVersion="3" indent="0" outline="1" outlineData="1" multipleFieldFilters="0">
  <location ref="A3:A68" firstHeaderRow="1" firstDataRow="1" firstDataCol="1" rowPageCount="1" colPageCount="1"/>
  <pivotFields count="14">
    <pivotField axis="axisRow" showAll="0">
      <items count="75">
        <item x="65"/>
        <item x="8"/>
        <item x="57"/>
        <item x="66"/>
        <item x="12"/>
        <item x="36"/>
        <item x="7"/>
        <item x="62"/>
        <item x="61"/>
        <item x="58"/>
        <item x="6"/>
        <item x="51"/>
        <item x="67"/>
        <item x="0"/>
        <item x="30"/>
        <item x="64"/>
        <item x="63"/>
        <item x="1"/>
        <item x="50"/>
        <item x="48"/>
        <item x="54"/>
        <item x="23"/>
        <item x="47"/>
        <item x="4"/>
        <item x="56"/>
        <item x="68"/>
        <item x="24"/>
        <item x="69"/>
        <item x="60"/>
        <item x="52"/>
        <item x="45"/>
        <item x="59"/>
        <item x="70"/>
        <item x="37"/>
        <item x="17"/>
        <item x="39"/>
        <item x="71"/>
        <item x="2"/>
        <item m="1" x="73"/>
        <item x="55"/>
        <item x="44"/>
        <item x="53"/>
        <item x="13"/>
        <item x="3"/>
        <item x="49"/>
        <item x="38"/>
        <item x="34"/>
        <item x="25"/>
        <item x="46"/>
        <item x="14"/>
        <item x="40"/>
        <item x="21"/>
        <item x="29"/>
        <item x="43"/>
        <item x="35"/>
        <item x="33"/>
        <item x="31"/>
        <item x="41"/>
        <item x="42"/>
        <item x="27"/>
        <item x="28"/>
        <item x="32"/>
        <item x="15"/>
        <item x="26"/>
        <item x="22"/>
        <item x="18"/>
        <item x="10"/>
        <item x="11"/>
        <item x="19"/>
        <item x="20"/>
        <item x="16"/>
        <item x="9"/>
        <item x="5"/>
        <item x="72"/>
        <item t="default"/>
      </items>
    </pivotField>
    <pivotField axis="axisRow" showAll="0">
      <items count="74">
        <item x="36"/>
        <item x="12"/>
        <item x="14"/>
        <item x="9"/>
        <item x="53"/>
        <item x="16"/>
        <item x="35"/>
        <item x="31"/>
        <item x="33"/>
        <item x="18"/>
        <item x="51"/>
        <item x="17"/>
        <item x="13"/>
        <item x="7"/>
        <item x="26"/>
        <item x="0"/>
        <item x="66"/>
        <item x="11"/>
        <item m="1" x="72"/>
        <item x="1"/>
        <item x="68"/>
        <item x="44"/>
        <item x="59"/>
        <item x="24"/>
        <item x="71"/>
        <item x="48"/>
        <item x="46"/>
        <item x="67"/>
        <item x="65"/>
        <item x="54"/>
        <item x="28"/>
        <item x="63"/>
        <item x="57"/>
        <item x="42"/>
        <item x="23"/>
        <item x="55"/>
        <item x="43"/>
        <item x="6"/>
        <item x="8"/>
        <item x="70"/>
        <item x="22"/>
        <item x="38"/>
        <item x="27"/>
        <item x="32"/>
        <item x="64"/>
        <item x="39"/>
        <item x="20"/>
        <item x="41"/>
        <item x="19"/>
        <item x="60"/>
        <item x="69"/>
        <item x="58"/>
        <item x="37"/>
        <item x="61"/>
        <item x="56"/>
        <item x="5"/>
        <item x="25"/>
        <item x="3"/>
        <item x="34"/>
        <item x="30"/>
        <item x="52"/>
        <item x="15"/>
        <item x="4"/>
        <item x="45"/>
        <item x="10"/>
        <item x="21"/>
        <item x="47"/>
        <item x="62"/>
        <item x="2"/>
        <item x="29"/>
        <item x="40"/>
        <item x="50"/>
        <item x="49"/>
        <item t="default"/>
      </items>
    </pivotField>
    <pivotField showAll="0"/>
    <pivotField showAll="0"/>
    <pivotField showAll="0"/>
    <pivotField axis="axisRow" showAll="0">
      <items count="22">
        <item x="5"/>
        <item x="17"/>
        <item x="9"/>
        <item x="4"/>
        <item x="2"/>
        <item x="1"/>
        <item x="0"/>
        <item x="19"/>
        <item x="8"/>
        <item x="20"/>
        <item x="11"/>
        <item x="3"/>
        <item x="12"/>
        <item x="10"/>
        <item x="16"/>
        <item x="6"/>
        <item x="14"/>
        <item x="15"/>
        <item x="13"/>
        <item x="7"/>
        <item x="18"/>
        <item t="default"/>
      </items>
    </pivotField>
    <pivotField axis="axisRow" showAll="0">
      <items count="56">
        <item x="41"/>
        <item x="52"/>
        <item x="25"/>
        <item x="49"/>
        <item x="14"/>
        <item x="36"/>
        <item x="34"/>
        <item x="28"/>
        <item x="1"/>
        <item x="0"/>
        <item x="20"/>
        <item x="10"/>
        <item x="35"/>
        <item x="30"/>
        <item x="32"/>
        <item x="42"/>
        <item x="29"/>
        <item x="39"/>
        <item x="16"/>
        <item x="47"/>
        <item x="5"/>
        <item x="38"/>
        <item x="3"/>
        <item x="23"/>
        <item x="26"/>
        <item x="53"/>
        <item x="43"/>
        <item x="19"/>
        <item x="22"/>
        <item x="31"/>
        <item x="33"/>
        <item x="6"/>
        <item x="12"/>
        <item x="21"/>
        <item x="7"/>
        <item x="45"/>
        <item x="27"/>
        <item m="1" x="54"/>
        <item x="18"/>
        <item x="2"/>
        <item x="37"/>
        <item x="48"/>
        <item x="46"/>
        <item x="17"/>
        <item x="44"/>
        <item x="13"/>
        <item x="8"/>
        <item x="9"/>
        <item x="50"/>
        <item x="15"/>
        <item x="24"/>
        <item x="4"/>
        <item x="40"/>
        <item x="11"/>
        <item x="51"/>
        <item t="default"/>
      </items>
    </pivotField>
    <pivotField axis="axisPage" multipleItemSelectionAllowed="1" showAll="0">
      <items count="56">
        <item h="1" x="53"/>
        <item h="1" x="52"/>
        <item h="1" x="51"/>
        <item h="1" x="50"/>
        <item h="1" x="49"/>
        <item h="1" x="48"/>
        <item h="1" x="47"/>
        <item h="1"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x="11"/>
        <item x="10"/>
        <item x="9"/>
        <item x="8"/>
        <item x="7"/>
        <item x="6"/>
        <item x="5"/>
        <item x="4"/>
        <item x="3"/>
        <item x="2"/>
        <item x="1"/>
        <item x="0"/>
        <item h="1" x="54"/>
        <item t="default"/>
      </items>
    </pivotField>
    <pivotField showAll="0"/>
    <pivotField showAll="0"/>
    <pivotField showAll="0"/>
    <pivotField numFmtId="1" showAll="0"/>
    <pivotField showAll="0"/>
    <pivotField showAll="0"/>
  </pivotFields>
  <rowFields count="4">
    <field x="5"/>
    <field x="1"/>
    <field x="0"/>
    <field x="6"/>
  </rowFields>
  <rowItems count="65">
    <i>
      <x/>
    </i>
    <i r="1">
      <x v="9"/>
    </i>
    <i r="2">
      <x v="65"/>
    </i>
    <i r="3">
      <x v="18"/>
    </i>
    <i r="1">
      <x v="12"/>
    </i>
    <i r="2">
      <x v="42"/>
    </i>
    <i r="3">
      <x v="53"/>
    </i>
    <i r="1">
      <x v="64"/>
    </i>
    <i r="2">
      <x v="66"/>
    </i>
    <i r="3">
      <x v="46"/>
    </i>
    <i>
      <x v="3"/>
    </i>
    <i r="1">
      <x v="2"/>
    </i>
    <i r="2">
      <x v="49"/>
    </i>
    <i r="3">
      <x v="32"/>
    </i>
    <i r="1">
      <x v="37"/>
    </i>
    <i r="2">
      <x v="10"/>
    </i>
    <i r="3">
      <x v="20"/>
    </i>
    <i r="1">
      <x v="38"/>
    </i>
    <i r="2">
      <x v="1"/>
    </i>
    <i r="3">
      <x v="51"/>
    </i>
    <i>
      <x v="4"/>
    </i>
    <i r="1">
      <x v="1"/>
    </i>
    <i r="2">
      <x v="4"/>
    </i>
    <i r="3">
      <x v="11"/>
    </i>
    <i r="1">
      <x v="5"/>
    </i>
    <i r="2">
      <x v="70"/>
    </i>
    <i r="3">
      <x v="4"/>
    </i>
    <i r="1">
      <x v="13"/>
    </i>
    <i r="2">
      <x v="6"/>
    </i>
    <i r="3">
      <x v="31"/>
    </i>
    <i r="1">
      <x v="62"/>
    </i>
    <i r="2">
      <x v="23"/>
    </i>
    <i r="3">
      <x v="22"/>
    </i>
    <i>
      <x v="5"/>
    </i>
    <i r="1">
      <x v="68"/>
    </i>
    <i r="2">
      <x v="37"/>
    </i>
    <i r="3">
      <x v="39"/>
    </i>
    <i>
      <x v="6"/>
    </i>
    <i r="1">
      <x v="3"/>
    </i>
    <i r="2">
      <x v="71"/>
    </i>
    <i r="3">
      <x v="34"/>
    </i>
    <i r="1">
      <x v="15"/>
    </i>
    <i r="2">
      <x v="13"/>
    </i>
    <i r="3">
      <x v="9"/>
    </i>
    <i r="1">
      <x v="19"/>
    </i>
    <i r="2">
      <x v="17"/>
    </i>
    <i r="3">
      <x v="8"/>
    </i>
    <i r="1">
      <x v="57"/>
    </i>
    <i r="2">
      <x v="43"/>
    </i>
    <i r="3">
      <x v="8"/>
    </i>
    <i>
      <x v="11"/>
    </i>
    <i r="1">
      <x v="55"/>
    </i>
    <i r="2">
      <x v="72"/>
    </i>
    <i r="3">
      <x v="51"/>
    </i>
    <i>
      <x v="15"/>
    </i>
    <i r="1">
      <x v="11"/>
    </i>
    <i r="2">
      <x v="34"/>
    </i>
    <i r="3">
      <x v="49"/>
    </i>
    <i r="1">
      <x v="17"/>
    </i>
    <i r="2">
      <x v="67"/>
    </i>
    <i r="3">
      <x v="47"/>
    </i>
    <i r="1">
      <x v="61"/>
    </i>
    <i r="2">
      <x v="62"/>
    </i>
    <i r="3">
      <x v="45"/>
    </i>
    <i t="grand">
      <x/>
    </i>
  </rowItems>
  <colItems count="1">
    <i/>
  </colItems>
  <pageFields count="1">
    <pageField fld="7" hier="-1"/>
  </page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a1" displayName="Tabla1" ref="A1:O74" totalsRowShown="0" headerRowDxfId="17" dataDxfId="16" tableBorderDxfId="15" headerRowCellStyle="Normal 2" dataCellStyle="Normal 2">
  <autoFilter ref="A1:O74">
    <filterColumn colId="2"/>
    <filterColumn colId="8"/>
    <filterColumn colId="9"/>
    <filterColumn colId="11"/>
    <filterColumn colId="12"/>
    <filterColumn colId="13"/>
    <filterColumn colId="14"/>
  </autoFilter>
  <sortState ref="A3:O76">
    <sortCondition descending="1" ref="H3:H76"/>
  </sortState>
  <tableColumns count="15">
    <tableColumn id="1" name="CAA" dataDxfId="14" dataCellStyle="Normal 2"/>
    <tableColumn id="2" name="RAZÓN SOCIAL" dataDxfId="13" dataCellStyle="Normal 2"/>
    <tableColumn id="12" name="CUIT" dataDxfId="12" dataCellStyle="Normal 2"/>
    <tableColumn id="3" name="EXPTE. DPA" dataDxfId="11" dataCellStyle="Normal 2"/>
    <tableColumn id="5" name="DOMICILIO" dataDxfId="10" dataCellStyle="Normal 2"/>
    <tableColumn id="6" name="LOC." dataDxfId="9" dataCellStyle="Normal 2"/>
    <tableColumn id="7" name="CORRIENTES AUTORIZADAS" dataDxfId="8" dataCellStyle="Normal 2"/>
    <tableColumn id="8" name="VTO." dataDxfId="7" dataCellStyle="Normal 2"/>
    <tableColumn id="11" name="Resol DPA" dataDxfId="6" dataCellStyle="Normal 2"/>
    <tableColumn id="10" name="Resol SSP" dataDxfId="5" dataCellStyle="Normal 2"/>
    <tableColumn id="9" name="VIGENCIA" dataDxfId="4">
      <calculatedColumnFormula>(TODAY()-H2)</calculatedColumnFormula>
    </tableColumn>
    <tableColumn id="4" name="Unidades Habilitadas" dataDxfId="3" dataCellStyle="Normal 2"/>
    <tableColumn id="13" name="Acta Insp." dataDxfId="2" dataCellStyle="Normal 2"/>
    <tableColumn id="15" name="Acta Insp.2" dataDxfId="1" dataCellStyle="Normal 2"/>
    <tableColumn id="14" name="Observaciones" dataDxfId="0" dataCellStyle="Normal 2"/>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Transportistas\Deltacom%20SA\Expte%20DPA\2021\Deltacom%20S.A.06_10_2021144227_Acta.pdf" TargetMode="External"/><Relationship Id="rId18" Type="http://schemas.openxmlformats.org/officeDocument/2006/relationships/hyperlink" Target="Transportistas\Todotrans\Expte%20DPA\2022\RS-2022-07223063-GDEMZA-DPA%25SAYOT.pdf" TargetMode="External"/><Relationship Id="rId26" Type="http://schemas.openxmlformats.org/officeDocument/2006/relationships/hyperlink" Target="Transportistas\Crexell\Expte%20DPA\2022\000069%20Crexell%202022.pdf" TargetMode="External"/><Relationship Id="rId39" Type="http://schemas.openxmlformats.org/officeDocument/2006/relationships/hyperlink" Target="Transportistas\TN%20Cuyana\Expte%20DPA\2022\RS-2022-01381368-GDEMZA-DPA%25SAYOT.pdf" TargetMode="External"/><Relationship Id="rId21" Type="http://schemas.openxmlformats.org/officeDocument/2006/relationships/hyperlink" Target="Transportistas\La%20Higi&#233;nica\Expte%20DPA\2022\000011%20Vidal%202022-9.pdf" TargetMode="External"/><Relationship Id="rId34" Type="http://schemas.openxmlformats.org/officeDocument/2006/relationships/hyperlink" Target="Transportistas\Transgriff\Expte%20DPA\2022\INLEG-2022-01615077-GDEMZA-SSP.pdf" TargetMode="External"/><Relationship Id="rId42" Type="http://schemas.openxmlformats.org/officeDocument/2006/relationships/hyperlink" Target="Transportistas\Chediack\Expte%20DPA\2021\RS-2021-00951130-GDEMZA-DPA%25SAYOT.pdf" TargetMode="External"/><Relationship Id="rId47" Type="http://schemas.openxmlformats.org/officeDocument/2006/relationships/hyperlink" Target="Transportistas\Contrini%20Hnos\Expte%20DPA\2022\Contrini%20Hnos09_02_202216_29_18_Acta.pdf" TargetMode="External"/><Relationship Id="rId50" Type="http://schemas.openxmlformats.org/officeDocument/2006/relationships/hyperlink" Target="Transportistas\Conevial%20Constructura%20e%20Inversora%20SA\Expte%20DPA\2022\INLEG-2022-04043181-GDEMZA-SSP.pdf" TargetMode="External"/><Relationship Id="rId55" Type="http://schemas.openxmlformats.org/officeDocument/2006/relationships/hyperlink" Target="Transportistas\Reficuyo%20SA\Expte%20DPA\2021\000070%20Reficuyo%202022.pdf" TargetMode="External"/><Relationship Id="rId63" Type="http://schemas.openxmlformats.org/officeDocument/2006/relationships/hyperlink" Target="Transportistas\Borgia\Expte%20DPA\2022\000072%20Borgia%202022-signed.pdf" TargetMode="External"/><Relationship Id="rId68" Type="http://schemas.openxmlformats.org/officeDocument/2006/relationships/hyperlink" Target="Transportistas\Andesmar\Expte%20DPA\2022\INLEG-2022-02349618-GDEMZA-SSP.pdf" TargetMode="External"/><Relationship Id="rId76" Type="http://schemas.openxmlformats.org/officeDocument/2006/relationships/hyperlink" Target="Transportistas\Andesmar\Expte%20DPA\2022\Andesmar%20Cargas%20S.A.13_04_202213_42_38_Acta.pdf" TargetMode="External"/><Relationship Id="rId84" Type="http://schemas.openxmlformats.org/officeDocument/2006/relationships/hyperlink" Target="Transportistas\Transgriff\Expte%20DPA\2022\Transgriff%20SA17_11_202115_8_22_Acta.pdf" TargetMode="External"/><Relationship Id="rId89" Type="http://schemas.openxmlformats.org/officeDocument/2006/relationships/hyperlink" Target="Transportistas\Ambiental%20Mza\Expte%20DPA\2022\Acta%20Inspecci&#243;n%2021-09-01.pdf" TargetMode="External"/><Relationship Id="rId7" Type="http://schemas.openxmlformats.org/officeDocument/2006/relationships/hyperlink" Target="Transportistas\Petrol%20Trans\Expte%20DPA\2022\000038%20Petrol%20Trans%202022%20(firmado).pdf" TargetMode="External"/><Relationship Id="rId71" Type="http://schemas.openxmlformats.org/officeDocument/2006/relationships/hyperlink" Target="Transportistas\Mileniun\Expte%20DPA\2022\000074%202022.pdf" TargetMode="External"/><Relationship Id="rId2" Type="http://schemas.openxmlformats.org/officeDocument/2006/relationships/hyperlink" Target="Transportistas\Soluciones%20Ambientales\Expte%20DPA\2022\RS-2023-00063670-GDEMZA-DPA%25SAYOT.pdf" TargetMode="External"/><Relationship Id="rId16" Type="http://schemas.openxmlformats.org/officeDocument/2006/relationships/hyperlink" Target="Transportistas\Mannor%20Hause\Expte%20DPA\2022\INLEG-2022-04982760-GDEMZA-SSP.pdf" TargetMode="External"/><Relationship Id="rId29" Type="http://schemas.openxmlformats.org/officeDocument/2006/relationships/hyperlink" Target="Transportistas\Alfa%20Service\Expte.%20DPA\2022\000005%20Humberto%20Morillas%202022.pdf" TargetMode="External"/><Relationship Id="rId11" Type="http://schemas.openxmlformats.org/officeDocument/2006/relationships/hyperlink" Target="Transportistas\Soluciones%20Ambientales\Expte%20DPA\2021\Soluciones%20Ambientales03_11_202111_19_20_Acta.pdf" TargetMode="External"/><Relationship Id="rId24" Type="http://schemas.openxmlformats.org/officeDocument/2006/relationships/hyperlink" Target="Transportistas\La%20Higi&#233;nica\Expte%20DPA\2021\La%20Higi&#233;nica08_09_202117_3_30_Acta.pdf" TargetMode="External"/><Relationship Id="rId32" Type="http://schemas.openxmlformats.org/officeDocument/2006/relationships/hyperlink" Target="Transportistas\Transgriff\Expte%20DPA\2022\000068%20Transgriff%202022-08.pdf" TargetMode="External"/><Relationship Id="rId37" Type="http://schemas.openxmlformats.org/officeDocument/2006/relationships/hyperlink" Target="Transportistas\TSB%20SA\Expte%20DPA\2022\INLEG-2022-00923090-GDEMZA-SSP.pdf" TargetMode="External"/><Relationship Id="rId40" Type="http://schemas.openxmlformats.org/officeDocument/2006/relationships/hyperlink" Target="Transportistas\TN%20Cuyana\Expte%20DPA\2022\INLEG-2022-01213824-GDEMZA-SSP.pdf" TargetMode="External"/><Relationship Id="rId45" Type="http://schemas.openxmlformats.org/officeDocument/2006/relationships/hyperlink" Target="Transportistas\Contrini%20Hnos\Expte%20DPA\2023\RS-2023-00956761-GDEMZA-DPA%25SAYOT.pdf" TargetMode="External"/><Relationship Id="rId53" Type="http://schemas.openxmlformats.org/officeDocument/2006/relationships/hyperlink" Target="Transportistas\Construmin%20SRL\Expte%20DPA\2022\INLEG-2022-05306654-GDEMZA-SSP.pdf" TargetMode="External"/><Relationship Id="rId58" Type="http://schemas.openxmlformats.org/officeDocument/2006/relationships/hyperlink" Target="Transportistas\Reficuyo%20SA\Expte%20DPA\2021\Reficuyo%20S.A.21_12_20219_45_24_Acta.pdf" TargetMode="External"/><Relationship Id="rId66" Type="http://schemas.openxmlformats.org/officeDocument/2006/relationships/hyperlink" Target="Transportistas\Andesmar\Expte%20DPA\2022\000073%20Andesmar%202022%20(1).pdf" TargetMode="External"/><Relationship Id="rId74" Type="http://schemas.openxmlformats.org/officeDocument/2006/relationships/hyperlink" Target="Transportistas\Mileniun\Expte%20DPA\2022\Servicios%20Mileniun%20SA04_10_202292211_Acta.pdf" TargetMode="External"/><Relationship Id="rId79" Type="http://schemas.openxmlformats.org/officeDocument/2006/relationships/hyperlink" Target="Transportistas\Chediack\Expte%20DPA\2022\Chediack16_02_202215_22_2_Acta.pdf" TargetMode="External"/><Relationship Id="rId87" Type="http://schemas.openxmlformats.org/officeDocument/2006/relationships/hyperlink" Target="Transportistas\Crexell\Expte%20DPA\2022\Acta%20Inspecci&#243;n%20rp-g000029.pdf" TargetMode="External"/><Relationship Id="rId5" Type="http://schemas.openxmlformats.org/officeDocument/2006/relationships/hyperlink" Target="Transportistas\Ambiental%20Mza\Expte%20DPA\2022\INLEG-2022-06268310-GDEMZA-SSP.pdf" TargetMode="External"/><Relationship Id="rId61" Type="http://schemas.openxmlformats.org/officeDocument/2006/relationships/hyperlink" Target="Transportistas\PM\Expte%20DPA\2021\INLEG-2021-06467198-GDEMZA-SSP-RESOLUCION%201212-21.pdf" TargetMode="External"/><Relationship Id="rId82" Type="http://schemas.openxmlformats.org/officeDocument/2006/relationships/hyperlink" Target="Transportistas\TSB%20SA\Expte%20DPA\2022\TSB15_12_202114_57_43_Acta.pdf" TargetMode="External"/><Relationship Id="rId90" Type="http://schemas.openxmlformats.org/officeDocument/2006/relationships/printerSettings" Target="../printerSettings/printerSettings1.bin"/><Relationship Id="rId19" Type="http://schemas.openxmlformats.org/officeDocument/2006/relationships/hyperlink" Target="Transportistas\Todotrans\Expte%20DPA\2022\INLEG-2022-06977560-GDEMZA-SSP.pdf" TargetMode="External"/><Relationship Id="rId14" Type="http://schemas.openxmlformats.org/officeDocument/2006/relationships/hyperlink" Target="Transportistas\Mannor%20Hause\Expte%20DPA\2022\000002%20Mannor%20Hause%202022.pdf" TargetMode="External"/><Relationship Id="rId22" Type="http://schemas.openxmlformats.org/officeDocument/2006/relationships/hyperlink" Target="Transportistas\La%20Higi&#233;nica\Expte%20DPA\2022\RS-2022-06481366-GDEMZA-DPA%25SAYOT.pdf" TargetMode="External"/><Relationship Id="rId27" Type="http://schemas.openxmlformats.org/officeDocument/2006/relationships/hyperlink" Target="Transportistas\Crexell\Expte%20DPA\2022\RS-2022-01844661-GDEMZA-DPA%25SAYOT.pdf" TargetMode="External"/><Relationship Id="rId30" Type="http://schemas.openxmlformats.org/officeDocument/2006/relationships/hyperlink" Target="Transportistas\Alfa%20Service\Expte%20DPA\2022\RS-2022-01019811-GDEMZA-DPA%25SAYOT.pdf" TargetMode="External"/><Relationship Id="rId35" Type="http://schemas.openxmlformats.org/officeDocument/2006/relationships/hyperlink" Target="Transportistas\TSB%20SA\Expte%20DPA\2022\000035%20TSB%202022-signed.pdf" TargetMode="External"/><Relationship Id="rId43" Type="http://schemas.openxmlformats.org/officeDocument/2006/relationships/hyperlink" Target="Transportistas\Chediack\Expte%20DPA\2021\res%20003-21.pdf" TargetMode="External"/><Relationship Id="rId48" Type="http://schemas.openxmlformats.org/officeDocument/2006/relationships/hyperlink" Target="Transportistas\Conevial%20Constructura%20e%20Inversora%20SA\Expte%20DPA\2022\000044%20Conevial%202022.pdf" TargetMode="External"/><Relationship Id="rId56" Type="http://schemas.openxmlformats.org/officeDocument/2006/relationships/hyperlink" Target="Transportistas\Reficuyo%20SA\Expte%20DPA\2021\RS-2021-08278744-GDEMZA-DPA%25SAYOT.pdf" TargetMode="External"/><Relationship Id="rId64" Type="http://schemas.openxmlformats.org/officeDocument/2006/relationships/hyperlink" Target="Transportistas\Borgia\Expte%20DPA\2022\RS-2022-01381522-GDEMZA-DPA%25SAYOT.pdf" TargetMode="External"/><Relationship Id="rId69" Type="http://schemas.openxmlformats.org/officeDocument/2006/relationships/hyperlink" Target="Transportistas\Contenedores%20Azul%20SA\Expte%20DPA\2018\Resoluci&#243;n%20DPA.pdf" TargetMode="External"/><Relationship Id="rId77" Type="http://schemas.openxmlformats.org/officeDocument/2006/relationships/hyperlink" Target="Transportistas\Borgia\Expte%20DPA\2022\Bster&#237;as%20Borgia%20S.A.27_04_202214_5_4_Acta.pdf" TargetMode="External"/><Relationship Id="rId8" Type="http://schemas.openxmlformats.org/officeDocument/2006/relationships/hyperlink" Target="Transportistas\Petrol%20Trans\Expte%20DPA\2022\RS-2022-09275151-GDEMZA-DPA%25SAYOT.pdf" TargetMode="External"/><Relationship Id="rId51" Type="http://schemas.openxmlformats.org/officeDocument/2006/relationships/hyperlink" Target="Transportistas\Construmin%20SRL\Expte%20DPA\2022\CAA%20Construmin%202022.pdf" TargetMode="External"/><Relationship Id="rId72" Type="http://schemas.openxmlformats.org/officeDocument/2006/relationships/hyperlink" Target="Transportistas\Mileniun\Expte%20DPA\2022\RS-2022-07223054-GDEMZA-DPA%25SAYOT.pdf" TargetMode="External"/><Relationship Id="rId80" Type="http://schemas.openxmlformats.org/officeDocument/2006/relationships/hyperlink" Target="Transportistas\Chediack\Expte%20DPA\2022\Chediack%20S.A19_08_2021102137_Acta.pdf" TargetMode="External"/><Relationship Id="rId85" Type="http://schemas.openxmlformats.org/officeDocument/2006/relationships/hyperlink" Target="Transportistas\Alfa%20Service\Expte%20DPA\2022\Acta\Acta%20Inspecci&#243;n%20rp-g000031.pdf" TargetMode="External"/><Relationship Id="rId3" Type="http://schemas.openxmlformats.org/officeDocument/2006/relationships/hyperlink" Target="Transportistas\Soluciones%20Ambientales\Expte%20DPA\2022\INLEG-2023-00158569-GDEMZA-SSP.pdf" TargetMode="External"/><Relationship Id="rId12" Type="http://schemas.openxmlformats.org/officeDocument/2006/relationships/hyperlink" Target="Transportistas\Deltacom%20SA\Expte%20DPA\2022\000018%20Deltacom%202022.pdf" TargetMode="External"/><Relationship Id="rId17" Type="http://schemas.openxmlformats.org/officeDocument/2006/relationships/hyperlink" Target="Transportistas\Todotrans\Expte%20DPA\2022\000024%20Todotrans%202022.pdf" TargetMode="External"/><Relationship Id="rId25" Type="http://schemas.openxmlformats.org/officeDocument/2006/relationships/hyperlink" Target="Transportistas\La%20Higi&#233;nica\Expte%20DPA\2022\La%20Higi&#233;nica29_06_202214_55_1_Acta.pdf" TargetMode="External"/><Relationship Id="rId33" Type="http://schemas.openxmlformats.org/officeDocument/2006/relationships/hyperlink" Target="Transportistas\Transgriff\Expte%20DPA\2022\RS-2022-07380537-GDEMZA-DPA%25SAYOT.pdf" TargetMode="External"/><Relationship Id="rId38" Type="http://schemas.openxmlformats.org/officeDocument/2006/relationships/hyperlink" Target="Transportistas\TN%20Cuyana\Expte%20DPA\2022\000064%20TN%20Cuyana%202022-signed.pdf" TargetMode="External"/><Relationship Id="rId46" Type="http://schemas.openxmlformats.org/officeDocument/2006/relationships/hyperlink" Target="Transportistas\Contrini%20Hnos\Expte%20DPA\2023\INLEG-2023-00139675-GDEMZA-SSP.pdf" TargetMode="External"/><Relationship Id="rId59" Type="http://schemas.openxmlformats.org/officeDocument/2006/relationships/hyperlink" Target="Transportistas\PM\Expte%20DPA\2021\000071%20PM%20Cargo%202022%20(firmado).pdf" TargetMode="External"/><Relationship Id="rId67" Type="http://schemas.openxmlformats.org/officeDocument/2006/relationships/hyperlink" Target="Transportistas\Andesmar\Expte%20DPA\2022\RS-2022-02595899-GDEMZA-DPA%25SAYOT.pdf" TargetMode="External"/><Relationship Id="rId20" Type="http://schemas.openxmlformats.org/officeDocument/2006/relationships/hyperlink" Target="Transportistas\Todotrans\Expte%20DPA\2022\Todotrans%20S.A.23_03_202215_28_45_Acta.pdf" TargetMode="External"/><Relationship Id="rId41" Type="http://schemas.openxmlformats.org/officeDocument/2006/relationships/hyperlink" Target="Transportistas\Chediack\Expte%20DPA\2021\000067%20Chediack%202021.pdf" TargetMode="External"/><Relationship Id="rId54" Type="http://schemas.openxmlformats.org/officeDocument/2006/relationships/hyperlink" Target="Transportistas\Construmin%20SRL\Expte%20DPA\2022\Construmin30_03_202215_54_16_Acta.pdf" TargetMode="External"/><Relationship Id="rId62" Type="http://schemas.openxmlformats.org/officeDocument/2006/relationships/hyperlink" Target="Transportistas\PM\Expte%20DPA\2022\PM%20Cargo%20Acta%202022-06-08.pdf" TargetMode="External"/><Relationship Id="rId70" Type="http://schemas.openxmlformats.org/officeDocument/2006/relationships/hyperlink" Target="Transportistas\Contenedores%20Azul%20SA\Expte%20DPA\2018\Resoluci&#243;n.pdf" TargetMode="External"/><Relationship Id="rId75" Type="http://schemas.openxmlformats.org/officeDocument/2006/relationships/hyperlink" Target="Transportistas\Ecopetro\Expte%20DPA\2022\INLEG-2022-08824613-GDEMZA-SSP.pdf" TargetMode="External"/><Relationship Id="rId83" Type="http://schemas.openxmlformats.org/officeDocument/2006/relationships/hyperlink" Target="Transportistas\Transgriff\Expte%20DPA\2022\Transgriff%20SA02_03_202215_52_8_Acta.pdf" TargetMode="External"/><Relationship Id="rId88" Type="http://schemas.openxmlformats.org/officeDocument/2006/relationships/hyperlink" Target="Transportistas\Mannor%20Hause\Expte%20DPA\2021\ACTA-2021-05657768-GDEMZA-DPA%25SAYOT.pdf" TargetMode="External"/><Relationship Id="rId91" Type="http://schemas.openxmlformats.org/officeDocument/2006/relationships/table" Target="../tables/table1.xml"/><Relationship Id="rId1" Type="http://schemas.openxmlformats.org/officeDocument/2006/relationships/hyperlink" Target="Transportistas\Soluciones%20Ambientales\Expte%20DPA\2022\Soluciones%20Ambientales%20-%20CAA%20T-000045%20-%202023.pdf" TargetMode="External"/><Relationship Id="rId6" Type="http://schemas.openxmlformats.org/officeDocument/2006/relationships/hyperlink" Target="Transportistas\Ambiental%20Mza\Expte%20DPA\2022\RS-2022-06481384-GDEMZA-DPA%25SAYOT.pdf" TargetMode="External"/><Relationship Id="rId15" Type="http://schemas.openxmlformats.org/officeDocument/2006/relationships/hyperlink" Target="Transportistas\Mannor%20Hause\Expte%20DPA\2022\RS-2022-05065191-GDEMZA-DPA%25SAYOT.pdf" TargetMode="External"/><Relationship Id="rId23" Type="http://schemas.openxmlformats.org/officeDocument/2006/relationships/hyperlink" Target="Transportistas\La%20Higi&#233;nica\Expte%20DPA\2022\INLEG-2022-06195405-GDEMZA-SSP.pdf" TargetMode="External"/><Relationship Id="rId28" Type="http://schemas.openxmlformats.org/officeDocument/2006/relationships/hyperlink" Target="Transportistas\Crexell\Expte%20DPA\2022\INLEG-2022-01616485-GDEMZA-SSP.pdf" TargetMode="External"/><Relationship Id="rId36" Type="http://schemas.openxmlformats.org/officeDocument/2006/relationships/hyperlink" Target="Transportistas\TSB%20SA\Expte%20DPA\2022\RS-2022-01083631-GDEMZA-DPA%25SAYOT.pdf" TargetMode="External"/><Relationship Id="rId49" Type="http://schemas.openxmlformats.org/officeDocument/2006/relationships/hyperlink" Target="Transportistas\Conevial%20Constructura%20e%20Inversora%20SA\Expte%20DPA\2022\RS-2022-04862558-GDEMZA-DPA%25SAYOT.pdf" TargetMode="External"/><Relationship Id="rId57" Type="http://schemas.openxmlformats.org/officeDocument/2006/relationships/hyperlink" Target="Transportistas\Reficuyo%20SA\Expte%20DPA\2021\INLEG-2021-07833362-GDEMZA-SSP.pdf" TargetMode="External"/><Relationship Id="rId10" Type="http://schemas.openxmlformats.org/officeDocument/2006/relationships/hyperlink" Target="Transportistas\Petrol%20Trans\Expte%20DPA\2021\Petroltrans20_10_202114_31_35_Acta.pdf" TargetMode="External"/><Relationship Id="rId31" Type="http://schemas.openxmlformats.org/officeDocument/2006/relationships/hyperlink" Target="Transportistas\Alfa%20Service\Expte%20DPA\2022\INLEG-2022-00890292-GDEMZA-SSP.pdf" TargetMode="External"/><Relationship Id="rId44" Type="http://schemas.openxmlformats.org/officeDocument/2006/relationships/hyperlink" Target="Transportistas\Contrini%20Hnos\Expte%20DPA\2023\000014%20Contrini%202023.pdf" TargetMode="External"/><Relationship Id="rId52" Type="http://schemas.openxmlformats.org/officeDocument/2006/relationships/hyperlink" Target="Transportistas\Construmin%20SRL\Expte%20DPA\2022\RS-2022-06297606-GDEMZA-DPA%25SAYOT.pdf" TargetMode="External"/><Relationship Id="rId60" Type="http://schemas.openxmlformats.org/officeDocument/2006/relationships/hyperlink" Target="Transportistas\PM\Expte%20DPA\2021\RS-2021-08282872-GDEMZA-DPA%25SAYOT.pdf" TargetMode="External"/><Relationship Id="rId65" Type="http://schemas.openxmlformats.org/officeDocument/2006/relationships/hyperlink" Target="Transportistas\Borgia\Expte%20DPA\2022\INLEG-2022-00888935-GDEMZA-SSP.pdf" TargetMode="External"/><Relationship Id="rId73" Type="http://schemas.openxmlformats.org/officeDocument/2006/relationships/hyperlink" Target="Transportistas\Mileniun\Expte%20DPA\2022\INLEG-2022-06638576-GDEMZA-SSP.pdf" TargetMode="External"/><Relationship Id="rId78" Type="http://schemas.openxmlformats.org/officeDocument/2006/relationships/hyperlink" Target="Transportistas\Conevial%20Constructura%20e%20Inversora%20SA\Expte%20DPA\2022\Conevial06_04_202215_13_48_Acta.pdf" TargetMode="External"/><Relationship Id="rId81" Type="http://schemas.openxmlformats.org/officeDocument/2006/relationships/hyperlink" Target="Transportistas\TN%20Cuyana\Expte%20DPA\2022\TN%20Cuyana01_12_202114_56_15_Acta.pdf" TargetMode="External"/><Relationship Id="rId86" Type="http://schemas.openxmlformats.org/officeDocument/2006/relationships/hyperlink" Target="Transportistas\Crexell\Expte%20DPA\2022\Crexell%20SA23_02_202216_16_47_Acta.pdf" TargetMode="External"/><Relationship Id="rId4" Type="http://schemas.openxmlformats.org/officeDocument/2006/relationships/hyperlink" Target="Transportistas\Ambiental%20Mza\Expte%20DPA\2022\000051%20Ambiental%20Mendoza%202022-09%20(1).pdf" TargetMode="External"/><Relationship Id="rId9" Type="http://schemas.openxmlformats.org/officeDocument/2006/relationships/hyperlink" Target="Transportistas\Petrol%20Trans\Expte%20DPA\2022\INLEG-2022-09013652-GDEMZA-SSP.pdf"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dimension ref="A1:O74"/>
  <sheetViews>
    <sheetView tabSelected="1" workbookViewId="0">
      <pane xSplit="1" ySplit="1" topLeftCell="B2" activePane="bottomRight" state="frozen"/>
      <selection pane="topRight" activeCell="B1" sqref="B1"/>
      <selection pane="bottomLeft" activeCell="A2" sqref="A2"/>
      <selection pane="bottomRight" activeCell="A2" sqref="A2:A74"/>
    </sheetView>
  </sheetViews>
  <sheetFormatPr baseColWidth="10" defaultRowHeight="15"/>
  <cols>
    <col min="2" max="2" width="14.7109375" customWidth="1"/>
    <col min="3" max="3" width="11.5703125" customWidth="1"/>
    <col min="4" max="4" width="11.85546875" customWidth="1"/>
    <col min="5" max="5" width="13.42578125" customWidth="1"/>
    <col min="6" max="6" width="14" customWidth="1"/>
    <col min="7" max="7" width="46.42578125" customWidth="1"/>
    <col min="8" max="8" width="12.7109375" bestFit="1" customWidth="1"/>
    <col min="12" max="12" width="22.7109375" customWidth="1"/>
    <col min="15" max="15" width="22.7109375" customWidth="1"/>
  </cols>
  <sheetData>
    <row r="1" spans="1:15">
      <c r="A1" s="1" t="s">
        <v>0</v>
      </c>
      <c r="B1" s="2" t="s">
        <v>1</v>
      </c>
      <c r="C1" s="2" t="s">
        <v>391</v>
      </c>
      <c r="D1" s="2" t="s">
        <v>2</v>
      </c>
      <c r="E1" s="2" t="s">
        <v>3</v>
      </c>
      <c r="F1" s="2" t="s">
        <v>4</v>
      </c>
      <c r="G1" s="3" t="s">
        <v>5</v>
      </c>
      <c r="H1" s="4" t="s">
        <v>6</v>
      </c>
      <c r="I1" s="18" t="s">
        <v>317</v>
      </c>
      <c r="J1" s="18" t="s">
        <v>318</v>
      </c>
      <c r="K1" s="5" t="s">
        <v>7</v>
      </c>
      <c r="L1" s="5" t="s">
        <v>389</v>
      </c>
      <c r="M1" s="24" t="s">
        <v>325</v>
      </c>
      <c r="N1" s="24" t="s">
        <v>334</v>
      </c>
      <c r="O1" s="24" t="s">
        <v>397</v>
      </c>
    </row>
    <row r="2" spans="1:15" ht="38.1" customHeight="1">
      <c r="A2" s="17" t="s">
        <v>68</v>
      </c>
      <c r="B2" s="7" t="s">
        <v>69</v>
      </c>
      <c r="C2" s="7" t="s">
        <v>407</v>
      </c>
      <c r="D2" s="8" t="s">
        <v>383</v>
      </c>
      <c r="E2" s="8" t="s">
        <v>70</v>
      </c>
      <c r="F2" s="8" t="s">
        <v>37</v>
      </c>
      <c r="G2" s="8" t="s">
        <v>106</v>
      </c>
      <c r="H2" s="35">
        <v>45953</v>
      </c>
      <c r="I2" s="19" t="s">
        <v>408</v>
      </c>
      <c r="J2" s="19" t="s">
        <v>409</v>
      </c>
      <c r="K2" s="10">
        <f t="shared" ref="K2:K33" ca="1" si="0">(TODAY()-H2)</f>
        <v>-148</v>
      </c>
      <c r="L2" s="8" t="s">
        <v>410</v>
      </c>
      <c r="M2" s="29" t="s">
        <v>356</v>
      </c>
      <c r="N2" s="22"/>
      <c r="O2" s="38"/>
    </row>
    <row r="3" spans="1:15" ht="38.1" customHeight="1">
      <c r="A3" s="17" t="s">
        <v>84</v>
      </c>
      <c r="B3" s="7" t="s">
        <v>85</v>
      </c>
      <c r="C3" s="7"/>
      <c r="D3" s="8" t="s">
        <v>86</v>
      </c>
      <c r="E3" s="8" t="s">
        <v>87</v>
      </c>
      <c r="F3" s="8" t="s">
        <v>37</v>
      </c>
      <c r="G3" s="8" t="s">
        <v>88</v>
      </c>
      <c r="H3" s="35">
        <v>45275</v>
      </c>
      <c r="I3" s="19"/>
      <c r="J3" s="19"/>
      <c r="K3" s="10">
        <f t="shared" ca="1" si="0"/>
        <v>530</v>
      </c>
      <c r="L3" s="8"/>
      <c r="M3" s="25" t="s">
        <v>328</v>
      </c>
      <c r="N3" s="21"/>
      <c r="O3" s="38"/>
    </row>
    <row r="4" spans="1:15" ht="38.1" customHeight="1">
      <c r="A4" s="17" t="s">
        <v>164</v>
      </c>
      <c r="B4" s="7" t="s">
        <v>165</v>
      </c>
      <c r="C4" s="7"/>
      <c r="D4" s="8" t="s">
        <v>166</v>
      </c>
      <c r="E4" s="8" t="s">
        <v>167</v>
      </c>
      <c r="F4" s="8" t="s">
        <v>168</v>
      </c>
      <c r="G4" s="8" t="s">
        <v>169</v>
      </c>
      <c r="H4" s="35">
        <v>45275</v>
      </c>
      <c r="I4" s="28" t="s">
        <v>323</v>
      </c>
      <c r="J4" s="19" t="s">
        <v>324</v>
      </c>
      <c r="K4" s="10">
        <f t="shared" ca="1" si="0"/>
        <v>530</v>
      </c>
      <c r="L4" s="8"/>
      <c r="M4" s="25" t="s">
        <v>326</v>
      </c>
      <c r="N4" s="21"/>
      <c r="O4" s="38"/>
    </row>
    <row r="5" spans="1:15" ht="38.1" customHeight="1">
      <c r="A5" s="17" t="s">
        <v>188</v>
      </c>
      <c r="B5" s="7" t="s">
        <v>189</v>
      </c>
      <c r="C5" s="7"/>
      <c r="D5" s="8" t="s">
        <v>316</v>
      </c>
      <c r="E5" s="8" t="s">
        <v>70</v>
      </c>
      <c r="F5" s="8" t="s">
        <v>37</v>
      </c>
      <c r="G5" s="8" t="s">
        <v>88</v>
      </c>
      <c r="H5" s="35">
        <v>45275</v>
      </c>
      <c r="I5" s="19" t="s">
        <v>320</v>
      </c>
      <c r="J5" s="19" t="s">
        <v>319</v>
      </c>
      <c r="K5" s="10">
        <f t="shared" ca="1" si="0"/>
        <v>530</v>
      </c>
      <c r="L5" s="8"/>
      <c r="M5" s="25" t="s">
        <v>327</v>
      </c>
      <c r="N5" s="21"/>
      <c r="O5" s="38"/>
    </row>
    <row r="6" spans="1:15" ht="38.1" customHeight="1">
      <c r="A6" s="17" t="s">
        <v>110</v>
      </c>
      <c r="B6" s="7" t="s">
        <v>111</v>
      </c>
      <c r="C6" s="7"/>
      <c r="D6" s="8" t="s">
        <v>112</v>
      </c>
      <c r="E6" s="8" t="s">
        <v>113</v>
      </c>
      <c r="F6" s="8" t="s">
        <v>32</v>
      </c>
      <c r="G6" s="8" t="s">
        <v>114</v>
      </c>
      <c r="H6" s="35">
        <v>45198</v>
      </c>
      <c r="I6" s="19" t="s">
        <v>330</v>
      </c>
      <c r="J6" s="19" t="s">
        <v>331</v>
      </c>
      <c r="K6" s="10">
        <f t="shared" ca="1" si="0"/>
        <v>607</v>
      </c>
      <c r="L6" s="8"/>
      <c r="M6" s="25" t="s">
        <v>332</v>
      </c>
      <c r="N6" s="21"/>
      <c r="O6" s="38"/>
    </row>
    <row r="7" spans="1:15" ht="38.1" customHeight="1">
      <c r="A7" s="17" t="s">
        <v>308</v>
      </c>
      <c r="B7" s="7" t="s">
        <v>309</v>
      </c>
      <c r="C7" s="7"/>
      <c r="D7" s="8" t="s">
        <v>310</v>
      </c>
      <c r="E7" s="8" t="s">
        <v>311</v>
      </c>
      <c r="F7" s="8" t="s">
        <v>11</v>
      </c>
      <c r="G7" s="8" t="s">
        <v>18</v>
      </c>
      <c r="H7" s="36">
        <v>45185</v>
      </c>
      <c r="I7" s="20" t="s">
        <v>375</v>
      </c>
      <c r="J7" s="20" t="s">
        <v>376</v>
      </c>
      <c r="K7" s="10">
        <f t="shared" ca="1" si="0"/>
        <v>620</v>
      </c>
      <c r="L7" s="8"/>
      <c r="M7" s="25" t="s">
        <v>377</v>
      </c>
      <c r="N7" s="21"/>
      <c r="O7" s="38"/>
    </row>
    <row r="8" spans="1:15" ht="38.1" customHeight="1">
      <c r="A8" s="17" t="s">
        <v>57</v>
      </c>
      <c r="B8" s="7" t="s">
        <v>402</v>
      </c>
      <c r="C8" s="7" t="s">
        <v>403</v>
      </c>
      <c r="D8" s="8" t="s">
        <v>384</v>
      </c>
      <c r="E8" s="8" t="s">
        <v>59</v>
      </c>
      <c r="F8" s="8" t="s">
        <v>17</v>
      </c>
      <c r="G8" s="8" t="s">
        <v>60</v>
      </c>
      <c r="H8" s="35">
        <v>46081</v>
      </c>
      <c r="I8" s="19" t="s">
        <v>404</v>
      </c>
      <c r="J8" s="19" t="s">
        <v>405</v>
      </c>
      <c r="K8" s="10">
        <f t="shared" ca="1" si="0"/>
        <v>-276</v>
      </c>
      <c r="L8" s="8" t="s">
        <v>406</v>
      </c>
      <c r="M8" s="25" t="s">
        <v>335</v>
      </c>
      <c r="N8" s="25" t="s">
        <v>333</v>
      </c>
      <c r="O8" s="38"/>
    </row>
    <row r="9" spans="1:15" ht="38.1" customHeight="1">
      <c r="A9" s="17" t="s">
        <v>39</v>
      </c>
      <c r="B9" s="7" t="s">
        <v>40</v>
      </c>
      <c r="C9" s="7" t="s">
        <v>398</v>
      </c>
      <c r="D9" s="8" t="s">
        <v>41</v>
      </c>
      <c r="E9" s="8" t="s">
        <v>42</v>
      </c>
      <c r="F9" s="8" t="s">
        <v>32</v>
      </c>
      <c r="G9" s="8" t="s">
        <v>43</v>
      </c>
      <c r="H9" s="35">
        <v>46056</v>
      </c>
      <c r="I9" s="19" t="s">
        <v>399</v>
      </c>
      <c r="J9" s="19" t="s">
        <v>400</v>
      </c>
      <c r="K9" s="10">
        <f t="shared" ca="1" si="0"/>
        <v>-251</v>
      </c>
      <c r="L9" s="8" t="s">
        <v>401</v>
      </c>
      <c r="M9" s="25" t="s">
        <v>360</v>
      </c>
      <c r="N9" s="21"/>
      <c r="O9" s="38"/>
    </row>
    <row r="10" spans="1:15" ht="38.1" customHeight="1">
      <c r="A10" s="17" t="s">
        <v>13</v>
      </c>
      <c r="B10" s="7" t="s">
        <v>14</v>
      </c>
      <c r="C10" s="7" t="s">
        <v>392</v>
      </c>
      <c r="D10" s="8" t="s">
        <v>15</v>
      </c>
      <c r="E10" s="8" t="s">
        <v>16</v>
      </c>
      <c r="F10" s="8" t="s">
        <v>17</v>
      </c>
      <c r="G10" s="8" t="s">
        <v>284</v>
      </c>
      <c r="H10" s="35">
        <v>45786</v>
      </c>
      <c r="I10" s="19" t="s">
        <v>387</v>
      </c>
      <c r="J10" s="19" t="s">
        <v>388</v>
      </c>
      <c r="K10" s="10">
        <f t="shared" ca="1" si="0"/>
        <v>19</v>
      </c>
      <c r="L10" s="8" t="s">
        <v>390</v>
      </c>
      <c r="M10" s="25" t="s">
        <v>329</v>
      </c>
      <c r="N10" s="21"/>
      <c r="O10" s="38"/>
    </row>
    <row r="11" spans="1:15" ht="38.1" customHeight="1">
      <c r="A11" s="17" t="s">
        <v>304</v>
      </c>
      <c r="B11" s="7" t="s">
        <v>305</v>
      </c>
      <c r="C11" s="7"/>
      <c r="D11" s="8" t="s">
        <v>306</v>
      </c>
      <c r="E11" s="8" t="s">
        <v>307</v>
      </c>
      <c r="F11" s="8" t="s">
        <v>37</v>
      </c>
      <c r="G11" s="8" t="s">
        <v>136</v>
      </c>
      <c r="H11" s="36">
        <v>45023</v>
      </c>
      <c r="I11" s="20" t="s">
        <v>370</v>
      </c>
      <c r="J11" s="20" t="s">
        <v>371</v>
      </c>
      <c r="K11" s="10">
        <f t="shared" ca="1" si="0"/>
        <v>782</v>
      </c>
      <c r="L11" s="8"/>
      <c r="M11" s="25" t="s">
        <v>372</v>
      </c>
      <c r="N11" s="21"/>
      <c r="O11" s="38"/>
    </row>
    <row r="12" spans="1:15" ht="38.1" customHeight="1">
      <c r="A12" s="17" t="s">
        <v>280</v>
      </c>
      <c r="B12" s="7" t="s">
        <v>281</v>
      </c>
      <c r="C12" s="7"/>
      <c r="D12" s="8" t="s">
        <v>282</v>
      </c>
      <c r="E12" s="8" t="s">
        <v>283</v>
      </c>
      <c r="F12" s="8" t="s">
        <v>186</v>
      </c>
      <c r="G12" s="8" t="s">
        <v>284</v>
      </c>
      <c r="H12" s="36">
        <v>44995</v>
      </c>
      <c r="I12" s="20" t="s">
        <v>342</v>
      </c>
      <c r="J12" s="20" t="s">
        <v>345</v>
      </c>
      <c r="K12" s="10">
        <f t="shared" ca="1" si="0"/>
        <v>810</v>
      </c>
      <c r="L12" s="8"/>
      <c r="M12" s="25" t="s">
        <v>343</v>
      </c>
      <c r="N12" s="25" t="s">
        <v>344</v>
      </c>
      <c r="O12" s="38"/>
    </row>
    <row r="13" spans="1:15" ht="38.1" customHeight="1">
      <c r="A13" s="17" t="s">
        <v>285</v>
      </c>
      <c r="B13" s="7" t="s">
        <v>286</v>
      </c>
      <c r="C13" s="7"/>
      <c r="D13" s="8" t="s">
        <v>287</v>
      </c>
      <c r="E13" s="8" t="s">
        <v>288</v>
      </c>
      <c r="F13" s="8" t="s">
        <v>157</v>
      </c>
      <c r="G13" s="8" t="s">
        <v>289</v>
      </c>
      <c r="H13" s="36">
        <v>44995</v>
      </c>
      <c r="I13" s="20" t="s">
        <v>336</v>
      </c>
      <c r="J13" s="20" t="s">
        <v>337</v>
      </c>
      <c r="K13" s="10">
        <f t="shared" ca="1" si="0"/>
        <v>810</v>
      </c>
      <c r="L13" s="8"/>
      <c r="M13" s="25" t="s">
        <v>338</v>
      </c>
      <c r="N13" s="25" t="s">
        <v>339</v>
      </c>
      <c r="O13" s="38"/>
    </row>
    <row r="14" spans="1:15" ht="38.1" customHeight="1">
      <c r="A14" s="17" t="s">
        <v>28</v>
      </c>
      <c r="B14" s="7" t="s">
        <v>29</v>
      </c>
      <c r="C14" s="7" t="s">
        <v>393</v>
      </c>
      <c r="D14" s="8" t="s">
        <v>30</v>
      </c>
      <c r="E14" s="8" t="s">
        <v>31</v>
      </c>
      <c r="F14" s="8" t="s">
        <v>32</v>
      </c>
      <c r="G14" s="8" t="s">
        <v>33</v>
      </c>
      <c r="H14" s="35">
        <v>45799</v>
      </c>
      <c r="I14" s="19" t="s">
        <v>394</v>
      </c>
      <c r="J14" s="19" t="s">
        <v>395</v>
      </c>
      <c r="K14" s="10">
        <f t="shared" ca="1" si="0"/>
        <v>6</v>
      </c>
      <c r="L14" s="8" t="s">
        <v>396</v>
      </c>
      <c r="M14" s="25" t="s">
        <v>341</v>
      </c>
      <c r="N14" s="21"/>
      <c r="O14" s="38"/>
    </row>
    <row r="15" spans="1:15" ht="38.1" customHeight="1">
      <c r="A15" s="17" t="s">
        <v>182</v>
      </c>
      <c r="B15" s="7" t="s">
        <v>183</v>
      </c>
      <c r="C15" s="7"/>
      <c r="D15" s="8" t="s">
        <v>184</v>
      </c>
      <c r="E15" s="8" t="s">
        <v>185</v>
      </c>
      <c r="F15" s="8" t="s">
        <v>186</v>
      </c>
      <c r="G15" s="8" t="s">
        <v>187</v>
      </c>
      <c r="H15" s="35">
        <v>44965</v>
      </c>
      <c r="I15" s="19" t="s">
        <v>357</v>
      </c>
      <c r="J15" s="19" t="s">
        <v>358</v>
      </c>
      <c r="K15" s="10">
        <f t="shared" ca="1" si="0"/>
        <v>840</v>
      </c>
      <c r="L15" s="8"/>
      <c r="M15" s="25" t="s">
        <v>359</v>
      </c>
      <c r="N15" s="21"/>
      <c r="O15" s="38"/>
    </row>
    <row r="16" spans="1:15" ht="38.1" customHeight="1">
      <c r="A16" s="17" t="s">
        <v>211</v>
      </c>
      <c r="B16" s="7" t="s">
        <v>212</v>
      </c>
      <c r="C16" s="7"/>
      <c r="D16" s="8" t="s">
        <v>213</v>
      </c>
      <c r="E16" s="8" t="s">
        <v>214</v>
      </c>
      <c r="F16" s="8" t="s">
        <v>17</v>
      </c>
      <c r="G16" s="8" t="s">
        <v>215</v>
      </c>
      <c r="H16" s="35">
        <v>44965</v>
      </c>
      <c r="I16" s="20" t="s">
        <v>322</v>
      </c>
      <c r="J16" s="19" t="s">
        <v>321</v>
      </c>
      <c r="K16" s="10">
        <f t="shared" ca="1" si="0"/>
        <v>840</v>
      </c>
      <c r="L16" s="8"/>
      <c r="M16" s="25" t="s">
        <v>340</v>
      </c>
      <c r="N16" s="21"/>
      <c r="O16" s="38"/>
    </row>
    <row r="17" spans="1:15" ht="38.1" customHeight="1">
      <c r="A17" s="17" t="s">
        <v>263</v>
      </c>
      <c r="B17" s="7" t="s">
        <v>264</v>
      </c>
      <c r="C17" s="7"/>
      <c r="D17" s="8" t="s">
        <v>385</v>
      </c>
      <c r="E17" s="8" t="s">
        <v>265</v>
      </c>
      <c r="F17" s="11" t="s">
        <v>157</v>
      </c>
      <c r="G17" s="11" t="s">
        <v>266</v>
      </c>
      <c r="H17" s="36">
        <v>44965</v>
      </c>
      <c r="I17" s="20" t="s">
        <v>349</v>
      </c>
      <c r="J17" s="20" t="s">
        <v>350</v>
      </c>
      <c r="K17" s="10">
        <f t="shared" ca="1" si="0"/>
        <v>840</v>
      </c>
      <c r="L17" s="11"/>
      <c r="M17" s="25" t="s">
        <v>351</v>
      </c>
      <c r="N17" s="21"/>
      <c r="O17" s="38"/>
    </row>
    <row r="18" spans="1:15" ht="38.1" customHeight="1">
      <c r="A18" s="17" t="s">
        <v>299</v>
      </c>
      <c r="B18" s="7" t="s">
        <v>300</v>
      </c>
      <c r="C18" s="7"/>
      <c r="D18" s="8" t="s">
        <v>301</v>
      </c>
      <c r="E18" s="8" t="s">
        <v>302</v>
      </c>
      <c r="F18" s="8" t="s">
        <v>32</v>
      </c>
      <c r="G18" s="8" t="s">
        <v>303</v>
      </c>
      <c r="H18" s="36">
        <v>44965</v>
      </c>
      <c r="I18" s="20" t="s">
        <v>367</v>
      </c>
      <c r="J18" s="20" t="s">
        <v>368</v>
      </c>
      <c r="K18" s="10">
        <f t="shared" ca="1" si="0"/>
        <v>840</v>
      </c>
      <c r="L18" s="8"/>
      <c r="M18" s="25" t="s">
        <v>369</v>
      </c>
      <c r="N18" s="21"/>
      <c r="O18" s="38"/>
    </row>
    <row r="19" spans="1:15" ht="38.1" customHeight="1">
      <c r="A19" s="17" t="s">
        <v>153</v>
      </c>
      <c r="B19" s="7" t="s">
        <v>154</v>
      </c>
      <c r="C19" s="7"/>
      <c r="D19" s="8" t="s">
        <v>155</v>
      </c>
      <c r="E19" s="8" t="s">
        <v>156</v>
      </c>
      <c r="F19" s="8" t="s">
        <v>157</v>
      </c>
      <c r="G19" s="8" t="s">
        <v>131</v>
      </c>
      <c r="H19" s="35">
        <v>44946</v>
      </c>
      <c r="I19" s="19" t="s">
        <v>346</v>
      </c>
      <c r="J19" s="19" t="s">
        <v>347</v>
      </c>
      <c r="K19" s="10">
        <f t="shared" ca="1" si="0"/>
        <v>859</v>
      </c>
      <c r="L19" s="8"/>
      <c r="M19" s="25" t="s">
        <v>348</v>
      </c>
      <c r="N19" s="21"/>
      <c r="O19" s="38"/>
    </row>
    <row r="20" spans="1:15" ht="38.1" customHeight="1">
      <c r="A20" s="17" t="s">
        <v>276</v>
      </c>
      <c r="B20" s="7" t="s">
        <v>277</v>
      </c>
      <c r="C20" s="7"/>
      <c r="D20" s="8" t="s">
        <v>278</v>
      </c>
      <c r="E20" s="8" t="s">
        <v>279</v>
      </c>
      <c r="F20" s="8" t="s">
        <v>186</v>
      </c>
      <c r="G20" s="8" t="s">
        <v>194</v>
      </c>
      <c r="H20" s="35">
        <v>44941</v>
      </c>
      <c r="I20" s="19" t="s">
        <v>352</v>
      </c>
      <c r="J20" s="19" t="s">
        <v>353</v>
      </c>
      <c r="K20" s="10">
        <f t="shared" ca="1" si="0"/>
        <v>864</v>
      </c>
      <c r="L20" s="8"/>
      <c r="M20" s="25" t="s">
        <v>354</v>
      </c>
      <c r="N20" s="25" t="s">
        <v>355</v>
      </c>
      <c r="O20" s="38"/>
    </row>
    <row r="21" spans="1:15" ht="38.1" customHeight="1">
      <c r="A21" s="17" t="s">
        <v>290</v>
      </c>
      <c r="B21" s="7" t="s">
        <v>291</v>
      </c>
      <c r="C21" s="7"/>
      <c r="D21" s="8" t="s">
        <v>292</v>
      </c>
      <c r="E21" s="8" t="s">
        <v>293</v>
      </c>
      <c r="F21" s="8" t="s">
        <v>32</v>
      </c>
      <c r="G21" s="8" t="s">
        <v>294</v>
      </c>
      <c r="H21" s="36">
        <v>44869</v>
      </c>
      <c r="I21" s="20" t="s">
        <v>361</v>
      </c>
      <c r="J21" s="20" t="s">
        <v>362</v>
      </c>
      <c r="K21" s="10">
        <f t="shared" ca="1" si="0"/>
        <v>936</v>
      </c>
      <c r="L21" s="8"/>
      <c r="M21" s="25" t="s">
        <v>363</v>
      </c>
      <c r="N21" s="21"/>
      <c r="O21" s="38"/>
    </row>
    <row r="22" spans="1:15" ht="38.1" customHeight="1">
      <c r="A22" s="17" t="s">
        <v>295</v>
      </c>
      <c r="B22" s="7" t="s">
        <v>296</v>
      </c>
      <c r="C22" s="7"/>
      <c r="D22" s="8" t="s">
        <v>297</v>
      </c>
      <c r="E22" s="8" t="s">
        <v>298</v>
      </c>
      <c r="F22" s="8" t="s">
        <v>37</v>
      </c>
      <c r="G22" s="8" t="s">
        <v>294</v>
      </c>
      <c r="H22" s="36">
        <v>44820</v>
      </c>
      <c r="I22" s="20" t="s">
        <v>364</v>
      </c>
      <c r="J22" s="20" t="s">
        <v>365</v>
      </c>
      <c r="K22" s="10">
        <f t="shared" ca="1" si="0"/>
        <v>985</v>
      </c>
      <c r="L22" s="8"/>
      <c r="M22" s="25" t="s">
        <v>366</v>
      </c>
      <c r="N22" s="21"/>
      <c r="O22" s="38"/>
    </row>
    <row r="23" spans="1:15" ht="38.1" customHeight="1">
      <c r="A23" s="6" t="s">
        <v>220</v>
      </c>
      <c r="B23" s="7" t="s">
        <v>221</v>
      </c>
      <c r="C23" s="7"/>
      <c r="D23" s="8" t="s">
        <v>222</v>
      </c>
      <c r="E23" s="8" t="s">
        <v>223</v>
      </c>
      <c r="F23" s="8" t="s">
        <v>11</v>
      </c>
      <c r="G23" s="8" t="s">
        <v>224</v>
      </c>
      <c r="H23" s="35">
        <v>44170</v>
      </c>
      <c r="I23" s="9"/>
      <c r="J23" s="9"/>
      <c r="K23" s="10">
        <f t="shared" ca="1" si="0"/>
        <v>1635</v>
      </c>
      <c r="L23" s="8"/>
      <c r="M23" s="21"/>
      <c r="N23" s="21"/>
      <c r="O23" s="38"/>
    </row>
    <row r="24" spans="1:15" ht="38.1" customHeight="1">
      <c r="A24" s="6" t="s">
        <v>271</v>
      </c>
      <c r="B24" s="7" t="s">
        <v>272</v>
      </c>
      <c r="C24" s="7"/>
      <c r="D24" s="8" t="s">
        <v>273</v>
      </c>
      <c r="E24" s="8" t="s">
        <v>274</v>
      </c>
      <c r="F24" s="8" t="s">
        <v>275</v>
      </c>
      <c r="G24" s="8" t="s">
        <v>23</v>
      </c>
      <c r="H24" s="35">
        <v>43947</v>
      </c>
      <c r="I24" s="9"/>
      <c r="J24" s="9"/>
      <c r="K24" s="10">
        <f t="shared" ca="1" si="0"/>
        <v>1858</v>
      </c>
      <c r="L24" s="8"/>
      <c r="M24" s="21"/>
      <c r="N24" s="21"/>
      <c r="O24" s="38"/>
    </row>
    <row r="25" spans="1:15" ht="38.1" customHeight="1">
      <c r="A25" s="11" t="s">
        <v>102</v>
      </c>
      <c r="B25" s="7" t="s">
        <v>103</v>
      </c>
      <c r="C25" s="7"/>
      <c r="D25" s="8" t="s">
        <v>104</v>
      </c>
      <c r="E25" s="8" t="s">
        <v>105</v>
      </c>
      <c r="F25" s="8" t="s">
        <v>37</v>
      </c>
      <c r="G25" s="8" t="s">
        <v>106</v>
      </c>
      <c r="H25" s="35">
        <v>43936</v>
      </c>
      <c r="I25" s="9"/>
      <c r="J25" s="9"/>
      <c r="K25" s="10">
        <f t="shared" ca="1" si="0"/>
        <v>1869</v>
      </c>
      <c r="L25" s="8"/>
      <c r="M25" s="21"/>
      <c r="N25" s="21"/>
      <c r="O25" s="38"/>
    </row>
    <row r="26" spans="1:15" ht="38.1" customHeight="1">
      <c r="A26" s="6" t="s">
        <v>123</v>
      </c>
      <c r="B26" s="7" t="s">
        <v>124</v>
      </c>
      <c r="C26" s="7"/>
      <c r="D26" s="8" t="s">
        <v>125</v>
      </c>
      <c r="E26" s="8" t="s">
        <v>126</v>
      </c>
      <c r="F26" s="8" t="s">
        <v>127</v>
      </c>
      <c r="G26" s="8" t="s">
        <v>18</v>
      </c>
      <c r="H26" s="35">
        <v>43904</v>
      </c>
      <c r="I26" s="9"/>
      <c r="J26" s="9"/>
      <c r="K26" s="10">
        <f t="shared" ca="1" si="0"/>
        <v>1901</v>
      </c>
      <c r="L26" s="8"/>
      <c r="M26" s="21"/>
      <c r="N26" s="21"/>
      <c r="O26" s="38"/>
    </row>
    <row r="27" spans="1:15" ht="38.1" customHeight="1">
      <c r="A27" s="6" t="s">
        <v>203</v>
      </c>
      <c r="B27" s="7" t="s">
        <v>204</v>
      </c>
      <c r="C27" s="7"/>
      <c r="D27" s="8" t="s">
        <v>205</v>
      </c>
      <c r="E27" s="8" t="s">
        <v>206</v>
      </c>
      <c r="F27" s="8" t="s">
        <v>51</v>
      </c>
      <c r="G27" s="8" t="s">
        <v>207</v>
      </c>
      <c r="H27" s="35">
        <v>43810</v>
      </c>
      <c r="I27" s="9"/>
      <c r="J27" s="9"/>
      <c r="K27" s="10">
        <f t="shared" ca="1" si="0"/>
        <v>1995</v>
      </c>
      <c r="L27" s="8"/>
      <c r="M27" s="21"/>
      <c r="N27" s="21"/>
      <c r="O27" s="38"/>
    </row>
    <row r="28" spans="1:15" ht="38.1" customHeight="1">
      <c r="A28" s="6" t="s">
        <v>267</v>
      </c>
      <c r="B28" s="7" t="s">
        <v>268</v>
      </c>
      <c r="C28" s="7"/>
      <c r="D28" s="8" t="s">
        <v>386</v>
      </c>
      <c r="E28" s="8" t="s">
        <v>269</v>
      </c>
      <c r="F28" s="8" t="s">
        <v>37</v>
      </c>
      <c r="G28" s="8" t="s">
        <v>270</v>
      </c>
      <c r="H28" s="36">
        <v>43567</v>
      </c>
      <c r="I28" s="20" t="s">
        <v>373</v>
      </c>
      <c r="J28" s="20" t="s">
        <v>374</v>
      </c>
      <c r="K28" s="10">
        <f t="shared" ca="1" si="0"/>
        <v>2238</v>
      </c>
      <c r="L28" s="8"/>
      <c r="M28" s="21"/>
      <c r="N28" s="21"/>
      <c r="O28" s="38"/>
    </row>
    <row r="29" spans="1:15" ht="38.1" customHeight="1">
      <c r="A29" s="6" t="s">
        <v>251</v>
      </c>
      <c r="B29" s="7" t="s">
        <v>252</v>
      </c>
      <c r="C29" s="7"/>
      <c r="D29" s="8"/>
      <c r="E29" s="8" t="s">
        <v>253</v>
      </c>
      <c r="F29" s="8" t="s">
        <v>234</v>
      </c>
      <c r="G29" s="8" t="s">
        <v>254</v>
      </c>
      <c r="H29" s="35">
        <v>43462</v>
      </c>
      <c r="I29" s="9"/>
      <c r="J29" s="9"/>
      <c r="K29" s="10">
        <f t="shared" ca="1" si="0"/>
        <v>2343</v>
      </c>
      <c r="L29" s="8"/>
      <c r="M29" s="21"/>
      <c r="N29" s="21"/>
      <c r="O29" s="38"/>
    </row>
    <row r="30" spans="1:15" ht="38.1" customHeight="1">
      <c r="A30" s="6" t="s">
        <v>255</v>
      </c>
      <c r="B30" s="7" t="s">
        <v>256</v>
      </c>
      <c r="C30" s="7"/>
      <c r="D30" s="8"/>
      <c r="E30" s="8" t="s">
        <v>257</v>
      </c>
      <c r="F30" s="8" t="s">
        <v>234</v>
      </c>
      <c r="G30" s="8" t="s">
        <v>258</v>
      </c>
      <c r="H30" s="35">
        <v>43462</v>
      </c>
      <c r="I30" s="9"/>
      <c r="J30" s="9"/>
      <c r="K30" s="10">
        <f t="shared" ca="1" si="0"/>
        <v>2343</v>
      </c>
      <c r="L30" s="8"/>
      <c r="M30" s="21"/>
      <c r="N30" s="21"/>
      <c r="O30" s="38"/>
    </row>
    <row r="31" spans="1:15" ht="38.1" customHeight="1">
      <c r="A31" s="6" t="s">
        <v>225</v>
      </c>
      <c r="B31" s="7" t="s">
        <v>226</v>
      </c>
      <c r="C31" s="7"/>
      <c r="D31" s="8"/>
      <c r="E31" s="8" t="s">
        <v>227</v>
      </c>
      <c r="F31" s="8" t="s">
        <v>79</v>
      </c>
      <c r="G31" s="8" t="s">
        <v>194</v>
      </c>
      <c r="H31" s="35">
        <v>43441</v>
      </c>
      <c r="I31" s="9"/>
      <c r="J31" s="9"/>
      <c r="K31" s="10">
        <f t="shared" ca="1" si="0"/>
        <v>2364</v>
      </c>
      <c r="L31" s="8"/>
      <c r="M31" s="21"/>
      <c r="N31" s="21"/>
      <c r="O31" s="38"/>
    </row>
    <row r="32" spans="1:15" ht="38.1" customHeight="1">
      <c r="A32" s="6" t="s">
        <v>72</v>
      </c>
      <c r="B32" s="7" t="s">
        <v>73</v>
      </c>
      <c r="C32" s="7"/>
      <c r="D32" s="8"/>
      <c r="E32" s="8" t="s">
        <v>74</v>
      </c>
      <c r="F32" s="8" t="s">
        <v>11</v>
      </c>
      <c r="G32" s="8" t="s">
        <v>75</v>
      </c>
      <c r="H32" s="35">
        <v>43354</v>
      </c>
      <c r="I32" s="9"/>
      <c r="J32" s="9"/>
      <c r="K32" s="10">
        <f t="shared" ca="1" si="0"/>
        <v>2451</v>
      </c>
      <c r="L32" s="8"/>
      <c r="M32" s="21"/>
      <c r="N32" s="21"/>
      <c r="O32" s="38"/>
    </row>
    <row r="33" spans="1:15" ht="38.1" customHeight="1">
      <c r="A33" s="6" t="s">
        <v>240</v>
      </c>
      <c r="B33" s="7" t="s">
        <v>241</v>
      </c>
      <c r="C33" s="7"/>
      <c r="D33" s="8"/>
      <c r="E33" s="8" t="s">
        <v>242</v>
      </c>
      <c r="F33" s="8" t="s">
        <v>55</v>
      </c>
      <c r="G33" s="8" t="s">
        <v>243</v>
      </c>
      <c r="H33" s="35">
        <v>43344</v>
      </c>
      <c r="I33" s="9"/>
      <c r="J33" s="9"/>
      <c r="K33" s="10">
        <f t="shared" ca="1" si="0"/>
        <v>2461</v>
      </c>
      <c r="L33" s="8"/>
      <c r="M33" s="21"/>
      <c r="N33" s="21"/>
      <c r="O33" s="38"/>
    </row>
    <row r="34" spans="1:15" ht="38.1" customHeight="1">
      <c r="A34" s="6" t="s">
        <v>259</v>
      </c>
      <c r="B34" s="7" t="s">
        <v>260</v>
      </c>
      <c r="C34" s="7"/>
      <c r="D34" s="8"/>
      <c r="E34" s="8" t="s">
        <v>261</v>
      </c>
      <c r="F34" s="8" t="s">
        <v>51</v>
      </c>
      <c r="G34" s="8" t="s">
        <v>262</v>
      </c>
      <c r="H34" s="35">
        <v>43344</v>
      </c>
      <c r="I34" s="9"/>
      <c r="J34" s="9"/>
      <c r="K34" s="10">
        <f t="shared" ref="K34:K65" ca="1" si="1">(TODAY()-H34)</f>
        <v>2461</v>
      </c>
      <c r="L34" s="8"/>
      <c r="M34" s="21"/>
      <c r="N34" s="21"/>
      <c r="O34" s="38"/>
    </row>
    <row r="35" spans="1:15" ht="38.1" customHeight="1">
      <c r="A35" s="6" t="s">
        <v>236</v>
      </c>
      <c r="B35" s="7" t="s">
        <v>237</v>
      </c>
      <c r="C35" s="7"/>
      <c r="D35" s="8"/>
      <c r="E35" s="8" t="s">
        <v>238</v>
      </c>
      <c r="F35" s="8" t="s">
        <v>11</v>
      </c>
      <c r="G35" s="8" t="s">
        <v>239</v>
      </c>
      <c r="H35" s="35">
        <v>43314</v>
      </c>
      <c r="I35" s="9"/>
      <c r="J35" s="9"/>
      <c r="K35" s="10">
        <f t="shared" ca="1" si="1"/>
        <v>2491</v>
      </c>
      <c r="L35" s="8"/>
      <c r="M35" s="21"/>
      <c r="N35" s="21"/>
      <c r="O35" s="38"/>
    </row>
    <row r="36" spans="1:15" ht="38.1" customHeight="1">
      <c r="A36" s="6" t="s">
        <v>199</v>
      </c>
      <c r="B36" s="7" t="s">
        <v>200</v>
      </c>
      <c r="C36" s="7"/>
      <c r="D36" s="8"/>
      <c r="E36" s="8" t="s">
        <v>201</v>
      </c>
      <c r="F36" s="8" t="s">
        <v>51</v>
      </c>
      <c r="G36" s="8" t="s">
        <v>202</v>
      </c>
      <c r="H36" s="35">
        <v>43217</v>
      </c>
      <c r="I36" s="9"/>
      <c r="J36" s="9"/>
      <c r="K36" s="10">
        <f t="shared" ca="1" si="1"/>
        <v>2588</v>
      </c>
      <c r="L36" s="8"/>
      <c r="M36" s="21"/>
      <c r="N36" s="21"/>
      <c r="O36" s="38"/>
    </row>
    <row r="37" spans="1:15" ht="38.1" customHeight="1">
      <c r="A37" s="6" t="s">
        <v>231</v>
      </c>
      <c r="B37" s="7" t="s">
        <v>232</v>
      </c>
      <c r="C37" s="7"/>
      <c r="D37" s="8"/>
      <c r="E37" s="8" t="s">
        <v>233</v>
      </c>
      <c r="F37" s="8" t="s">
        <v>234</v>
      </c>
      <c r="G37" s="8" t="s">
        <v>235</v>
      </c>
      <c r="H37" s="35">
        <v>43132</v>
      </c>
      <c r="I37" s="9"/>
      <c r="J37" s="9"/>
      <c r="K37" s="10">
        <f t="shared" ca="1" si="1"/>
        <v>2673</v>
      </c>
      <c r="L37" s="8"/>
      <c r="M37" s="21"/>
      <c r="N37" s="21"/>
      <c r="O37" s="38"/>
    </row>
    <row r="38" spans="1:15" ht="38.1" customHeight="1">
      <c r="A38" s="6" t="s">
        <v>34</v>
      </c>
      <c r="B38" s="7" t="s">
        <v>35</v>
      </c>
      <c r="C38" s="7"/>
      <c r="D38" s="8"/>
      <c r="E38" s="8" t="s">
        <v>36</v>
      </c>
      <c r="F38" s="8" t="s">
        <v>37</v>
      </c>
      <c r="G38" s="8" t="s">
        <v>38</v>
      </c>
      <c r="H38" s="35">
        <v>43097</v>
      </c>
      <c r="I38" s="27"/>
      <c r="J38" s="9"/>
      <c r="K38" s="10">
        <f t="shared" ca="1" si="1"/>
        <v>2708</v>
      </c>
      <c r="L38" s="8"/>
      <c r="M38" s="21"/>
      <c r="N38" s="21"/>
      <c r="O38" s="38"/>
    </row>
    <row r="39" spans="1:15" ht="38.1" customHeight="1">
      <c r="A39" s="6" t="s">
        <v>149</v>
      </c>
      <c r="B39" s="7" t="s">
        <v>150</v>
      </c>
      <c r="C39" s="7"/>
      <c r="D39" s="8"/>
      <c r="E39" s="8" t="s">
        <v>151</v>
      </c>
      <c r="F39" s="8" t="s">
        <v>55</v>
      </c>
      <c r="G39" s="8" t="s">
        <v>152</v>
      </c>
      <c r="H39" s="35">
        <v>42725</v>
      </c>
      <c r="I39" s="9"/>
      <c r="J39" s="9"/>
      <c r="K39" s="10">
        <f t="shared" ca="1" si="1"/>
        <v>3080</v>
      </c>
      <c r="L39" s="8"/>
      <c r="M39" s="21"/>
      <c r="N39" s="21"/>
      <c r="O39" s="38"/>
    </row>
    <row r="40" spans="1:15" ht="38.1" customHeight="1">
      <c r="A40" s="6" t="s">
        <v>195</v>
      </c>
      <c r="B40" s="7" t="s">
        <v>196</v>
      </c>
      <c r="C40" s="7"/>
      <c r="D40" s="8"/>
      <c r="E40" s="8" t="s">
        <v>197</v>
      </c>
      <c r="F40" s="8" t="s">
        <v>11</v>
      </c>
      <c r="G40" s="8" t="s">
        <v>198</v>
      </c>
      <c r="H40" s="35">
        <v>42725</v>
      </c>
      <c r="I40" s="9"/>
      <c r="J40" s="9"/>
      <c r="K40" s="10">
        <f t="shared" ca="1" si="1"/>
        <v>3080</v>
      </c>
      <c r="L40" s="8"/>
      <c r="M40" s="21"/>
      <c r="N40" s="21"/>
      <c r="O40" s="38"/>
    </row>
    <row r="41" spans="1:15" ht="38.1" customHeight="1">
      <c r="A41" s="6" t="s">
        <v>158</v>
      </c>
      <c r="B41" s="7" t="s">
        <v>159</v>
      </c>
      <c r="C41" s="7"/>
      <c r="D41" s="8"/>
      <c r="E41" s="8" t="s">
        <v>160</v>
      </c>
      <c r="F41" s="8" t="s">
        <v>55</v>
      </c>
      <c r="G41" s="8" t="s">
        <v>88</v>
      </c>
      <c r="H41" s="35">
        <v>42608</v>
      </c>
      <c r="I41" s="9"/>
      <c r="J41" s="9"/>
      <c r="K41" s="10">
        <f t="shared" ca="1" si="1"/>
        <v>3197</v>
      </c>
      <c r="L41" s="8"/>
      <c r="M41" s="21"/>
      <c r="N41" s="21"/>
      <c r="O41" s="38"/>
    </row>
    <row r="42" spans="1:15" ht="38.1" customHeight="1">
      <c r="A42" s="6" t="s">
        <v>216</v>
      </c>
      <c r="B42" s="7" t="s">
        <v>217</v>
      </c>
      <c r="C42" s="7"/>
      <c r="D42" s="8"/>
      <c r="E42" s="8" t="s">
        <v>218</v>
      </c>
      <c r="F42" s="8" t="s">
        <v>55</v>
      </c>
      <c r="G42" s="8" t="s">
        <v>219</v>
      </c>
      <c r="H42" s="35">
        <v>42586</v>
      </c>
      <c r="I42" s="9"/>
      <c r="J42" s="9"/>
      <c r="K42" s="10">
        <f t="shared" ca="1" si="1"/>
        <v>3219</v>
      </c>
      <c r="L42" s="8"/>
      <c r="M42" s="21"/>
      <c r="N42" s="21"/>
      <c r="O42" s="38"/>
    </row>
    <row r="43" spans="1:15" ht="38.1" customHeight="1">
      <c r="A43" s="6" t="s">
        <v>244</v>
      </c>
      <c r="B43" s="7" t="s">
        <v>245</v>
      </c>
      <c r="C43" s="7"/>
      <c r="D43" s="8"/>
      <c r="E43" s="8" t="s">
        <v>70</v>
      </c>
      <c r="F43" s="8" t="s">
        <v>37</v>
      </c>
      <c r="G43" s="8" t="s">
        <v>246</v>
      </c>
      <c r="H43" s="35">
        <v>42388</v>
      </c>
      <c r="I43" s="9"/>
      <c r="J43" s="9"/>
      <c r="K43" s="10">
        <f t="shared" ca="1" si="1"/>
        <v>3417</v>
      </c>
      <c r="L43" s="8"/>
      <c r="M43" s="21"/>
      <c r="N43" s="21"/>
      <c r="O43" s="38"/>
    </row>
    <row r="44" spans="1:15" ht="38.1" customHeight="1">
      <c r="A44" s="6" t="s">
        <v>247</v>
      </c>
      <c r="B44" s="7" t="s">
        <v>248</v>
      </c>
      <c r="C44" s="7"/>
      <c r="D44" s="8"/>
      <c r="E44" s="8" t="s">
        <v>249</v>
      </c>
      <c r="F44" s="8" t="s">
        <v>51</v>
      </c>
      <c r="G44" s="8" t="s">
        <v>250</v>
      </c>
      <c r="H44" s="35">
        <v>42388</v>
      </c>
      <c r="I44" s="9"/>
      <c r="J44" s="9"/>
      <c r="K44" s="10">
        <f t="shared" ca="1" si="1"/>
        <v>3417</v>
      </c>
      <c r="L44" s="8"/>
      <c r="M44" s="21"/>
      <c r="N44" s="21"/>
      <c r="O44" s="38"/>
    </row>
    <row r="45" spans="1:15" ht="38.1" customHeight="1">
      <c r="A45" s="6" t="s">
        <v>228</v>
      </c>
      <c r="B45" s="7" t="s">
        <v>229</v>
      </c>
      <c r="C45" s="7"/>
      <c r="D45" s="8"/>
      <c r="E45" s="8" t="s">
        <v>230</v>
      </c>
      <c r="F45" s="8" t="s">
        <v>37</v>
      </c>
      <c r="G45" s="8" t="s">
        <v>18</v>
      </c>
      <c r="H45" s="35">
        <v>42045</v>
      </c>
      <c r="I45" s="9"/>
      <c r="J45" s="9"/>
      <c r="K45" s="10">
        <f t="shared" ca="1" si="1"/>
        <v>3760</v>
      </c>
      <c r="L45" s="8"/>
      <c r="M45" s="21"/>
      <c r="N45" s="21"/>
      <c r="O45" s="38"/>
    </row>
    <row r="46" spans="1:15" ht="38.1" customHeight="1">
      <c r="A46" s="6" t="s">
        <v>174</v>
      </c>
      <c r="B46" s="7" t="s">
        <v>175</v>
      </c>
      <c r="C46" s="7"/>
      <c r="D46" s="8"/>
      <c r="E46" s="8" t="s">
        <v>176</v>
      </c>
      <c r="F46" s="8" t="s">
        <v>11</v>
      </c>
      <c r="G46" s="8" t="s">
        <v>177</v>
      </c>
      <c r="H46" s="35">
        <v>42034</v>
      </c>
      <c r="I46" s="9"/>
      <c r="J46" s="9"/>
      <c r="K46" s="10">
        <f t="shared" ca="1" si="1"/>
        <v>3771</v>
      </c>
      <c r="L46" s="8"/>
      <c r="M46" s="21"/>
      <c r="N46" s="21"/>
      <c r="O46" s="38"/>
    </row>
    <row r="47" spans="1:15" ht="38.1" customHeight="1">
      <c r="A47" s="6" t="s">
        <v>137</v>
      </c>
      <c r="B47" s="7" t="s">
        <v>138</v>
      </c>
      <c r="C47" s="7"/>
      <c r="D47" s="8"/>
      <c r="E47" s="8" t="s">
        <v>139</v>
      </c>
      <c r="F47" s="8" t="s">
        <v>140</v>
      </c>
      <c r="G47" s="8" t="s">
        <v>141</v>
      </c>
      <c r="H47" s="35">
        <v>41899</v>
      </c>
      <c r="I47" s="9"/>
      <c r="J47" s="9"/>
      <c r="K47" s="10">
        <f t="shared" ca="1" si="1"/>
        <v>3906</v>
      </c>
      <c r="L47" s="8"/>
      <c r="M47" s="21"/>
      <c r="N47" s="21"/>
      <c r="O47" s="38"/>
    </row>
    <row r="48" spans="1:15" ht="38.1" customHeight="1">
      <c r="A48" s="6" t="s">
        <v>208</v>
      </c>
      <c r="B48" s="7" t="s">
        <v>209</v>
      </c>
      <c r="C48" s="7"/>
      <c r="D48" s="8"/>
      <c r="E48" s="8" t="s">
        <v>210</v>
      </c>
      <c r="F48" s="8" t="s">
        <v>51</v>
      </c>
      <c r="G48" s="8" t="s">
        <v>23</v>
      </c>
      <c r="H48" s="35">
        <v>41795</v>
      </c>
      <c r="I48" s="9"/>
      <c r="J48" s="9"/>
      <c r="K48" s="10">
        <f t="shared" ca="1" si="1"/>
        <v>4010</v>
      </c>
      <c r="L48" s="8"/>
      <c r="M48" s="21"/>
      <c r="N48" s="21"/>
      <c r="O48" s="38"/>
    </row>
    <row r="49" spans="1:15" ht="38.1" customHeight="1">
      <c r="A49" s="6" t="s">
        <v>107</v>
      </c>
      <c r="B49" s="7" t="s">
        <v>108</v>
      </c>
      <c r="C49" s="7"/>
      <c r="D49" s="8"/>
      <c r="E49" s="8" t="s">
        <v>46</v>
      </c>
      <c r="F49" s="8" t="s">
        <v>11</v>
      </c>
      <c r="G49" s="8" t="s">
        <v>109</v>
      </c>
      <c r="H49" s="35">
        <v>41486</v>
      </c>
      <c r="I49" s="9"/>
      <c r="J49" s="9"/>
      <c r="K49" s="10">
        <f t="shared" ca="1" si="1"/>
        <v>4319</v>
      </c>
      <c r="L49" s="8"/>
      <c r="M49" s="21"/>
      <c r="N49" s="21"/>
      <c r="O49" s="38"/>
    </row>
    <row r="50" spans="1:15" ht="38.1" customHeight="1">
      <c r="A50" s="6" t="s">
        <v>94</v>
      </c>
      <c r="B50" s="7" t="s">
        <v>95</v>
      </c>
      <c r="C50" s="7"/>
      <c r="D50" s="8"/>
      <c r="E50" s="8" t="s">
        <v>96</v>
      </c>
      <c r="F50" s="8" t="s">
        <v>37</v>
      </c>
      <c r="G50" s="8" t="s">
        <v>60</v>
      </c>
      <c r="H50" s="35">
        <v>41320</v>
      </c>
      <c r="I50" s="9"/>
      <c r="J50" s="9"/>
      <c r="K50" s="10">
        <f t="shared" ca="1" si="1"/>
        <v>4485</v>
      </c>
      <c r="L50" s="8"/>
      <c r="M50" s="21"/>
      <c r="N50" s="21"/>
      <c r="O50" s="38"/>
    </row>
    <row r="51" spans="1:15" ht="38.1" customHeight="1">
      <c r="A51" s="6" t="s">
        <v>190</v>
      </c>
      <c r="B51" s="7" t="s">
        <v>191</v>
      </c>
      <c r="C51" s="7"/>
      <c r="D51" s="8"/>
      <c r="E51" s="8" t="s">
        <v>192</v>
      </c>
      <c r="F51" s="8" t="s">
        <v>193</v>
      </c>
      <c r="G51" s="8" t="s">
        <v>194</v>
      </c>
      <c r="H51" s="35">
        <v>41301</v>
      </c>
      <c r="I51" s="9"/>
      <c r="J51" s="9"/>
      <c r="K51" s="10">
        <f t="shared" ca="1" si="1"/>
        <v>4504</v>
      </c>
      <c r="L51" s="8"/>
      <c r="M51" s="21"/>
      <c r="N51" s="21"/>
      <c r="O51" s="38"/>
    </row>
    <row r="52" spans="1:15" ht="38.1" customHeight="1">
      <c r="A52" s="6" t="s">
        <v>89</v>
      </c>
      <c r="B52" s="7" t="s">
        <v>90</v>
      </c>
      <c r="C52" s="7"/>
      <c r="D52" s="8"/>
      <c r="E52" s="8" t="s">
        <v>91</v>
      </c>
      <c r="F52" s="8" t="s">
        <v>92</v>
      </c>
      <c r="G52" s="8" t="s">
        <v>93</v>
      </c>
      <c r="H52" s="35">
        <v>41150</v>
      </c>
      <c r="I52" s="9"/>
      <c r="J52" s="9"/>
      <c r="K52" s="10">
        <f t="shared" ca="1" si="1"/>
        <v>4655</v>
      </c>
      <c r="L52" s="8"/>
      <c r="M52" s="21"/>
      <c r="N52" s="21"/>
      <c r="O52" s="38"/>
    </row>
    <row r="53" spans="1:15" ht="38.1" customHeight="1">
      <c r="A53" s="6" t="s">
        <v>61</v>
      </c>
      <c r="B53" s="7" t="s">
        <v>62</v>
      </c>
      <c r="C53" s="7"/>
      <c r="D53" s="8"/>
      <c r="E53" s="8" t="s">
        <v>63</v>
      </c>
      <c r="F53" s="8" t="s">
        <v>55</v>
      </c>
      <c r="G53" s="8" t="s">
        <v>64</v>
      </c>
      <c r="H53" s="35">
        <v>41053</v>
      </c>
      <c r="I53" s="9"/>
      <c r="J53" s="9"/>
      <c r="K53" s="10">
        <f t="shared" ca="1" si="1"/>
        <v>4752</v>
      </c>
      <c r="L53" s="8"/>
      <c r="M53" s="21"/>
      <c r="N53" s="21"/>
      <c r="O53" s="38"/>
    </row>
    <row r="54" spans="1:15" ht="38.1" customHeight="1">
      <c r="A54" s="6" t="s">
        <v>133</v>
      </c>
      <c r="B54" s="7" t="s">
        <v>134</v>
      </c>
      <c r="C54" s="7"/>
      <c r="D54" s="8"/>
      <c r="E54" s="8" t="s">
        <v>135</v>
      </c>
      <c r="F54" s="8" t="s">
        <v>37</v>
      </c>
      <c r="G54" s="8" t="s">
        <v>136</v>
      </c>
      <c r="H54" s="35">
        <v>41052</v>
      </c>
      <c r="I54" s="9"/>
      <c r="J54" s="9"/>
      <c r="K54" s="10">
        <f t="shared" ca="1" si="1"/>
        <v>4753</v>
      </c>
      <c r="L54" s="8"/>
      <c r="M54" s="21"/>
      <c r="N54" s="21"/>
      <c r="O54" s="38"/>
    </row>
    <row r="55" spans="1:15" ht="38.1" customHeight="1">
      <c r="A55" s="6" t="s">
        <v>178</v>
      </c>
      <c r="B55" s="7" t="s">
        <v>179</v>
      </c>
      <c r="C55" s="7"/>
      <c r="D55" s="8"/>
      <c r="E55" s="8" t="s">
        <v>180</v>
      </c>
      <c r="F55" s="8" t="s">
        <v>55</v>
      </c>
      <c r="G55" s="8" t="s">
        <v>181</v>
      </c>
      <c r="H55" s="35">
        <v>40638</v>
      </c>
      <c r="I55" s="9"/>
      <c r="J55" s="9"/>
      <c r="K55" s="10">
        <f t="shared" ca="1" si="1"/>
        <v>5167</v>
      </c>
      <c r="L55" s="8"/>
      <c r="M55" s="21"/>
      <c r="N55" s="21"/>
      <c r="O55" s="38"/>
    </row>
    <row r="56" spans="1:15" ht="38.1" customHeight="1">
      <c r="A56" s="6" t="s">
        <v>97</v>
      </c>
      <c r="B56" s="7" t="s">
        <v>98</v>
      </c>
      <c r="C56" s="7"/>
      <c r="D56" s="8"/>
      <c r="E56" s="8" t="s">
        <v>99</v>
      </c>
      <c r="F56" s="8" t="s">
        <v>100</v>
      </c>
      <c r="G56" s="8" t="s">
        <v>101</v>
      </c>
      <c r="H56" s="35">
        <v>40592</v>
      </c>
      <c r="I56" s="9"/>
      <c r="J56" s="9"/>
      <c r="K56" s="10">
        <f t="shared" ca="1" si="1"/>
        <v>5213</v>
      </c>
      <c r="L56" s="8"/>
      <c r="M56" s="21"/>
      <c r="N56" s="21"/>
      <c r="O56" s="38"/>
    </row>
    <row r="57" spans="1:15" ht="38.1" customHeight="1">
      <c r="A57" s="6" t="s">
        <v>170</v>
      </c>
      <c r="B57" s="7" t="s">
        <v>171</v>
      </c>
      <c r="C57" s="7"/>
      <c r="D57" s="8"/>
      <c r="E57" s="8" t="s">
        <v>172</v>
      </c>
      <c r="F57" s="8" t="s">
        <v>11</v>
      </c>
      <c r="G57" s="8" t="s">
        <v>173</v>
      </c>
      <c r="H57" s="35">
        <v>40576</v>
      </c>
      <c r="I57" s="9"/>
      <c r="J57" s="9"/>
      <c r="K57" s="10">
        <f t="shared" ca="1" si="1"/>
        <v>5229</v>
      </c>
      <c r="L57" s="8"/>
      <c r="M57" s="21"/>
      <c r="N57" s="21"/>
      <c r="O57" s="38"/>
    </row>
    <row r="58" spans="1:15" ht="38.1" customHeight="1">
      <c r="A58" s="6" t="s">
        <v>115</v>
      </c>
      <c r="B58" s="7" t="s">
        <v>116</v>
      </c>
      <c r="C58" s="7"/>
      <c r="D58" s="8"/>
      <c r="E58" s="8" t="s">
        <v>117</v>
      </c>
      <c r="F58" s="8" t="s">
        <v>79</v>
      </c>
      <c r="G58" s="8" t="s">
        <v>118</v>
      </c>
      <c r="H58" s="35">
        <v>40472</v>
      </c>
      <c r="I58" s="9"/>
      <c r="J58" s="9"/>
      <c r="K58" s="10">
        <f t="shared" ca="1" si="1"/>
        <v>5333</v>
      </c>
      <c r="L58" s="8"/>
      <c r="M58" s="21"/>
      <c r="N58" s="21"/>
      <c r="O58" s="38"/>
    </row>
    <row r="59" spans="1:15" ht="38.1" customHeight="1">
      <c r="A59" s="6" t="s">
        <v>19</v>
      </c>
      <c r="B59" s="7" t="s">
        <v>20</v>
      </c>
      <c r="C59" s="7"/>
      <c r="D59" s="8"/>
      <c r="E59" s="8" t="s">
        <v>21</v>
      </c>
      <c r="F59" s="8" t="s">
        <v>22</v>
      </c>
      <c r="G59" s="8" t="s">
        <v>23</v>
      </c>
      <c r="H59" s="35">
        <v>40390</v>
      </c>
      <c r="I59" s="9"/>
      <c r="J59" s="9"/>
      <c r="K59" s="10">
        <f t="shared" ca="1" si="1"/>
        <v>5415</v>
      </c>
      <c r="L59" s="8"/>
      <c r="M59" s="21"/>
      <c r="N59" s="21"/>
      <c r="O59" s="38"/>
    </row>
    <row r="60" spans="1:15" ht="38.1" customHeight="1">
      <c r="A60" s="6" t="s">
        <v>52</v>
      </c>
      <c r="B60" s="7" t="s">
        <v>53</v>
      </c>
      <c r="C60" s="7"/>
      <c r="D60" s="8"/>
      <c r="E60" s="8" t="s">
        <v>54</v>
      </c>
      <c r="F60" s="8" t="s">
        <v>55</v>
      </c>
      <c r="G60" s="8" t="s">
        <v>56</v>
      </c>
      <c r="H60" s="35">
        <v>40068</v>
      </c>
      <c r="I60" s="9"/>
      <c r="J60" s="9"/>
      <c r="K60" s="10">
        <f t="shared" ca="1" si="1"/>
        <v>5737</v>
      </c>
      <c r="L60" s="8"/>
      <c r="M60" s="21"/>
      <c r="N60" s="21"/>
      <c r="O60" s="38"/>
    </row>
    <row r="61" spans="1:15" ht="38.1" customHeight="1">
      <c r="A61" s="6" t="s">
        <v>142</v>
      </c>
      <c r="B61" s="7" t="s">
        <v>143</v>
      </c>
      <c r="C61" s="7"/>
      <c r="D61" s="8"/>
      <c r="E61" s="8" t="s">
        <v>144</v>
      </c>
      <c r="F61" s="8" t="s">
        <v>11</v>
      </c>
      <c r="G61" s="8" t="s">
        <v>145</v>
      </c>
      <c r="H61" s="35">
        <v>40009</v>
      </c>
      <c r="I61" s="9"/>
      <c r="J61" s="9"/>
      <c r="K61" s="10">
        <f t="shared" ca="1" si="1"/>
        <v>5796</v>
      </c>
      <c r="L61" s="8"/>
      <c r="M61" s="21"/>
      <c r="N61" s="21"/>
      <c r="O61" s="38"/>
    </row>
    <row r="62" spans="1:15" ht="38.1" customHeight="1">
      <c r="A62" s="6" t="s">
        <v>132</v>
      </c>
      <c r="B62" s="7" t="s">
        <v>129</v>
      </c>
      <c r="C62" s="7"/>
      <c r="D62" s="8"/>
      <c r="E62" s="8" t="s">
        <v>130</v>
      </c>
      <c r="F62" s="8"/>
      <c r="G62" s="8" t="s">
        <v>131</v>
      </c>
      <c r="H62" s="35">
        <v>39663</v>
      </c>
      <c r="I62" s="9"/>
      <c r="J62" s="9"/>
      <c r="K62" s="10">
        <f t="shared" ca="1" si="1"/>
        <v>6142</v>
      </c>
      <c r="L62" s="8"/>
      <c r="M62" s="21"/>
      <c r="N62" s="21"/>
      <c r="O62" s="38"/>
    </row>
    <row r="63" spans="1:15" ht="38.1" customHeight="1">
      <c r="A63" s="6" t="s">
        <v>48</v>
      </c>
      <c r="B63" s="7" t="s">
        <v>49</v>
      </c>
      <c r="C63" s="7"/>
      <c r="D63" s="8"/>
      <c r="E63" s="8" t="s">
        <v>50</v>
      </c>
      <c r="F63" s="8" t="s">
        <v>51</v>
      </c>
      <c r="G63" s="8" t="s">
        <v>12</v>
      </c>
      <c r="H63" s="35">
        <v>39188</v>
      </c>
      <c r="I63" s="9"/>
      <c r="J63" s="9"/>
      <c r="K63" s="10">
        <f t="shared" ca="1" si="1"/>
        <v>6617</v>
      </c>
      <c r="L63" s="8"/>
      <c r="M63" s="21"/>
      <c r="N63" s="21"/>
      <c r="O63" s="38"/>
    </row>
    <row r="64" spans="1:15" ht="38.1" customHeight="1">
      <c r="A64" s="6" t="s">
        <v>44</v>
      </c>
      <c r="B64" s="7" t="s">
        <v>45</v>
      </c>
      <c r="C64" s="7"/>
      <c r="D64" s="8"/>
      <c r="E64" s="8" t="s">
        <v>46</v>
      </c>
      <c r="F64" s="8" t="s">
        <v>11</v>
      </c>
      <c r="G64" s="8" t="s">
        <v>47</v>
      </c>
      <c r="H64" s="35">
        <v>39036</v>
      </c>
      <c r="I64" s="9"/>
      <c r="J64" s="9"/>
      <c r="K64" s="10">
        <f t="shared" ca="1" si="1"/>
        <v>6769</v>
      </c>
      <c r="L64" s="8"/>
      <c r="M64" s="21"/>
      <c r="N64" s="21"/>
      <c r="O64" s="38"/>
    </row>
    <row r="65" spans="1:15" ht="38.1" customHeight="1">
      <c r="A65" s="6" t="s">
        <v>81</v>
      </c>
      <c r="B65" s="7" t="s">
        <v>82</v>
      </c>
      <c r="C65" s="7"/>
      <c r="D65" s="8"/>
      <c r="E65" s="8" t="s">
        <v>83</v>
      </c>
      <c r="F65" s="8" t="s">
        <v>11</v>
      </c>
      <c r="G65" s="8" t="s">
        <v>23</v>
      </c>
      <c r="H65" s="35">
        <v>38928</v>
      </c>
      <c r="I65" s="9"/>
      <c r="J65" s="9"/>
      <c r="K65" s="10">
        <f t="shared" ca="1" si="1"/>
        <v>6877</v>
      </c>
      <c r="L65" s="8"/>
      <c r="M65" s="21"/>
      <c r="N65" s="21"/>
      <c r="O65" s="38"/>
    </row>
    <row r="66" spans="1:15" ht="38.1" customHeight="1">
      <c r="A66" s="6" t="s">
        <v>76</v>
      </c>
      <c r="B66" s="7" t="s">
        <v>77</v>
      </c>
      <c r="C66" s="7"/>
      <c r="D66" s="8"/>
      <c r="E66" s="8" t="s">
        <v>78</v>
      </c>
      <c r="F66" s="8" t="s">
        <v>79</v>
      </c>
      <c r="G66" s="8" t="s">
        <v>80</v>
      </c>
      <c r="H66" s="35">
        <v>38826</v>
      </c>
      <c r="I66" s="9"/>
      <c r="J66" s="9"/>
      <c r="K66" s="10">
        <f t="shared" ref="K66:K74" ca="1" si="2">(TODAY()-H66)</f>
        <v>6979</v>
      </c>
      <c r="L66" s="8"/>
      <c r="M66" s="21"/>
      <c r="N66" s="21"/>
      <c r="O66" s="38"/>
    </row>
    <row r="67" spans="1:15" ht="38.1" customHeight="1">
      <c r="A67" s="6" t="s">
        <v>8</v>
      </c>
      <c r="B67" s="7" t="s">
        <v>9</v>
      </c>
      <c r="C67" s="7"/>
      <c r="D67" s="8"/>
      <c r="E67" s="8" t="s">
        <v>10</v>
      </c>
      <c r="F67" s="8" t="s">
        <v>11</v>
      </c>
      <c r="G67" s="8" t="s">
        <v>12</v>
      </c>
      <c r="H67" s="35"/>
      <c r="I67" s="9"/>
      <c r="J67" s="9"/>
      <c r="K67" s="10">
        <f t="shared" ca="1" si="2"/>
        <v>45805</v>
      </c>
      <c r="L67" s="8"/>
      <c r="M67" s="21"/>
      <c r="N67" s="21"/>
      <c r="O67" s="38"/>
    </row>
    <row r="68" spans="1:15" ht="38.1" customHeight="1">
      <c r="A68" s="6" t="s">
        <v>24</v>
      </c>
      <c r="B68" s="7" t="s">
        <v>25</v>
      </c>
      <c r="C68" s="7"/>
      <c r="D68" s="8"/>
      <c r="E68" s="8" t="s">
        <v>26</v>
      </c>
      <c r="F68" s="8" t="s">
        <v>27</v>
      </c>
      <c r="G68" s="8"/>
      <c r="H68" s="35"/>
      <c r="I68" s="9"/>
      <c r="J68" s="9"/>
      <c r="K68" s="10">
        <f t="shared" ca="1" si="2"/>
        <v>45805</v>
      </c>
      <c r="L68" s="8"/>
      <c r="M68" s="21"/>
      <c r="N68" s="21"/>
      <c r="O68" s="38"/>
    </row>
    <row r="69" spans="1:15" ht="38.1" customHeight="1">
      <c r="A69" s="6" t="s">
        <v>65</v>
      </c>
      <c r="B69" s="7" t="s">
        <v>66</v>
      </c>
      <c r="C69" s="7"/>
      <c r="D69" s="8"/>
      <c r="E69" s="8"/>
      <c r="F69" s="8"/>
      <c r="G69" s="8" t="s">
        <v>67</v>
      </c>
      <c r="H69" s="35"/>
      <c r="I69" s="9"/>
      <c r="J69" s="9"/>
      <c r="K69" s="10">
        <f t="shared" ca="1" si="2"/>
        <v>45805</v>
      </c>
      <c r="L69" s="8"/>
      <c r="M69" s="21"/>
      <c r="N69" s="21"/>
      <c r="O69" s="38"/>
    </row>
    <row r="70" spans="1:15" ht="38.1" customHeight="1">
      <c r="A70" s="6" t="s">
        <v>119</v>
      </c>
      <c r="B70" s="7" t="s">
        <v>120</v>
      </c>
      <c r="C70" s="7"/>
      <c r="D70" s="8"/>
      <c r="E70" s="8" t="s">
        <v>121</v>
      </c>
      <c r="F70" s="8" t="s">
        <v>51</v>
      </c>
      <c r="G70" s="8" t="s">
        <v>122</v>
      </c>
      <c r="H70" s="35"/>
      <c r="I70" s="9"/>
      <c r="J70" s="9"/>
      <c r="K70" s="10">
        <f t="shared" ca="1" si="2"/>
        <v>45805</v>
      </c>
      <c r="L70" s="8"/>
      <c r="M70" s="21"/>
      <c r="N70" s="21"/>
      <c r="O70" s="38"/>
    </row>
    <row r="71" spans="1:15" ht="38.1" customHeight="1">
      <c r="A71" s="6" t="s">
        <v>128</v>
      </c>
      <c r="B71" s="7" t="s">
        <v>129</v>
      </c>
      <c r="C71" s="7"/>
      <c r="D71" s="8"/>
      <c r="E71" s="8" t="s">
        <v>130</v>
      </c>
      <c r="F71" s="8"/>
      <c r="G71" s="8" t="s">
        <v>131</v>
      </c>
      <c r="H71" s="35"/>
      <c r="I71" s="9"/>
      <c r="J71" s="9"/>
      <c r="K71" s="10">
        <f t="shared" ca="1" si="2"/>
        <v>45805</v>
      </c>
      <c r="L71" s="8"/>
      <c r="M71" s="21"/>
      <c r="N71" s="21"/>
      <c r="O71" s="38"/>
    </row>
    <row r="72" spans="1:15" ht="38.1" customHeight="1">
      <c r="A72" s="6" t="s">
        <v>146</v>
      </c>
      <c r="B72" s="7" t="s">
        <v>147</v>
      </c>
      <c r="C72" s="7"/>
      <c r="D72" s="8"/>
      <c r="E72" s="8" t="s">
        <v>148</v>
      </c>
      <c r="F72" s="8" t="s">
        <v>51</v>
      </c>
      <c r="G72" s="8"/>
      <c r="H72" s="35"/>
      <c r="I72" s="9"/>
      <c r="J72" s="9"/>
      <c r="K72" s="10">
        <f t="shared" ca="1" si="2"/>
        <v>45805</v>
      </c>
      <c r="L72" s="8"/>
      <c r="M72" s="21"/>
      <c r="N72" s="21"/>
      <c r="O72" s="38"/>
    </row>
    <row r="73" spans="1:15" ht="38.1" customHeight="1">
      <c r="A73" s="6" t="s">
        <v>161</v>
      </c>
      <c r="B73" s="7" t="s">
        <v>162</v>
      </c>
      <c r="C73" s="7"/>
      <c r="D73" s="8"/>
      <c r="E73" s="8" t="s">
        <v>163</v>
      </c>
      <c r="F73" s="8" t="s">
        <v>79</v>
      </c>
      <c r="G73" s="8"/>
      <c r="H73" s="35"/>
      <c r="I73" s="9"/>
      <c r="J73" s="9"/>
      <c r="K73" s="10">
        <f t="shared" ca="1" si="2"/>
        <v>45805</v>
      </c>
      <c r="L73" s="8"/>
      <c r="M73" s="21"/>
      <c r="N73" s="21"/>
      <c r="O73" s="38"/>
    </row>
    <row r="74" spans="1:15" ht="38.1" customHeight="1">
      <c r="A74" s="12" t="s">
        <v>312</v>
      </c>
      <c r="B74" s="13" t="s">
        <v>313</v>
      </c>
      <c r="C74" s="13"/>
      <c r="D74" s="14" t="s">
        <v>378</v>
      </c>
      <c r="E74" s="14" t="s">
        <v>314</v>
      </c>
      <c r="F74" s="14" t="s">
        <v>315</v>
      </c>
      <c r="G74" s="14"/>
      <c r="H74" s="37"/>
      <c r="I74" s="15"/>
      <c r="J74" s="26" t="s">
        <v>379</v>
      </c>
      <c r="K74" s="16">
        <f t="shared" ca="1" si="2"/>
        <v>45805</v>
      </c>
      <c r="L74" s="14"/>
      <c r="M74" s="23"/>
      <c r="N74" s="23"/>
      <c r="O74" s="38"/>
    </row>
  </sheetData>
  <conditionalFormatting sqref="K2:K74">
    <cfRule type="cellIs" dxfId="20" priority="13" operator="greaterThan">
      <formula>0</formula>
    </cfRule>
    <cfRule type="cellIs" dxfId="19" priority="14" operator="between">
      <formula>-29</formula>
      <formula>0</formula>
    </cfRule>
    <cfRule type="cellIs" dxfId="18" priority="15" operator="lessThan">
      <formula>-30</formula>
    </cfRule>
  </conditionalFormatting>
  <hyperlinks>
    <hyperlink ref="A5" r:id="rId1"/>
    <hyperlink ref="I5" r:id="rId2" display="0001/23"/>
    <hyperlink ref="J5" r:id="rId3"/>
    <hyperlink ref="A16" r:id="rId4"/>
    <hyperlink ref="J16" r:id="rId5"/>
    <hyperlink ref="I16" r:id="rId6"/>
    <hyperlink ref="A4" r:id="rId7"/>
    <hyperlink ref="I4" r:id="rId8"/>
    <hyperlink ref="J4" r:id="rId9"/>
    <hyperlink ref="M4" r:id="rId10"/>
    <hyperlink ref="M5" r:id="rId11"/>
    <hyperlink ref="A3" r:id="rId12"/>
    <hyperlink ref="M3" r:id="rId13"/>
    <hyperlink ref="A10" r:id="rId14"/>
    <hyperlink ref="I10" r:id="rId15" display="0369/2022"/>
    <hyperlink ref="J10" r:id="rId16" display="0966/2022"/>
    <hyperlink ref="A6" r:id="rId17"/>
    <hyperlink ref="I6" r:id="rId18"/>
    <hyperlink ref="J6" r:id="rId19"/>
    <hyperlink ref="M6" r:id="rId20"/>
    <hyperlink ref="A8" r:id="rId21"/>
    <hyperlink ref="I8" r:id="rId22" display="0404/2022"/>
    <hyperlink ref="J8" r:id="rId23" display="1301/2022"/>
    <hyperlink ref="M8" r:id="rId24"/>
    <hyperlink ref="N8" r:id="rId25"/>
    <hyperlink ref="A13" r:id="rId26"/>
    <hyperlink ref="I13" r:id="rId27"/>
    <hyperlink ref="J13" r:id="rId28"/>
    <hyperlink ref="A14" r:id="rId29"/>
    <hyperlink ref="I14" r:id="rId30" display="0052/2022"/>
    <hyperlink ref="J14" r:id="rId31" display="0071/2022"/>
    <hyperlink ref="A12" r:id="rId32"/>
    <hyperlink ref="I12" r:id="rId33"/>
    <hyperlink ref="J12" r:id="rId34" display="1164/2022"/>
    <hyperlink ref="A19" r:id="rId35"/>
    <hyperlink ref="I19" r:id="rId36"/>
    <hyperlink ref="J19" r:id="rId37"/>
    <hyperlink ref="A17" r:id="rId38"/>
    <hyperlink ref="I17" r:id="rId39"/>
    <hyperlink ref="J17" r:id="rId40"/>
    <hyperlink ref="A20" r:id="rId41"/>
    <hyperlink ref="I20" r:id="rId42"/>
    <hyperlink ref="J20" r:id="rId43"/>
    <hyperlink ref="A2" r:id="rId44"/>
    <hyperlink ref="I2" r:id="rId45" display="0010/2023"/>
    <hyperlink ref="J2" r:id="rId46" display="0001/2023"/>
    <hyperlink ref="M2" r:id="rId47"/>
    <hyperlink ref="A15" r:id="rId48"/>
    <hyperlink ref="I15" r:id="rId49"/>
    <hyperlink ref="J15" r:id="rId50"/>
    <hyperlink ref="A9" r:id="rId51"/>
    <hyperlink ref="I9" r:id="rId52" display="0398/2022"/>
    <hyperlink ref="J9" r:id="rId53" display="1143/2022"/>
    <hyperlink ref="M9" r:id="rId54"/>
    <hyperlink ref="A21" r:id="rId55"/>
    <hyperlink ref="I21" r:id="rId56"/>
    <hyperlink ref="J21" r:id="rId57"/>
    <hyperlink ref="M21" r:id="rId58"/>
    <hyperlink ref="A22" r:id="rId59"/>
    <hyperlink ref="I22" r:id="rId60"/>
    <hyperlink ref="J22" r:id="rId61"/>
    <hyperlink ref="M22" r:id="rId62"/>
    <hyperlink ref="A18" r:id="rId63"/>
    <hyperlink ref="I18" r:id="rId64"/>
    <hyperlink ref="J18" r:id="rId65"/>
    <hyperlink ref="A11" r:id="rId66"/>
    <hyperlink ref="I11" r:id="rId67"/>
    <hyperlink ref="J11" r:id="rId68"/>
    <hyperlink ref="I28" r:id="rId69"/>
    <hyperlink ref="J28" r:id="rId70"/>
    <hyperlink ref="A7" r:id="rId71"/>
    <hyperlink ref="I7" r:id="rId72"/>
    <hyperlink ref="J7" r:id="rId73"/>
    <hyperlink ref="M7" r:id="rId74"/>
    <hyperlink ref="J74" r:id="rId75"/>
    <hyperlink ref="M11" r:id="rId76"/>
    <hyperlink ref="M18" r:id="rId77"/>
    <hyperlink ref="M15" r:id="rId78"/>
    <hyperlink ref="N20" r:id="rId79"/>
    <hyperlink ref="M20" r:id="rId80"/>
    <hyperlink ref="M17" r:id="rId81"/>
    <hyperlink ref="M19" r:id="rId82"/>
    <hyperlink ref="N12" r:id="rId83"/>
    <hyperlink ref="M12" r:id="rId84"/>
    <hyperlink ref="M14" r:id="rId85"/>
    <hyperlink ref="N13" r:id="rId86"/>
    <hyperlink ref="M13" r:id="rId87"/>
    <hyperlink ref="M10" r:id="rId88"/>
    <hyperlink ref="M16" r:id="rId89" display="rpg-000023"/>
  </hyperlinks>
  <pageMargins left="0.7" right="0.7" top="0.75" bottom="0.75" header="0.3" footer="0.3"/>
  <pageSetup paperSize="9" orientation="portrait" verticalDpi="0" r:id="rId90"/>
  <tableParts count="1">
    <tablePart r:id="rId91"/>
  </tableParts>
</worksheet>
</file>

<file path=xl/worksheets/sheet2.xml><?xml version="1.0" encoding="utf-8"?>
<worksheet xmlns="http://schemas.openxmlformats.org/spreadsheetml/2006/main" xmlns:r="http://schemas.openxmlformats.org/officeDocument/2006/relationships">
  <dimension ref="A1:B68"/>
  <sheetViews>
    <sheetView workbookViewId="0">
      <pivotSelection pane="bottomRight" click="1" r:id="rId1">
        <pivotArea field="7" type="button" dataOnly="0" labelOnly="1" outline="0" axis="axisPage" fieldPosition="0"/>
      </pivotSelection>
    </sheetView>
  </sheetViews>
  <sheetFormatPr baseColWidth="10" defaultRowHeight="15"/>
  <cols>
    <col min="1" max="1" width="171.7109375" bestFit="1" customWidth="1"/>
    <col min="2" max="2" width="20.42578125" customWidth="1"/>
    <col min="3" max="13" width="10.7109375" customWidth="1"/>
    <col min="14" max="14" width="12.5703125" bestFit="1" customWidth="1"/>
  </cols>
  <sheetData>
    <row r="1" spans="1:2">
      <c r="A1" s="30" t="s">
        <v>6</v>
      </c>
      <c r="B1" t="s">
        <v>382</v>
      </c>
    </row>
    <row r="3" spans="1:2">
      <c r="A3" s="30" t="s">
        <v>380</v>
      </c>
    </row>
    <row r="4" spans="1:2">
      <c r="A4" s="31" t="s">
        <v>186</v>
      </c>
    </row>
    <row r="5" spans="1:2">
      <c r="A5" s="32" t="s">
        <v>277</v>
      </c>
    </row>
    <row r="6" spans="1:2">
      <c r="A6" s="33" t="s">
        <v>276</v>
      </c>
    </row>
    <row r="7" spans="1:2">
      <c r="A7" s="34" t="s">
        <v>194</v>
      </c>
    </row>
    <row r="8" spans="1:2">
      <c r="A8" s="32" t="s">
        <v>183</v>
      </c>
    </row>
    <row r="9" spans="1:2">
      <c r="A9" s="33" t="s">
        <v>182</v>
      </c>
    </row>
    <row r="10" spans="1:2">
      <c r="A10" s="34" t="s">
        <v>187</v>
      </c>
    </row>
    <row r="11" spans="1:2">
      <c r="A11" s="32" t="s">
        <v>281</v>
      </c>
    </row>
    <row r="12" spans="1:2">
      <c r="A12" s="33" t="s">
        <v>280</v>
      </c>
    </row>
    <row r="13" spans="1:2">
      <c r="A13" s="34" t="s">
        <v>284</v>
      </c>
    </row>
    <row r="14" spans="1:2">
      <c r="A14" s="31" t="s">
        <v>17</v>
      </c>
    </row>
    <row r="15" spans="1:2">
      <c r="A15" s="32" t="s">
        <v>212</v>
      </c>
    </row>
    <row r="16" spans="1:2">
      <c r="A16" s="33" t="s">
        <v>211</v>
      </c>
    </row>
    <row r="17" spans="1:1">
      <c r="A17" s="34" t="s">
        <v>215</v>
      </c>
    </row>
    <row r="18" spans="1:1">
      <c r="A18" s="32" t="s">
        <v>58</v>
      </c>
    </row>
    <row r="19" spans="1:1">
      <c r="A19" s="33" t="s">
        <v>57</v>
      </c>
    </row>
    <row r="20" spans="1:1">
      <c r="A20" s="34" t="s">
        <v>60</v>
      </c>
    </row>
    <row r="21" spans="1:1">
      <c r="A21" s="32" t="s">
        <v>14</v>
      </c>
    </row>
    <row r="22" spans="1:1">
      <c r="A22" s="33" t="s">
        <v>13</v>
      </c>
    </row>
    <row r="23" spans="1:1">
      <c r="A23" s="34" t="s">
        <v>18</v>
      </c>
    </row>
    <row r="24" spans="1:1">
      <c r="A24" s="31" t="s">
        <v>32</v>
      </c>
    </row>
    <row r="25" spans="1:1">
      <c r="A25" s="32" t="s">
        <v>29</v>
      </c>
    </row>
    <row r="26" spans="1:1">
      <c r="A26" s="33" t="s">
        <v>28</v>
      </c>
    </row>
    <row r="27" spans="1:1">
      <c r="A27" s="34" t="s">
        <v>33</v>
      </c>
    </row>
    <row r="28" spans="1:1">
      <c r="A28" s="32" t="s">
        <v>300</v>
      </c>
    </row>
    <row r="29" spans="1:1">
      <c r="A29" s="33" t="s">
        <v>299</v>
      </c>
    </row>
    <row r="30" spans="1:1">
      <c r="A30" s="34" t="s">
        <v>303</v>
      </c>
    </row>
    <row r="31" spans="1:1">
      <c r="A31" s="32" t="s">
        <v>40</v>
      </c>
    </row>
    <row r="32" spans="1:1">
      <c r="A32" s="33" t="s">
        <v>39</v>
      </c>
    </row>
    <row r="33" spans="1:1">
      <c r="A33" s="34" t="s">
        <v>43</v>
      </c>
    </row>
    <row r="34" spans="1:1">
      <c r="A34" s="32" t="s">
        <v>111</v>
      </c>
    </row>
    <row r="35" spans="1:1">
      <c r="A35" s="33" t="s">
        <v>110</v>
      </c>
    </row>
    <row r="36" spans="1:1">
      <c r="A36" s="34" t="s">
        <v>114</v>
      </c>
    </row>
    <row r="37" spans="1:1">
      <c r="A37" s="31" t="s">
        <v>168</v>
      </c>
    </row>
    <row r="38" spans="1:1">
      <c r="A38" s="32" t="s">
        <v>165</v>
      </c>
    </row>
    <row r="39" spans="1:1">
      <c r="A39" s="33" t="s">
        <v>164</v>
      </c>
    </row>
    <row r="40" spans="1:1">
      <c r="A40" s="34" t="s">
        <v>169</v>
      </c>
    </row>
    <row r="41" spans="1:1">
      <c r="A41" s="31" t="s">
        <v>37</v>
      </c>
    </row>
    <row r="42" spans="1:1">
      <c r="A42" s="32" t="s">
        <v>305</v>
      </c>
    </row>
    <row r="43" spans="1:1">
      <c r="A43" s="33" t="s">
        <v>304</v>
      </c>
    </row>
    <row r="44" spans="1:1">
      <c r="A44" s="34" t="s">
        <v>136</v>
      </c>
    </row>
    <row r="45" spans="1:1">
      <c r="A45" s="32" t="s">
        <v>69</v>
      </c>
    </row>
    <row r="46" spans="1:1">
      <c r="A46" s="33" t="s">
        <v>68</v>
      </c>
    </row>
    <row r="47" spans="1:1">
      <c r="A47" s="34" t="s">
        <v>71</v>
      </c>
    </row>
    <row r="48" spans="1:1">
      <c r="A48" s="32" t="s">
        <v>85</v>
      </c>
    </row>
    <row r="49" spans="1:1">
      <c r="A49" s="33" t="s">
        <v>84</v>
      </c>
    </row>
    <row r="50" spans="1:1">
      <c r="A50" s="34" t="s">
        <v>88</v>
      </c>
    </row>
    <row r="51" spans="1:1">
      <c r="A51" s="32" t="s">
        <v>189</v>
      </c>
    </row>
    <row r="52" spans="1:1">
      <c r="A52" s="33" t="s">
        <v>188</v>
      </c>
    </row>
    <row r="53" spans="1:1">
      <c r="A53" s="34" t="s">
        <v>88</v>
      </c>
    </row>
    <row r="54" spans="1:1">
      <c r="A54" s="31" t="s">
        <v>11</v>
      </c>
    </row>
    <row r="55" spans="1:1">
      <c r="A55" s="32" t="s">
        <v>309</v>
      </c>
    </row>
    <row r="56" spans="1:1">
      <c r="A56" s="33" t="s">
        <v>308</v>
      </c>
    </row>
    <row r="57" spans="1:1">
      <c r="A57" s="34" t="s">
        <v>18</v>
      </c>
    </row>
    <row r="58" spans="1:1">
      <c r="A58" s="31" t="s">
        <v>157</v>
      </c>
    </row>
    <row r="59" spans="1:1">
      <c r="A59" s="32" t="s">
        <v>154</v>
      </c>
    </row>
    <row r="60" spans="1:1">
      <c r="A60" s="33" t="s">
        <v>153</v>
      </c>
    </row>
    <row r="61" spans="1:1">
      <c r="A61" s="34" t="s">
        <v>131</v>
      </c>
    </row>
    <row r="62" spans="1:1">
      <c r="A62" s="32" t="s">
        <v>286</v>
      </c>
    </row>
    <row r="63" spans="1:1">
      <c r="A63" s="33" t="s">
        <v>285</v>
      </c>
    </row>
    <row r="64" spans="1:1">
      <c r="A64" s="34" t="s">
        <v>289</v>
      </c>
    </row>
    <row r="65" spans="1:1">
      <c r="A65" s="32" t="s">
        <v>264</v>
      </c>
    </row>
    <row r="66" spans="1:1">
      <c r="A66" s="33" t="s">
        <v>263</v>
      </c>
    </row>
    <row r="67" spans="1:1">
      <c r="A67" s="34" t="s">
        <v>266</v>
      </c>
    </row>
    <row r="68" spans="1:1">
      <c r="A68" s="31" t="s">
        <v>381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Total</vt:lpstr>
      <vt:lpstr>Vigentes</vt:lpstr>
      <vt:lpstr>Hoja2</vt:lpstr>
      <vt:lpstr>Hoja3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PRCtemp1</dc:creator>
  <cp:lastModifiedBy>PRCtemp1</cp:lastModifiedBy>
  <dcterms:created xsi:type="dcterms:W3CDTF">2023-02-15T13:35:24Z</dcterms:created>
  <dcterms:modified xsi:type="dcterms:W3CDTF">2025-05-28T16:00:43Z</dcterms:modified>
</cp:coreProperties>
</file>